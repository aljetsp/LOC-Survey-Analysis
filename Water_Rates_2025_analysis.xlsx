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eaned" sheetId="1" state="visible" r:id="rId3"/>
    <sheet name="Analysis" sheetId="2" state="visible" r:id="rId4"/>
    <sheet name="Validation" sheetId="3" state="visible" r:id="rId5"/>
    <sheet name="Cleaning 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<sst xmlns="http://schemas.openxmlformats.org/spreadsheetml/2006/main" count="6906" uniqueCount="1192">
  <si>
    <t xml:space="preserve">CITY</t>
  </si>
  <si>
    <t xml:space="preserve">Population</t>
  </si>
  <si>
    <t xml:space="preserve">QCODE</t>
  </si>
  <si>
    <t xml:space="preserve">Region</t>
  </si>
  <si>
    <t xml:space="preserve">How often are bills issued? - Selected Choice</t>
  </si>
  <si>
    <t xml:space="preserve">How often are bills issued? - Other (Please Specify) - Text</t>
  </si>
  <si>
    <t xml:space="preserve">What methods of payment are accepted? (Check all that apply) [Cash]</t>
  </si>
  <si>
    <t xml:space="preserve">What methods of payment are accepted? (Check all that apply) [Check]</t>
  </si>
  <si>
    <t xml:space="preserve">What methods of payment are accepted? (Check all that apply) [Credit/Debit]</t>
  </si>
  <si>
    <t xml:space="preserve">What methods of payment are accepted? (Check all that apply) [Direct Deposit]</t>
  </si>
  <si>
    <t xml:space="preserve">What methods of payment are accepted? (Check all that apply) [Money Order]</t>
  </si>
  <si>
    <t xml:space="preserve">What methods of payment are accepted? (Check all that apply) [e-check]</t>
  </si>
  <si>
    <t xml:space="preserve">Do you provide paperless billing?</t>
  </si>
  <si>
    <t xml:space="preserve">What methods of enforcement are used for late or nonpayments? (Check all that Apply) - Selected Choice [Collections]</t>
  </si>
  <si>
    <t xml:space="preserve">What methods of enforcement are used for late or nonpayments? (Check all that Apply) - Selected Choice [Disconnect Water Service]</t>
  </si>
  <si>
    <t xml:space="preserve">What methods of enforcement are used for late or nonpayments? (Check all that Apply) - Selected Choice [Late Fee]</t>
  </si>
  <si>
    <t xml:space="preserve">What methods of enforcement are used for late or nonpayments? (Check all that Apply) - Selected Choice [Late Fee and Interest]</t>
  </si>
  <si>
    <t xml:space="preserve">What methods of enforcement are used for late or nonpayments? (Check all that Apply) - Selected Choice [Lien on Property]</t>
  </si>
  <si>
    <t xml:space="preserve">What methods of enforcement are used for late or nonpayments? (Check all that Apply) - Selected Choice [Other (Please Specify)]</t>
  </si>
  <si>
    <t xml:space="preserve">What methods of enforcement are used for late or nonpayments? (Check all that Apply) - Other (Please Specify) - Text</t>
  </si>
  <si>
    <t xml:space="preserve">What is the late fee rate?</t>
  </si>
  <si>
    <t xml:space="preserve">What is the interest rate?</t>
  </si>
  <si>
    <t xml:space="preserve">How many days past due date are allowed before the late fee is assessed?</t>
  </si>
  <si>
    <t xml:space="preserve">What is the penalties amount and interest rate? - Penalties Amount</t>
  </si>
  <si>
    <t xml:space="preserve">What is the penalties amount and interest rate? - Interest Rate</t>
  </si>
  <si>
    <t xml:space="preserve">How many days after due date before you disconnect water service?</t>
  </si>
  <si>
    <t xml:space="preserve">What dollar amount or number of days late triggers collections? - Dollar Amount</t>
  </si>
  <si>
    <t xml:space="preserve">What dollar amount or number of days late triggers collections? - Days</t>
  </si>
  <si>
    <t xml:space="preserve">Does the city provide waivers, discounts or reductions to certain utility customers?</t>
  </si>
  <si>
    <t xml:space="preserve">Please describe these waivers, discounts and reductions:</t>
  </si>
  <si>
    <t xml:space="preserve">Does your city provide credit or make any billing adjustments for leaks or billing errors?</t>
  </si>
  <si>
    <t xml:space="preserve">For what services are adjustments made for customer water leaks</t>
  </si>
  <si>
    <t xml:space="preserve">If a leak is detected, how far back does the city make adjustments to the water bill? - Days</t>
  </si>
  <si>
    <t xml:space="preserve">If a leak is detected, how far back does the city make adjustments to the water bill? - Other Comments</t>
  </si>
  <si>
    <t xml:space="preserve">Please describe what you do for wastewater adjustments.</t>
  </si>
  <si>
    <t xml:space="preserve">What percentage of rate revenue is obligated to debt services for the following systems? - Rate Revenue - Water - %</t>
  </si>
  <si>
    <t xml:space="preserve">What percentage of rate revenue is obligated to debt services for the following systems? - Rate Revenue - Wastewater - %</t>
  </si>
  <si>
    <t xml:space="preserve">What percentage of rate revenue is obligated to debt services for the following systems? - Rate Revenue - Stormwater - %</t>
  </si>
  <si>
    <t xml:space="preserve">What percentage of rate revenue is obligated to debt services for the following systems? - Not Applicable - Water</t>
  </si>
  <si>
    <t xml:space="preserve">What percentage of rate revenue is obligated to debt services for the following systems? - Not Applicable - Wastewater</t>
  </si>
  <si>
    <t xml:space="preserve">What percentage of rate revenue is obligated to debt services for the following systems? - Not Applicable - Stormwater</t>
  </si>
  <si>
    <t xml:space="preserve">Does your city maintain an asset management system for the following services? - Water</t>
  </si>
  <si>
    <t xml:space="preserve">Does your city maintain an asset management system for the following services? - Wastewater</t>
  </si>
  <si>
    <t xml:space="preserve">Does your city maintain an asset management system for the following services? - Stormwater</t>
  </si>
  <si>
    <t xml:space="preserve">What was the last year you did a Rate Study for the following services? - Water</t>
  </si>
  <si>
    <t xml:space="preserve">What was the last year you did a Rate Study for the following services? - Wastewater</t>
  </si>
  <si>
    <t xml:space="preserve">What was the last year you did a Rate Study for the following services? - Stormwater</t>
  </si>
  <si>
    <t xml:space="preserve">What was the last year you did a Methodology Update for the following services? - Water</t>
  </si>
  <si>
    <t xml:space="preserve">What was the last year you did a Methodology Update for the following services? - Wastewater</t>
  </si>
  <si>
    <t xml:space="preserve">What was the last year you did a Methodology Update for the following services? - Stormwater</t>
  </si>
  <si>
    <t xml:space="preserve">Does your city require accounts to be in the name of the property owner?</t>
  </si>
  <si>
    <t xml:space="preserve">How does your city handle billing for vacant properties? - Selected Choice</t>
  </si>
  <si>
    <t xml:space="preserve">How does your city handle billing for vacant properties? - Charge a vacant rate upon request of the owner. (Please Explain) - Text</t>
  </si>
  <si>
    <t xml:space="preserve">How does your city handle billing for vacant properties? - Other (Please Specify) - Text</t>
  </si>
  <si>
    <t xml:space="preserve">What other account fees or charges are included on the utility bill? (Check all that apply) - Selected Choice [Backflow]</t>
  </si>
  <si>
    <t xml:space="preserve">What other account fees or charges are included on the utility bill? (Check all that apply) - Selected Choice [New Account]</t>
  </si>
  <si>
    <t xml:space="preserve">What other account fees or charges are included on the utility bill? (Check all that apply) - Selected Choice [None]</t>
  </si>
  <si>
    <t xml:space="preserve">What other account fees or charges are included on the utility bill? (Check all that apply) - Selected Choice [Other (Please Specify)]</t>
  </si>
  <si>
    <t xml:space="preserve">What other account fees or charges are included on the utility bill? (Check all that apply) - Selected Choice [Shutoff]</t>
  </si>
  <si>
    <t xml:space="preserve">What other account fees or charges are included on the utility bill? (Check all that apply) - Selected Choice [Tampering]</t>
  </si>
  <si>
    <t xml:space="preserve">What other account fees or charges are included on the utility bill? (Check all that apply) - Other (Please Specify) - Text</t>
  </si>
  <si>
    <t xml:space="preserve">Is stormwater included in the utility bill?</t>
  </si>
  <si>
    <t xml:space="preserve">What general government fees are included on the utility bill? (Check all that apply) - Selected Choice [Fire]</t>
  </si>
  <si>
    <t xml:space="preserve">What general government fees are included on the utility bill? (Check all that apply) - Selected Choice [Library]</t>
  </si>
  <si>
    <t xml:space="preserve">What general government fees are included on the utility bill? (Check all that apply) - Selected Choice [Other (Please Specify)]</t>
  </si>
  <si>
    <t xml:space="preserve">What general government fees are included on the utility bill? (Check all that apply) - Selected Choice [Parks &amp; Recreation]</t>
  </si>
  <si>
    <t xml:space="preserve">What general government fees are included on the utility bill? (Check all that apply) - Selected Choice [Police]</t>
  </si>
  <si>
    <t xml:space="preserve">What general government fees are included on the utility bill? (Check all that apply) - Selected Choice [Streets &amp; Streetlights]</t>
  </si>
  <si>
    <t xml:space="preserve">What general government fees are included on the utility bill? (Check all that apply) - Selected Choice [Surface Water Management]</t>
  </si>
  <si>
    <t xml:space="preserve">What general government fees are included on the utility bill? (Check all that apply) - Other (Please Specify) - Text</t>
  </si>
  <si>
    <t xml:space="preserve">Does city ordinance have an automatic CPI/Income adjustment for the following services? - Water</t>
  </si>
  <si>
    <t xml:space="preserve">Does city ordinance have an automatic CPI/Income adjustment for the following services? - Wastewater</t>
  </si>
  <si>
    <t xml:space="preserve">Does city ordinance have an automatic CPI/Income adjustment for the following services? - Stormwater</t>
  </si>
  <si>
    <t xml:space="preserve">Does your city charge for drinking water service?</t>
  </si>
  <si>
    <t xml:space="preserve">What was the last effective date of your city's most recent rate change for water services? (Please respond with the year only)</t>
  </si>
  <si>
    <t xml:space="preserve">Overall, did the rate increase or decrease at the most recent rate change? Please also include the percent (%) change. - Selected Choice</t>
  </si>
  <si>
    <t xml:space="preserve">Overall, did the rate increase or decrease at the most recent rate change? Please also include the percent (%) change. - Increase (% Increase) - Text</t>
  </si>
  <si>
    <t xml:space="preserve">Why did the city change water rates? (Check all that apply) - Selected Choice [Capital Improvement]</t>
  </si>
  <si>
    <t xml:space="preserve">Why did the city change water rates? (Check all that apply) - Selected Choice [Inflation/ CPI]</t>
  </si>
  <si>
    <t xml:space="preserve">Why did the city change water rates? (Check all that apply) - Selected Choice [Labor Costs]</t>
  </si>
  <si>
    <t xml:space="preserve">Why did the city change water rates? (Check all that apply) - Selected Choice [Other (Please Specify)]</t>
  </si>
  <si>
    <t xml:space="preserve">Why did the city change water rates? (Check all that apply) - Selected Choice [State/ Federal Mandate]</t>
  </si>
  <si>
    <t xml:space="preserve">Why did the city change water rates? (Check all that apply) - Selected Choice [Treatment Costs]</t>
  </si>
  <si>
    <t xml:space="preserve">Why did the city change water rates? (Check all that apply) - Other (Please Specify) - Text</t>
  </si>
  <si>
    <t xml:space="preserve">What is the rate structure for your city's water service? - Selected Choice</t>
  </si>
  <si>
    <t xml:space="preserve">What is the rate structure for your city's water service? - Other (Please Specify) - Text</t>
  </si>
  <si>
    <t xml:space="preserve">For water services, if you were to bill a residential customer for 5,000 gallons (6.684 CCFs) with a 3/4'' meter size, what dollar amount would you bill them, including the base rate?</t>
  </si>
  <si>
    <t xml:space="preserve">Does your city charge for wastewater service?</t>
  </si>
  <si>
    <t xml:space="preserve">What was the last effective date of your city's most recent rate change for wastewater services? (Please respond with the year only)</t>
  </si>
  <si>
    <t xml:space="preserve">Overall, did the rate increase or decrease at the most recent rate change? Please include percent (%) change. - Selected Choice</t>
  </si>
  <si>
    <t xml:space="preserve">Overall, did the rate increase or decrease at the most recent rate change? Please include percent (%) change. - Increase (% Increase) - Text</t>
  </si>
  <si>
    <t xml:space="preserve">Why did the city change wastewater rates? (Check all that apply) - Selected Choice [Capital Improvement]</t>
  </si>
  <si>
    <t xml:space="preserve">Why did the city change wastewater rates? (Check all that apply) - Selected Choice [Inflation/ CPI]</t>
  </si>
  <si>
    <t xml:space="preserve">Why did the city change wastewater rates? (Check all that apply) - Selected Choice [Labor Costs]</t>
  </si>
  <si>
    <t xml:space="preserve">Why did the city change wastewater rates? (Check all that apply) - Selected Choice [Other (Please Specify)]</t>
  </si>
  <si>
    <t xml:space="preserve">Why did the city change wastewater rates? (Check all that apply) - Selected Choice [State/ Federal Mandate]</t>
  </si>
  <si>
    <t xml:space="preserve">Why did the city change wastewater rates? (Check all that apply) - Selected Choice [Treatment Costs]</t>
  </si>
  <si>
    <t xml:space="preserve">Why did the city change wastewater rates? (Check all that apply) - Other (Please Specify) - Text</t>
  </si>
  <si>
    <t xml:space="preserve">What is the rate structure for your city's wastewater service? - Selected Choice</t>
  </si>
  <si>
    <t xml:space="preserve">What is the rate structure for your city's wastewater service? - Other (Please Specify) - Text</t>
  </si>
  <si>
    <t xml:space="preserve">For wastewater services, if you were to bill a residential customer for 5,000 gallons (6.684 CCFs) with a 3/4'' meter size, what dollar amount would you bill them, including the base rate?</t>
  </si>
  <si>
    <t xml:space="preserve">Does your city charge for stormwater service?</t>
  </si>
  <si>
    <t xml:space="preserve">What was the last effective date of your city's most recent rate change for stormwater services? (Please respond with the year only)</t>
  </si>
  <si>
    <t xml:space="preserve">Overall, did the rate increase or decrease at the most recent rate change? Please include the percent (%) change. - Selected Choice</t>
  </si>
  <si>
    <t xml:space="preserve">Overall, did the rate increase or decrease at the most recent rate change? Please include the percent (%) change. - Increase (% Increase) - Text</t>
  </si>
  <si>
    <t xml:space="preserve">Is your city subject to an MS4 Phase I or Phase II (DEQ Issued Stormwater) Permit?</t>
  </si>
  <si>
    <t xml:space="preserve">Why did the city change stormwater rates? (Check all that apply) - Selected Choice [Capital Improvement]</t>
  </si>
  <si>
    <t xml:space="preserve">Why did the city change stormwater rates? (Check all that apply) - Selected Choice [Inflation/ CPI]</t>
  </si>
  <si>
    <t xml:space="preserve">Why did the city change stormwater rates? (Check all that apply) - Selected Choice [Labor Costs]</t>
  </si>
  <si>
    <t xml:space="preserve">Why did the city change stormwater rates? (Check all that apply) - Selected Choice [Other (Please Specify)]</t>
  </si>
  <si>
    <t xml:space="preserve">Why did the city change stormwater rates? (Check all that apply) - Selected Choice [State/ Federal Mandate]</t>
  </si>
  <si>
    <t xml:space="preserve">Why did the city change stormwater rates? (Check all that apply) - Selected Choice [Treatment Costs]</t>
  </si>
  <si>
    <t xml:space="preserve">Why did the city change stormwater rates? (Check all that apply) - Other (Please Specify) - Text</t>
  </si>
  <si>
    <t xml:space="preserve">What is the rate structure for your city's stormwater service? - Selected Choice</t>
  </si>
  <si>
    <t xml:space="preserve">What is the rate structure for your city's stormwater service? - Other (Please Specify) - Text</t>
  </si>
  <si>
    <t xml:space="preserve">Does your city offer stormwater fee reductions or credits for onsite stormwater management?</t>
  </si>
  <si>
    <t xml:space="preserve">Please describe the reduction or credit (including the amount for onsite stormwater management)</t>
  </si>
  <si>
    <t xml:space="preserve">What does the average house pay for stormwater services (dollars per month)?</t>
  </si>
  <si>
    <t xml:space="preserve">Does your city provide drinking water services?</t>
  </si>
  <si>
    <t xml:space="preserve">What is the service population in 2024? - Service Population (Permanent Residents) - Inside City Limits</t>
  </si>
  <si>
    <t xml:space="preserve">What is the service population in 2024? - Service Population (Permanent Residents) - Outside City Limits</t>
  </si>
  <si>
    <t xml:space="preserve">What is the service population in 2024? - Service Population (Including Peak Seasonal) - Inside City Limits</t>
  </si>
  <si>
    <t xml:space="preserve">What is the service population in 2024? - Service Population (Including Peak Seasonal) - Outside City Limits</t>
  </si>
  <si>
    <t xml:space="preserve">Please list the number of connections for the following: - Residential - Inside City Limits</t>
  </si>
  <si>
    <t xml:space="preserve">Please list the number of connections for the following: - Residential - Outside City Limits</t>
  </si>
  <si>
    <t xml:space="preserve">Please list the number of connections for the following: - Commercial - Inside City Limits</t>
  </si>
  <si>
    <t xml:space="preserve">Please list the number of connections for the following: - Commercial - Outside City Limits</t>
  </si>
  <si>
    <t xml:space="preserve">Please list the number of connections for the following: - Other - Inside City Limits</t>
  </si>
  <si>
    <t xml:space="preserve">Please list the number of connections for the following: - Other - Outside City Limits</t>
  </si>
  <si>
    <t xml:space="preserve">What is the annual average water consumption for residential customers (in gallons)?</t>
  </si>
  <si>
    <t xml:space="preserve">Please provide the following facility and water source information: - Total miles of water lines (all sizes), not including service laterals</t>
  </si>
  <si>
    <t xml:space="preserve">Please provide the following facility and water source information: - Total number of pumps and lift stations in your city</t>
  </si>
  <si>
    <t xml:space="preserve">Please provide the following facility and water source information: - How many levels or zones based on elevation do you have?</t>
  </si>
  <si>
    <t xml:space="preserve">Please provide the following facility and water source information: - How far away is the water source from the city (miles)?</t>
  </si>
  <si>
    <t xml:space="preserve">Please provide the following system age and capacity information: - Year of original system construction completion</t>
  </si>
  <si>
    <t xml:space="preserve">Please provide the following system age and capacity information: - Year of last major update</t>
  </si>
  <si>
    <t xml:space="preserve">Please provide the following system age and capacity information: - What is the capacity of your water source?</t>
  </si>
  <si>
    <t xml:space="preserve">Please provide the following system age and capacity information: - What is the design capacity of your water plant(s) (MGD)?</t>
  </si>
  <si>
    <t xml:space="preserve">Please provide the following system age and capacity information: - What was the average daily production in 2024 (MG)?</t>
  </si>
  <si>
    <t xml:space="preserve">Please provide the following system age and capacity information: - How much of your daily average production is sold (not including city use)?</t>
  </si>
  <si>
    <t xml:space="preserve">Please provide the following system age and capacity information: - What was the peak flow of water treated in a 24-hour period in 2024 ?</t>
  </si>
  <si>
    <t xml:space="preserve">Please list the amount of raw and treated water storage you have for the different types of applicable storage: - Closed Tanks - Raw Water Storage (MG)</t>
  </si>
  <si>
    <t xml:space="preserve">Please list the amount of raw and treated water storage you have for the different types of applicable storage: - Closed Tanks - Treated Water Storage (MG)</t>
  </si>
  <si>
    <t xml:space="preserve">Please list the amount of raw and treated water storage you have for the different types of applicable storage: - Covered Urban Reservoirs - Raw Water Storage (MG)</t>
  </si>
  <si>
    <t xml:space="preserve">Please list the amount of raw and treated water storage you have for the different types of applicable storage: - Covered Urban Reservoirs - Treated Water Storage (MG)</t>
  </si>
  <si>
    <t xml:space="preserve">Please list the amount of raw and treated water storage you have for the different types of applicable storage: - ASR Reservoir - Raw Water Storage (MG)</t>
  </si>
  <si>
    <t xml:space="preserve">Please list the amount of raw and treated water storage you have for the different types of applicable storage: - ASR Reservoir - Treated Water Storage (MG)</t>
  </si>
  <si>
    <t xml:space="preserve">Please list the amount of raw and treated water storage you have for the different types of applicable storage: - Other (Please Specify) - Text</t>
  </si>
  <si>
    <t xml:space="preserve">Please list the amount of raw and treated water storage you have for the different types of applicable storage: - Other (Please Specify) - Raw Water Storage (MG)</t>
  </si>
  <si>
    <t xml:space="preserve">Please list the amount of raw and treated water storage you have for the different types of applicable storage: - Other (Please Specify) - Treated Water Storage (MG)</t>
  </si>
  <si>
    <t xml:space="preserve">In what year will your daily production exceed design capacity?</t>
  </si>
  <si>
    <t xml:space="preserve">Does your city have an approved water conservation and management plan?</t>
  </si>
  <si>
    <t xml:space="preserve">Do you measure water loss?</t>
  </si>
  <si>
    <t xml:space="preserve">What method is used to determine water loss in the system? - Selected Choice</t>
  </si>
  <si>
    <t xml:space="preserve">What method is used to determine water loss in the system? - Other (Please Specify) - Text</t>
  </si>
  <si>
    <t xml:space="preserve">What percentage of the system does each type of meter represent? - Radio (%)</t>
  </si>
  <si>
    <t xml:space="preserve">What percentage of the system does each type of meter represent? - Touch (%)</t>
  </si>
  <si>
    <t xml:space="preserve">What percentage of the system does each type of meter represent? - Manual Read (%)</t>
  </si>
  <si>
    <t xml:space="preserve">Do you have any additional comments on water services?</t>
  </si>
  <si>
    <t xml:space="preserve">Does your city provide wastewater services?</t>
  </si>
  <si>
    <t xml:space="preserve">What is the annual average wastewater base (volume) for a residential customer (x1000 gal. or 1.337 CCFs)?</t>
  </si>
  <si>
    <t xml:space="preserve">Please provide the following facility, lines, and treatment information: - Total miles of sewer lines (all sizes), not including service laterals</t>
  </si>
  <si>
    <t xml:space="preserve">Please provide the following facility, lines, and treatment information: - Total number of pumps and lift stations in your city</t>
  </si>
  <si>
    <t xml:space="preserve">Please provide the following facility, lines, and treatment information: - Total number of treatment plants</t>
  </si>
  <si>
    <t xml:space="preserve">Please provide the following facility, lines, and treatment information: - What percent of city wastewater lines also serve stormwater (i.e. combined sewer)?</t>
  </si>
  <si>
    <t xml:space="preserve">What level of wastewater treatment is provided to city wastewater (Check all that apply)? - Selected Choice [Advanced Treatment/ Tertiary]</t>
  </si>
  <si>
    <t xml:space="preserve">What level of wastewater treatment is provided to city wastewater (Check all that apply)? - Selected Choice [Nitrogen Removal]</t>
  </si>
  <si>
    <t xml:space="preserve">What level of wastewater treatment is provided to city wastewater (Check all that apply)? - Selected Choice [Other (Please Specify)]</t>
  </si>
  <si>
    <t xml:space="preserve">What level of wastewater treatment is provided to city wastewater (Check all that apply)? - Selected Choice [Phosphorous Removal]</t>
  </si>
  <si>
    <t xml:space="preserve">What level of wastewater treatment is provided to city wastewater (Check all that apply)? - Selected Choice [Primary]</t>
  </si>
  <si>
    <t xml:space="preserve">What level of wastewater treatment is provided to city wastewater (Check all that apply)? - Selected Choice [Secondary]</t>
  </si>
  <si>
    <t xml:space="preserve">What level of wastewater treatment is provided to city wastewater (Check all that apply)? - Other (Please Specify) - Text</t>
  </si>
  <si>
    <t xml:space="preserve">Please provide the following system age and capacity information: - Year of original plant construction completion</t>
  </si>
  <si>
    <t xml:space="preserve">Please provide the following system age and capacity information: - Year of last major plant update</t>
  </si>
  <si>
    <t xml:space="preserve">Please provide the following system age and capacity information: - What is the design capacity of your treatment plant(s) in dry weather (MGD)?</t>
  </si>
  <si>
    <t xml:space="preserve">Please provide the following system age and capacity information: - What is the design capacity of your treatment plant(s) in peak wet weather (MGD)?</t>
  </si>
  <si>
    <t xml:space="preserve">Please provide the following system age and capacity information: - What is the total amount of wastewater treated in 2024 (MG)?</t>
  </si>
  <si>
    <t xml:space="preserve">Please provide the following system age and capacity information: - What was the peak wet weather flow in 2024 (MGD)?</t>
  </si>
  <si>
    <t xml:space="preserve">Please provide the following system age and capacity information: - What was the peak dry weather flow in 2024 (MGD)?</t>
  </si>
  <si>
    <t xml:space="preserve">At what percent (%) capacity is the entire wastewater system operating?</t>
  </si>
  <si>
    <t xml:space="preserve">In what year will the wastewater system be at maximum capacity?</t>
  </si>
  <si>
    <t xml:space="preserve">Does your city administer an industrial wastewater pre-treatment program?</t>
  </si>
  <si>
    <t xml:space="preserve">Does your city apply or provide reclaimed water to public/private property?</t>
  </si>
  <si>
    <t xml:space="preserve">What percentage (%) of total reclaimed water is reused/applied?</t>
  </si>
  <si>
    <t xml:space="preserve">Where does this reuse and application occur (i.e. city park, private golf course, industrial cooling tower, etc.)?</t>
  </si>
  <si>
    <t xml:space="preserve">Does your city apply biosolids to public/ private property?</t>
  </si>
  <si>
    <t xml:space="preserve">Where does this biosolid application occur (i.e. city park, private golf course, etc.)?</t>
  </si>
  <si>
    <t xml:space="preserve">Does your city landfill biosolids?</t>
  </si>
  <si>
    <t xml:space="preserve">What percentage (%) of biosolids are landfilled?</t>
  </si>
  <si>
    <t xml:space="preserve">Do you have any additional comments on wastewater services?</t>
  </si>
  <si>
    <t xml:space="preserve">Does your city provide stormwater services?</t>
  </si>
  <si>
    <t xml:space="preserve">Please list the number of accounts for the following: - Residential - Inside City Limits</t>
  </si>
  <si>
    <t xml:space="preserve">Please list the number of accounts for the following: - Residential - Outside City Limits</t>
  </si>
  <si>
    <t xml:space="preserve">Please list the number of accounts for the following: - Commercial - Inside City Limits</t>
  </si>
  <si>
    <t xml:space="preserve">Please list the number of accounts for the following: - Commercial - Outside City Limits</t>
  </si>
  <si>
    <t xml:space="preserve">Please list the number of accounts for the following: - Other - Inside City Limits</t>
  </si>
  <si>
    <t xml:space="preserve">Please list the number of accounts for the following: - Other - Outside City Limits</t>
  </si>
  <si>
    <t xml:space="preserve">Please provide the following facility and water source information: - Total miles of piped system</t>
  </si>
  <si>
    <t xml:space="preserve">Please provide the following facility and water source information: - Total miles of open channels, ditches, and swales</t>
  </si>
  <si>
    <t xml:space="preserve">What is the average Equivalent Dwelling Unit (EDU) for residential in square feet?</t>
  </si>
  <si>
    <t xml:space="preserve">Do you have any additional comments on stormwater services?</t>
  </si>
  <si>
    <t xml:space="preserve">Thank You for participating in this survey.
Do you have any additional comments on any topic in this survey?</t>
  </si>
  <si>
    <t xml:space="preserve">Heppner</t>
  </si>
  <si>
    <t xml:space="preserve">We have an internal fund that pays for discounts for "yard of the month," winners.  We have a internal account that contains funds donated for hardship requests.  These requests for payment must be heard by our Utilities Committee or Council.  The usage of utilities donation funds is not at the discretion of employees.</t>
  </si>
  <si>
    <t xml:space="preserve">The adjustment for leaks are only made if due to City error.  Customer error or damage to customer side of supply is the responsibility of the customer.</t>
  </si>
  <si>
    <t xml:space="preserve">No continued charges if meter is locked and no account is open.</t>
  </si>
  <si>
    <t xml:space="preserve">Deposit for new accounts</t>
  </si>
  <si>
    <t xml:space="preserve">none</t>
  </si>
  <si>
    <t xml:space="preserve">We use CPI Water/Wastewater to adjust rate</t>
  </si>
  <si>
    <t xml:space="preserve">Private farmland</t>
  </si>
  <si>
    <t xml:space="preserve">Spray</t>
  </si>
  <si>
    <t xml:space="preserve">If customer has fallen on hard times, the council will waive a month or if there is a water leak that is not the property owners fault</t>
  </si>
  <si>
    <t xml:space="preserve">Still pay monthly rate unless ask for water to be turned off</t>
  </si>
  <si>
    <t xml:space="preserve">Canyon City</t>
  </si>
  <si>
    <t xml:space="preserve">currently working on a major water project</t>
  </si>
  <si>
    <t xml:space="preserve">Our wastewater plant is in a John Day about a mile out of town.</t>
  </si>
  <si>
    <t xml:space="preserve">Nehalem</t>
  </si>
  <si>
    <t xml:space="preserve">They are allowed up to 50% of an overage 2 times a year</t>
  </si>
  <si>
    <t xml:space="preserve">n/a</t>
  </si>
  <si>
    <t xml:space="preserve">if the onwer is hooked up to the system they are still charge the monthly base rate.</t>
  </si>
  <si>
    <t xml:space="preserve">Gates</t>
  </si>
  <si>
    <t xml:space="preserve">NA</t>
  </si>
  <si>
    <t xml:space="preserve">NSF if needed</t>
  </si>
  <si>
    <t xml:space="preserve">Street Fee</t>
  </si>
  <si>
    <t xml:space="preserve">Monthly Base Rate (includes 1,000 gl plus $4.00 per 1,000 gls</t>
  </si>
  <si>
    <t xml:space="preserve">?</t>
  </si>
  <si>
    <t xml:space="preserve">Glendale</t>
  </si>
  <si>
    <t xml:space="preserve">private ranch</t>
  </si>
  <si>
    <t xml:space="preserve">Joseph</t>
  </si>
  <si>
    <t xml:space="preserve">as long as the user has been actively working to fix the leak</t>
  </si>
  <si>
    <t xml:space="preserve">unknown</t>
  </si>
  <si>
    <t xml:space="preserve">2023</t>
  </si>
  <si>
    <t xml:space="preserve">Water services are discontinued, sewer services continue to be charged.</t>
  </si>
  <si>
    <t xml:space="preserve">Water Project to upgrade infrastructure</t>
  </si>
  <si>
    <t xml:space="preserve">DEQ required update costs</t>
  </si>
  <si>
    <t xml:space="preserve">Local ranch</t>
  </si>
  <si>
    <t xml:space="preserve">no</t>
  </si>
  <si>
    <t xml:space="preserve">Ashland</t>
  </si>
  <si>
    <t xml:space="preserve">Low income discount of 30% if customer is at or below 200% Federal Poverty Level up to $400.</t>
  </si>
  <si>
    <t xml:space="preserve">18 months</t>
  </si>
  <si>
    <t xml:space="preserve">We would look at the same time period the previous year, and give the customer up to 50% credit compared to that time period. If they are a commercial user, we would also decrease their sewer charge accordingly.</t>
  </si>
  <si>
    <t xml:space="preserve">2022</t>
  </si>
  <si>
    <t xml:space="preserve">2020</t>
  </si>
  <si>
    <t xml:space="preserve">2019</t>
  </si>
  <si>
    <t xml:space="preserve">The rates were increased not by a flat percentage, but looked at each rate class and appropriate charge. We also changed the tier structure.</t>
  </si>
  <si>
    <t xml:space="preserve">Winter average+flat</t>
  </si>
  <si>
    <t xml:space="preserve">na</t>
  </si>
  <si>
    <t xml:space="preserve">0%</t>
  </si>
  <si>
    <t xml:space="preserve">Irrigon</t>
  </si>
  <si>
    <t xml:space="preserve">2006</t>
  </si>
  <si>
    <t xml:space="preserve">N/A</t>
  </si>
  <si>
    <t xml:space="preserve">Revenue Bonds stay static</t>
  </si>
  <si>
    <t xml:space="preserve">Unknown</t>
  </si>
  <si>
    <t xml:space="preserve">2035 est</t>
  </si>
  <si>
    <t xml:space="preserve">None</t>
  </si>
  <si>
    <t xml:space="preserve">Got to Love surveys.  So how much can we get?</t>
  </si>
  <si>
    <t xml:space="preserve">Long Creek</t>
  </si>
  <si>
    <t xml:space="preserve">Hardship cases are dealt with individually.</t>
  </si>
  <si>
    <t xml:space="preserve">only for overage charges</t>
  </si>
  <si>
    <t xml:space="preserve">2024-2025</t>
  </si>
  <si>
    <t xml:space="preserve">OVERALL COST INCREASES</t>
  </si>
  <si>
    <t xml:space="preserve">undetermined</t>
  </si>
  <si>
    <t xml:space="preserve">Columbia City</t>
  </si>
  <si>
    <t xml:space="preserve">eligible for 2 months leak credit if fixed in a timely manner and the adj is a percentage of what the leak amount is calculated at</t>
  </si>
  <si>
    <t xml:space="preserve">Wastewater leak credits are not done for the months of June - September because only a flat rate is charged during the summer months.  October - May the leak credit is calculated for up to 2 months if done in a timely manner and is a percentage of what the leak amount is calculated at</t>
  </si>
  <si>
    <t xml:space="preserve">unk</t>
  </si>
  <si>
    <t xml:space="preserve">Close account with no charges until opened by next occupant unless the property owner requests to have water left on in their name</t>
  </si>
  <si>
    <t xml:space="preserve">Flat rate + water used</t>
  </si>
  <si>
    <t xml:space="preserve">never</t>
  </si>
  <si>
    <t xml:space="preserve">All wastewater is pumped to St Helens to be treated</t>
  </si>
  <si>
    <t xml:space="preserve">Seaside</t>
  </si>
  <si>
    <t xml:space="preserve">We provide a discount for repaired water leaks. Billing errors are handled on a case by case basis.</t>
  </si>
  <si>
    <t xml:space="preserve">To the demonstrated start of the leak (based on usage), as long as repair is done in a reasonable amount of time.</t>
  </si>
  <si>
    <t xml:space="preserve">We offer a one time reduction for repaired leaks. If approved then the City will waive half of the leak amount above a customer's average bill.</t>
  </si>
  <si>
    <t xml:space="preserve">Charges continue and are the responsibility of the homeowner</t>
  </si>
  <si>
    <t xml:space="preserve">Flat rate for residential, flat rate plus usage for commercial</t>
  </si>
  <si>
    <t xml:space="preserve">Given to local and City-owned farms</t>
  </si>
  <si>
    <t xml:space="preserve">Wheeler</t>
  </si>
  <si>
    <t xml:space="preserve">Liens are only issued in severe cases - We've never had to use this method before but our code allows it</t>
  </si>
  <si>
    <t xml:space="preserve">If a customer can show hardship, the City Manager has the authority to grant exceptions to the rule - but this must include the creation of a repayment plan that is feasible for both the City and the water customer.</t>
  </si>
  <si>
    <t xml:space="preserve">2012</t>
  </si>
  <si>
    <t xml:space="preserve">Traffic &amp; Safety</t>
  </si>
  <si>
    <t xml:space="preserve">2050ish</t>
  </si>
  <si>
    <t xml:space="preserve">Fairview</t>
  </si>
  <si>
    <t xml:space="preserve">WATER AND SEWER ARE MONTHLY.  SEWER ONLY IS BI-MONTHLY</t>
  </si>
  <si>
    <t xml:space="preserve">SNOWBIRD IS 35% DISCOUNT FOR SEWER</t>
  </si>
  <si>
    <t xml:space="preserve">2021</t>
  </si>
  <si>
    <t xml:space="preserve">2025</t>
  </si>
  <si>
    <t xml:space="preserve">CAPITAL IMPROVEMENT</t>
  </si>
  <si>
    <t xml:space="preserve">CAN PETITION FOR REDUCTION</t>
  </si>
  <si>
    <t xml:space="preserve">Bay City</t>
  </si>
  <si>
    <t xml:space="preserve">Summer irrigation waiver of sewer fees; leak credit for sewer fee and 50% of water charge; option to suspend service for vacation time</t>
  </si>
  <si>
    <t xml:space="preserve">In the case of leaks or summer irrigation, we waive the additional consumption (over the base amount, or the average winter consumption volume).</t>
  </si>
  <si>
    <t xml:space="preserve">2010</t>
  </si>
  <si>
    <t xml:space="preserve">2024</t>
  </si>
  <si>
    <t xml:space="preserve">We do not charge water or sewer, but charge Street Maintenance Fee</t>
  </si>
  <si>
    <t xml:space="preserve">Water consumption</t>
  </si>
  <si>
    <t xml:space="preserve">2050</t>
  </si>
  <si>
    <t xml:space="preserve">2040</t>
  </si>
  <si>
    <t xml:space="preserve">Millersburg</t>
  </si>
  <si>
    <t xml:space="preserve">Customer can get credit for one billing cycle (approx. 60 days).  There is not a specific</t>
  </si>
  <si>
    <t xml:space="preserve">Where a water leak exists underground between the meter and the building during the monitoring period for wastewater flow charges, the utility may allow for an adjustment on the wastewater variable charges. In order to qualify for a credit, the leak must be large enough to cause the total consumption to be greater than one and one-half the average amount that has been previously charged to the premises, and the leak must be repaired within 30 days after the customer has been notified of such leak. For most customers, the variable charges will be adjusted to reflect past winter water consumption records for the property. For customers that are billed based on actual monthly water consumption, the variable charges will be calculated using an estimate of consumption based either upon the customer's prior use during the same season of the year or upon a reasonable comparison with the use of other customers receiving the same class of service during the same period and under similar circumstances and conditions. Where past water consumption records are not available, the variable charges will be adjusted to reflect the average water consumption for similar accounts.</t>
  </si>
  <si>
    <t xml:space="preserve">Adopted schedule of increases from rate study in 2021</t>
  </si>
  <si>
    <t xml:space="preserve">Flat + Constant Rate</t>
  </si>
  <si>
    <t xml:space="preserve">Adopted schedule of rate increases from 2021</t>
  </si>
  <si>
    <t xml:space="preserve">Flat rate plus winter average water consumption used all year</t>
  </si>
  <si>
    <t xml:space="preserve">Millersburg shares a treatment plant with Albany.  Plant operations and production rates are reflective of both communities. Albany operates the plant.</t>
  </si>
  <si>
    <t xml:space="preserve">Millersburg and Albany jointly own the wastewater plant.  Albany operates the plant and administers Millersburg's industrial pretreatment program.</t>
  </si>
  <si>
    <t xml:space="preserve">Richland</t>
  </si>
  <si>
    <t xml:space="preserve">If we find a month we back out all overages for the current month.</t>
  </si>
  <si>
    <t xml:space="preserve">Base Rate then overages for anything over the alloted number of gallons</t>
  </si>
  <si>
    <t xml:space="preserve">Scotts Mills</t>
  </si>
  <si>
    <t xml:space="preserve">Every other month</t>
  </si>
  <si>
    <t xml:space="preserve">Council has to approve it but typically we look at the previous same billing period and cut 50% of the overage credited back to customer.</t>
  </si>
  <si>
    <t xml:space="preserve">Elgin</t>
  </si>
  <si>
    <t xml:space="preserve">City employees and first responders receive water discounts</t>
  </si>
  <si>
    <t xml:space="preserve">Canyonville</t>
  </si>
  <si>
    <t xml:space="preserve">The late fee can be waived if they have not been late during that year. No discounts and no reductions given.</t>
  </si>
  <si>
    <t xml:space="preserve">We do not make adjustments to water bill unless the water useage is extremely high and then we look at their monthly useage and adjust accordenly.</t>
  </si>
  <si>
    <t xml:space="preserve">Usually will adjust off any of the overage that is calculated by the water overage.</t>
  </si>
  <si>
    <t xml:space="preserve">2015</t>
  </si>
  <si>
    <t xml:space="preserve">Owner required to pay base rate for water/wasetwater</t>
  </si>
  <si>
    <t xml:space="preserve">Deposit of 2 1/2 times the base rate for water/wastewater</t>
  </si>
  <si>
    <t xml:space="preserve">base rate plus consumption</t>
  </si>
  <si>
    <t xml:space="preserve">flat rate (wtr 1200 cf) plus overage</t>
  </si>
  <si>
    <t xml:space="preserve">Sweet Home</t>
  </si>
  <si>
    <t xml:space="preserve">Documentation showing low income is provided along with a completed form.</t>
  </si>
  <si>
    <t xml:space="preserve">Will adjustment 2 months of bills. Must be requested within 6 months of issue.</t>
  </si>
  <si>
    <t xml:space="preserve">In the winter months and adjustment based on a 12-month average. The adjustment will be made to bring the billing to the 12 month average.</t>
  </si>
  <si>
    <t xml:space="preserve">2043</t>
  </si>
  <si>
    <t xml:space="preserve">1994</t>
  </si>
  <si>
    <t xml:space="preserve">46.64 miles</t>
  </si>
  <si>
    <t xml:space="preserve">Maywood Park</t>
  </si>
  <si>
    <t xml:space="preserve">Oakridge</t>
  </si>
  <si>
    <t xml:space="preserve">$6 Ambulance Service Fee</t>
  </si>
  <si>
    <t xml:space="preserve">Port Orford</t>
  </si>
  <si>
    <t xml:space="preserve">We only read meters once a month, so people can have one catastrophic leak forgiven each year. Sewer credits are given if the leak is not going to the sewer.</t>
  </si>
  <si>
    <t xml:space="preserve">We adjust at a percentage depending where the leak happened. EX: if the overage was from a leak in the yard, 100% forgiveness on that portion would be given. If there was a leak in the yard but the plumber also fixed a leaky kitchen faucet, 50% would be given. If the shower leaked, no sewer credit would be given. It is up to the team/ me to decide based on evidence submitted.</t>
  </si>
  <si>
    <t xml:space="preserve">Rufus</t>
  </si>
  <si>
    <t xml:space="preserve">Payment arrangements</t>
  </si>
  <si>
    <t xml:space="preserve">We will go back to the point leak is detected and adjust 50% of the over average usage</t>
  </si>
  <si>
    <t xml:space="preserve">Unsure</t>
  </si>
  <si>
    <t xml:space="preserve">only close account at request of owner.  If renter moves out, automatically goes into owner's name unless requested to close accout.</t>
  </si>
  <si>
    <t xml:space="preserve">Water maintenance fee and sewer maintenance fee</t>
  </si>
  <si>
    <t xml:space="preserve">Not meeting Debt Service Requiremen</t>
  </si>
  <si>
    <t xml:space="preserve">Base rate plus Usage</t>
  </si>
  <si>
    <t xml:space="preserve">more than 50 years</t>
  </si>
  <si>
    <t xml:space="preserve">Lagoon, Natural</t>
  </si>
  <si>
    <t xml:space="preserve">2026- system is being upgraded this year to accomodate issues</t>
  </si>
  <si>
    <t xml:space="preserve">2026 - Effulent irrigation is being replaced this fall</t>
  </si>
  <si>
    <t xml:space="preserve">70%</t>
  </si>
  <si>
    <t xml:space="preserve">Wastewater Treatment plant is replacing most key items for the irrigation system.  This will change exceeds capacity to 2050.</t>
  </si>
  <si>
    <t xml:space="preserve">Arlington</t>
  </si>
  <si>
    <t xml:space="preserve">Collections don't happen until someone leaves without paying their final bill. The City waives utility charges for our EMS, Fire Hall, and Police Office.</t>
  </si>
  <si>
    <t xml:space="preserve">Depending on situation.</t>
  </si>
  <si>
    <t xml:space="preserve">They have to come to us to let us know someone has moved out.</t>
  </si>
  <si>
    <t xml:space="preserve">Turn on is charged.</t>
  </si>
  <si>
    <t xml:space="preserve">Water, sewer, sanitation, and water overage usage above 7500 gallons per month. Out of town rate for water is $6 more than in town,</t>
  </si>
  <si>
    <t xml:space="preserve">Water, sewer, sanitation, and water overage usage above 7500 gallons per month.</t>
  </si>
  <si>
    <t xml:space="preserve">Halsey</t>
  </si>
  <si>
    <t xml:space="preserve">We utilize historical use data and adjust to pre-leak usage</t>
  </si>
  <si>
    <t xml:space="preserve">Wastewater is calculated based on water usage so when water is adjusted due to leak detection we also adjust wastewater to match the adjusted water usage rate calculated on the corrected bill</t>
  </si>
  <si>
    <t xml:space="preserve">No</t>
  </si>
  <si>
    <t xml:space="preserve">If a property is vacant but the owner has not requested account closure the account remains open and is billed normally.</t>
  </si>
  <si>
    <t xml:space="preserve">Turn on fees</t>
  </si>
  <si>
    <t xml:space="preserve">Flat rate based on water consumption in the month billed</t>
  </si>
  <si>
    <t xml:space="preserve">Mt. Vernon</t>
  </si>
  <si>
    <t xml:space="preserve">Most people find it by then.</t>
  </si>
  <si>
    <t xml:space="preserve">Roseburg</t>
  </si>
  <si>
    <t xml:space="preserve">every 2 months</t>
  </si>
  <si>
    <t xml:space="preserve">account reverts to the property owner who is responsible for the base water fees and the storm water fees</t>
  </si>
  <si>
    <t xml:space="preserve">by the amount of permanent reduction to the runoff coefficient for the property due to the retention system.</t>
  </si>
  <si>
    <t xml:space="preserve">0</t>
  </si>
  <si>
    <t xml:space="preserve">It has not exceeded capacity</t>
  </si>
  <si>
    <t xml:space="preserve">Ione</t>
  </si>
  <si>
    <t xml:space="preserve">Yamhill</t>
  </si>
  <si>
    <t xml:space="preserve">Or since they are notified of possible leak</t>
  </si>
  <si>
    <t xml:space="preserve">Water used only, no base rate. No sewer charge.</t>
  </si>
  <si>
    <t xml:space="preserve">City services fees for police and stormwater</t>
  </si>
  <si>
    <t xml:space="preserve">Imbler</t>
  </si>
  <si>
    <t xml:space="preserve">Ukiah</t>
  </si>
  <si>
    <t xml:space="preserve">St. Helens</t>
  </si>
  <si>
    <t xml:space="preserve">2 months</t>
  </si>
  <si>
    <t xml:space="preserve">Charge base rates to vacant properties.</t>
  </si>
  <si>
    <t xml:space="preserve">Public Safety Facility Fee</t>
  </si>
  <si>
    <t xml:space="preserve">Flat + volume(water). Winter average avail</t>
  </si>
  <si>
    <t xml:space="preserve">Flat rate per EDU</t>
  </si>
  <si>
    <t xml:space="preserve">Cascade Locks</t>
  </si>
  <si>
    <t xml:space="preserve">Paisley</t>
  </si>
  <si>
    <t xml:space="preserve">Customer needs to make an effort of fixing leak and talking to water maintenance to make adjustments on bill.</t>
  </si>
  <si>
    <t xml:space="preserve">Cave Junction</t>
  </si>
  <si>
    <t xml:space="preserve">Customer is responsible for any leaks on their side of the meter</t>
  </si>
  <si>
    <t xml:space="preserve">Malin</t>
  </si>
  <si>
    <t xml:space="preserve">10% discount for veterans.  Non profit organizations pay $25 per year.</t>
  </si>
  <si>
    <t xml:space="preserve">Vernonia</t>
  </si>
  <si>
    <t xml:space="preserve">West Linn</t>
  </si>
  <si>
    <t xml:space="preserve">We have a low income assistance program that is based off of 185% of the Federal Poverty line. If customer applies and provides proof of income that their household income is below that limit, then they get approximately a $70 reduction on their bill.</t>
  </si>
  <si>
    <t xml:space="preserve">We allow customers to apply for a leak adjustment up to 12 months after the leak occurred. We compare the current water usage with the prior year, split the overage and provide a credit. For residential customers, sewer charges are flat so no credit. For commercial customers, we do provide a sewer credit if applicable.</t>
  </si>
  <si>
    <t xml:space="preserve">For sewer, residential customers have flat sewer charges so there is no adjustment because they receive the same flat rate. For commercial customers, we charge them the same amount of water CCUs. The first 10 CCUs are included in base billing and then after that there is a per CCU fee. If a commercial property has a leak adjustment, then we do also review sewer charges and provide a pro-rated rebate over 10 CCUs.</t>
  </si>
  <si>
    <t xml:space="preserve">free</t>
  </si>
  <si>
    <t xml:space="preserve">Gresham</t>
  </si>
  <si>
    <t xml:space="preserve">Cornelius</t>
  </si>
  <si>
    <t xml:space="preserve">Senior Discount of $5 per month. Utility relief for those that qualify - Max of $300 per year up to two monthly bills.</t>
  </si>
  <si>
    <t xml:space="preserve">Typically only 30 days. If the leak crossed multiple billing cycles we will go back 60 days.</t>
  </si>
  <si>
    <t xml:space="preserve">A portion of the Wastewater (sewer) billing is based on the customers prior year 6 month average for the months of October-April. If a leak occurred during these 6 months then we exclude the leak month and re-calculate the average.</t>
  </si>
  <si>
    <t xml:space="preserve">All properties charged for Stormwater whether vacant or occupied.</t>
  </si>
  <si>
    <t xml:space="preserve">General Service Fee</t>
  </si>
  <si>
    <t xml:space="preserve">General Services Fee</t>
  </si>
  <si>
    <t xml:space="preserve">Passthrough fee from partner agency CWS</t>
  </si>
  <si>
    <t xml:space="preserve">Flat rate plus winter average</t>
  </si>
  <si>
    <t xml:space="preserve">passthrough fee from partner agency CWS</t>
  </si>
  <si>
    <t xml:space="preserve">The credit is for System Development Charges only. Customers still pay the full monthly service fees.</t>
  </si>
  <si>
    <t xml:space="preserve">Water is purchased wholesale from the City of Cornelius. Cornelius has a water tower and an ASR Resevoir</t>
  </si>
  <si>
    <t xml:space="preserve">Unknown - treatment is handled by CWS</t>
  </si>
  <si>
    <t xml:space="preserve">Unknown - managed by CWS</t>
  </si>
  <si>
    <t xml:space="preserve">Wastewater (sewer) is treated and managed by CWS</t>
  </si>
  <si>
    <t xml:space="preserve">robo call prior to disconnect; email reminders at certain trigger points</t>
  </si>
  <si>
    <t xml:space="preserve">Customer must fix water leak within 30 days to receive leak forgiveness.</t>
  </si>
  <si>
    <t xml:space="preserve">2013</t>
  </si>
  <si>
    <t xml:space="preserve">Most vacate property owners choose to close their utility account, however some property owners choose to leave utilities on and pay a normal bill. It is the account holders responsibility to close the account.</t>
  </si>
  <si>
    <t xml:space="preserve">Restricting access to water meter by vehicle, vegetation, etc</t>
  </si>
  <si>
    <t xml:space="preserve">Utility rates are adjusted annually based on next fiscal year's budget</t>
  </si>
  <si>
    <t xml:space="preserve">Base + consumption</t>
  </si>
  <si>
    <t xml:space="preserve">Base + consumption (winter average)</t>
  </si>
  <si>
    <t xml:space="preserve">Lake Oswego</t>
  </si>
  <si>
    <t xml:space="preserve">50% reduction for households below the poverty line</t>
  </si>
  <si>
    <t xml:space="preserve">Up to two billing cycles</t>
  </si>
  <si>
    <t xml:space="preserve">Based on water winter time consumption.  Will use previous year's read.</t>
  </si>
  <si>
    <t xml:space="preserve">2014</t>
  </si>
  <si>
    <t xml:space="preserve">2009</t>
  </si>
  <si>
    <t xml:space="preserve">Street Maintenance</t>
  </si>
  <si>
    <t xml:space="preserve">2045</t>
  </si>
  <si>
    <t xml:space="preserve">AMI conversion should be completed by the end of 2025</t>
  </si>
  <si>
    <t xml:space="preserve">Operated by Portland - BES</t>
  </si>
  <si>
    <t xml:space="preserve">10</t>
  </si>
  <si>
    <t xml:space="preserve">Dallas</t>
  </si>
  <si>
    <t xml:space="preserve">2016</t>
  </si>
  <si>
    <t xml:space="preserve">Public Safety Fee</t>
  </si>
  <si>
    <t xml:space="preserve">Rockaway Beach</t>
  </si>
  <si>
    <t xml:space="preserve">unless shut off w/fee, bills continue</t>
  </si>
  <si>
    <t xml:space="preserve">Emergency Services (covers fire, police, or other)</t>
  </si>
  <si>
    <t xml:space="preserve">Grants Pass</t>
  </si>
  <si>
    <t xml:space="preserve">Maximum of three bills, leak must be repaired within 10 days of discovery.</t>
  </si>
  <si>
    <t xml:space="preserve">Reduction of wastewater charges for residential/multi-family if leak occurred during the rate calculation period. 
100% for commercial if leak occurred outside and 50% reduction if leak occurred inside.</t>
  </si>
  <si>
    <t xml:space="preserve">2011</t>
  </si>
  <si>
    <t xml:space="preserve">2019 - Implementation</t>
  </si>
  <si>
    <t xml:space="preserve">Commercial based on water use</t>
  </si>
  <si>
    <t xml:space="preserve">Parcel must include on site stormwater mitigation facility maintained by property owner
C=Fx45%
C= credit amount
F= total monthly amount w/out credit</t>
  </si>
  <si>
    <t xml:space="preserve">Jordan Valley</t>
  </si>
  <si>
    <t xml:space="preserve">charged normal rate</t>
  </si>
  <si>
    <t xml:space="preserve">Bandon</t>
  </si>
  <si>
    <t xml:space="preserve">Calculate a 12-month history of water bills, divide by 12 to get the approximate usage per month.  If over the first 2,000 gallons (base rate), adjusted by a 1,000 fee rate.  Leak adjustment is leak usage minus average usage.</t>
  </si>
  <si>
    <t xml:space="preserve">Do not have this information</t>
  </si>
  <si>
    <t xml:space="preserve">City Tax 10%</t>
  </si>
  <si>
    <t xml:space="preserve">Consumption charge per 1000 gallons</t>
  </si>
  <si>
    <t xml:space="preserve">Consumption summer 2.70 winter 4.01 per 1,000</t>
  </si>
  <si>
    <t xml:space="preserve">38-acre field, used only during dry weather (April-October).</t>
  </si>
  <si>
    <t xml:space="preserve">Carlton</t>
  </si>
  <si>
    <t xml:space="preserve">Hood River</t>
  </si>
  <si>
    <t xml:space="preserve">Low-Income Assistance Program. If qualified, utility customer bill will be reduced.</t>
  </si>
  <si>
    <t xml:space="preserve">Wastewater adjustments are made only for Commercial Accounts under Sewer Commodity. No wastewater adjustments are made for residential customers.</t>
  </si>
  <si>
    <t xml:space="preserve">Normal rates charged</t>
  </si>
  <si>
    <t xml:space="preserve">Shut Off and Door Hanger</t>
  </si>
  <si>
    <t xml:space="preserve">2036</t>
  </si>
  <si>
    <t xml:space="preserve">Various regulated/permitted fields. Biosolids are land applied in bulk to agricultural land.</t>
  </si>
  <si>
    <t xml:space="preserve">8</t>
  </si>
  <si>
    <t xml:space="preserve">-	The program offers a 27% maximum reduction of the stormwater user charge portion of the water/sewer/stormwater bill if a property meets the following requirements: (1) For a 27% discount, at least 75% of the property’s hard surfaces must drain and remain on the property, without seepage to the street, creek, ditch, or river or flow to any off-site property or facility; (2) For a 14% discount, at least 50% of the property’s hard surfaces drain and remain on the property, without seepage to the street, creek, ditch, or river or flow to any off-site property or facility; and (3) If less than 50% of a property’s hard surfaces drain onto the property, no discount applies. The discount is granted to the active stormwater rate payer for the address listed on the discount application and it is not retroactive</t>
  </si>
  <si>
    <t xml:space="preserve">Current Water Master Plan indicates an existing surplus of 2.7 MGD at the Water Filtration Facility, and a future 20-year projected surplus of 0.9 MGD</t>
  </si>
  <si>
    <t xml:space="preserve">60</t>
  </si>
  <si>
    <t xml:space="preserve">OPEN RESERVOIR</t>
  </si>
  <si>
    <t xml:space="preserve">UV DISINFECTION</t>
  </si>
  <si>
    <t xml:space="preserve">2050+</t>
  </si>
  <si>
    <t xml:space="preserve">Oregon City</t>
  </si>
  <si>
    <t xml:space="preserve">Reduced rate program based on income qualifications inline with the State of Oregon guidelines. The program reduces customer's charges to half of the base rate.</t>
  </si>
  <si>
    <t xml:space="preserve">Wastewater adjustments are only done on commercial accounts.
Residential accounts are flat wastewater fees, commercial sewer
is base on water usage. We adjust based on prior usage during the
same time period.</t>
  </si>
  <si>
    <t xml:space="preserve">August 2014</t>
  </si>
  <si>
    <t xml:space="preserve">March 2021</t>
  </si>
  <si>
    <t xml:space="preserve">March 2005</t>
  </si>
  <si>
    <t xml:space="preserve">July 2021</t>
  </si>
  <si>
    <t xml:space="preserve">We suspend base rate for water and wastewater.</t>
  </si>
  <si>
    <t xml:space="preserve">Flat rate residential, tiered rate for commercial</t>
  </si>
  <si>
    <t xml:space="preserve">If the customer provides the City with proof of onsite stormwater
management the City will review and adjust if necessary.</t>
  </si>
  <si>
    <t xml:space="preserve">https://sfwb.org</t>
  </si>
  <si>
    <t xml:space="preserve">N/A, a 3rd party does our treatment. Clackamas Water Environment Services https://www.clackamas.us/wes/ssewer.html</t>
  </si>
  <si>
    <t xml:space="preserve">https://www.clackamas.us/wes/ssewer.html</t>
  </si>
  <si>
    <t xml:space="preserve">N/A, a 3rd party does treatment, Clackamas Water Environment Services</t>
  </si>
  <si>
    <t xml:space="preserve">2.5 miles of ditches</t>
  </si>
  <si>
    <t xml:space="preserve">Lonerock</t>
  </si>
  <si>
    <t xml:space="preserve">April, June, Aug, Oct</t>
  </si>
  <si>
    <t xml:space="preserve">Have never had to impliment</t>
  </si>
  <si>
    <t xml:space="preserve">Have never had this yet</t>
  </si>
  <si>
    <t xml:space="preserve">Phoenix</t>
  </si>
  <si>
    <t xml:space="preserve">Rogue River</t>
  </si>
  <si>
    <t xml:space="preserve">10 days after notice or awareness of leak</t>
  </si>
  <si>
    <t xml:space="preserve">Milwaukie</t>
  </si>
  <si>
    <t xml:space="preserve">We have a Utility Assistance Program for residents whose income doesn't exceed the current gross annual household income levels established by the Housing Choice Voucher Program. This program provides reductions and waivers as follows: 
- A waiver of the established base charge for water service
- One half of the established billing and administration charge, treatment charge, and volume charge for wastewater (sewer)
- One half of the established base charge and volume charge for stormwater charges
- A waiver of the street maintenance and SAFE fee</t>
  </si>
  <si>
    <t xml:space="preserve">We reimburse for one half of the charges related to the leak</t>
  </si>
  <si>
    <t xml:space="preserve">Public Safety Fee - this supports police, but also includes additional support for the library, which deals with behavioral health issues, and municipal court. There isn't a separate fee for the library other than the public safety fee.</t>
  </si>
  <si>
    <t xml:space="preserve">Flat Rate with Number of gallons used</t>
  </si>
  <si>
    <t xml:space="preserve">Reedsport</t>
  </si>
  <si>
    <t xml:space="preserve">When a leak or high cons is reported, we give the customer a leak adjustment form. In order to complete this adjustment request, we need the leak adjustment form, pictures of the break or repair, if available, and receipts of repairs. Once those are collected, we take a 3-month average of before the leak took place and adjust the high cons to that amount.</t>
  </si>
  <si>
    <t xml:space="preserve">2007</t>
  </si>
  <si>
    <t xml:space="preserve">We can put an account into a readiness to serve until they are ready to have their water back on.</t>
  </si>
  <si>
    <t xml:space="preserve">Water meter purchase</t>
  </si>
  <si>
    <t xml:space="preserve">.5</t>
  </si>
  <si>
    <t xml:space="preserve">We use reclaimed water at our sewer plant to water the lawn</t>
  </si>
  <si>
    <t xml:space="preserve">Private field with hay/graze</t>
  </si>
  <si>
    <t xml:space="preserve">Must correct within 10 days of discovery</t>
  </si>
  <si>
    <t xml:space="preserve">2002</t>
  </si>
  <si>
    <t xml:space="preserve">Continue to bill, charge minimum if no use</t>
  </si>
  <si>
    <t xml:space="preserve">reconnect fee</t>
  </si>
  <si>
    <t xml:space="preserve">Flat + overage charge flat rate for usage over 500 cubic feet per month</t>
  </si>
  <si>
    <t xml:space="preserve">SDC fee based on square footage of impervious space</t>
  </si>
  <si>
    <t xml:space="preserve">2035</t>
  </si>
  <si>
    <t xml:space="preserve">Private farm.</t>
  </si>
  <si>
    <t xml:space="preserve">Stayton</t>
  </si>
  <si>
    <t xml:space="preserve">$1 discount for paperless and $1 for autopay</t>
  </si>
  <si>
    <t xml:space="preserve">up to 3 months of over usage</t>
  </si>
  <si>
    <t xml:space="preserve">transportation fee</t>
  </si>
  <si>
    <t xml:space="preserve">per rate study (all of the above)</t>
  </si>
  <si>
    <t xml:space="preserve">winter avg for commercial and industrial only (Dec-Feb)</t>
  </si>
  <si>
    <t xml:space="preserve">filter ponds</t>
  </si>
  <si>
    <t xml:space="preserve">far into the future depending on growth (we can produce 3mgd more)</t>
  </si>
  <si>
    <t xml:space="preserve">leak detection</t>
  </si>
  <si>
    <t xml:space="preserve">1-10%</t>
  </si>
  <si>
    <t xml:space="preserve">for on site processes at the plant</t>
  </si>
  <si>
    <t xml:space="preserve">field near the plant (city owned) or farmers pick it up</t>
  </si>
  <si>
    <t xml:space="preserve">We are looking for more locations to apply our solids.</t>
  </si>
  <si>
    <t xml:space="preserve">66 and 5 swales</t>
  </si>
  <si>
    <t xml:space="preserve">Gladstone</t>
  </si>
  <si>
    <t xml:space="preserve">Waive of Late Fees or Shut Off Fees if past due balance is received.
Low Income Utility Assistance Program</t>
  </si>
  <si>
    <t xml:space="preserve">3 months</t>
  </si>
  <si>
    <t xml:space="preserve">2017</t>
  </si>
  <si>
    <t xml:space="preserve">5% ROW Fee</t>
  </si>
  <si>
    <t xml:space="preserve">Maintenance &amp; Improvements</t>
  </si>
  <si>
    <t xml:space="preserve">Passthrough WES and OLWS</t>
  </si>
  <si>
    <t xml:space="preserve">Maintenance &amp; Improvement</t>
  </si>
  <si>
    <t xml:space="preserve">For properties that construct stormwater systems above and beyond minimum design requirements.  The amount of the fee reductions is based on the % the system exceeds minimum requirements.</t>
  </si>
  <si>
    <t xml:space="preserve">Unknown, not likely to exceed.</t>
  </si>
  <si>
    <t xml:space="preserve">1</t>
  </si>
  <si>
    <t xml:space="preserve">Clatskanie</t>
  </si>
  <si>
    <t xml:space="preserve">discounted water/sewer rates for low income customers</t>
  </si>
  <si>
    <t xml:space="preserve">we get an average of 3 months and take 50% off of the leak after the average is taken off.</t>
  </si>
  <si>
    <t xml:space="preserve">if a leak is suspected, a customer must apply for a leak adjustment after it is fixed. public works verifies leak if fixed and approves the adjustment. we will make an adjustment after the leak has billed out.</t>
  </si>
  <si>
    <t xml:space="preserve">if no one signs up for water service, the water is shut off. if it is a landlord/tenant situation, typically it goes back into the landlords name, unless the landlord has a new tenant moving in right away.</t>
  </si>
  <si>
    <t xml:space="preserve">street/Storm, IMIF</t>
  </si>
  <si>
    <t xml:space="preserve">all of the blank answers are the same as last year.</t>
  </si>
  <si>
    <t xml:space="preserve">same answer as last year</t>
  </si>
  <si>
    <t xml:space="preserve">all data is the same as last year.</t>
  </si>
  <si>
    <t xml:space="preserve">this seemed to be about infrastructure vs actual water rates.</t>
  </si>
  <si>
    <t xml:space="preserve">Automated Phone Calls</t>
  </si>
  <si>
    <t xml:space="preserve">Stormwater discounts with approved run-off plan
Customer assistance grant to help pay one bill, one time per year</t>
  </si>
  <si>
    <t xml:space="preserve">billing continues to owner, stop billing only for non-payment</t>
  </si>
  <si>
    <t xml:space="preserve">pre-disconnection notice, cutlock, after hours reconnection, collection fee on closed account</t>
  </si>
  <si>
    <t xml:space="preserve">Flood Levy Fee, Police, Fire, Parks all in one fee</t>
  </si>
  <si>
    <t xml:space="preserve">Development of groundwater system</t>
  </si>
  <si>
    <t xml:space="preserve">Flat plus water use</t>
  </si>
  <si>
    <t xml:space="preserve">Flat rate plus WWA</t>
  </si>
  <si>
    <t xml:space="preserve">Residential 27% discount; at least 75% of properties hard surface must drain into ground</t>
  </si>
  <si>
    <t xml:space="preserve">Activated sludge</t>
  </si>
  <si>
    <t xml:space="preserve">2030</t>
  </si>
  <si>
    <t xml:space="preserve">Private farmland in Western and Eastern Oregon</t>
  </si>
  <si>
    <t xml:space="preserve">Adams</t>
  </si>
  <si>
    <t xml:space="preserve">No adjustments</t>
  </si>
  <si>
    <t xml:space="preserve">Reconstruction of Customer Service Pipe, meter upgrades, meter replacement, NSF Charge</t>
  </si>
  <si>
    <t xml:space="preserve">Salem</t>
  </si>
  <si>
    <t xml:space="preserve">Utility Rate Relief program - a monthly discount on the sewer portion of the utility bill plus waiver of City Operations Fee and Streetlight Fee.</t>
  </si>
  <si>
    <t xml:space="preserve">Adjustment for franchise fee</t>
  </si>
  <si>
    <t xml:space="preserve">Reset the wastewater base to either the average of two meter readings after repair - or- last year's wastewater base - or - the City average. If a longtime leak adjustment may be made for the calendar year or for the months of the leak and the rate changed for the remainder of the year.</t>
  </si>
  <si>
    <t xml:space="preserve">2018</t>
  </si>
  <si>
    <t xml:space="preserve">Vacant property accounts are closed or charged a vacant wastewater rate if the owner wants the account to remain open.</t>
  </si>
  <si>
    <t xml:space="preserve">City Operations Fee, Streetlight Fee</t>
  </si>
  <si>
    <t xml:space="preserve">Winter average water consumption used for 12 months</t>
  </si>
  <si>
    <t xml:space="preserve">The stormwater credit for non-residential customers varies from 3 percent to 50 percent. To be eligible, a facility must have been designed and constructed to city standards. Flow control facilities are designed to reduce runoff. Treatment facilities remove pollutants. Stormwater credits are based on the type of facility installed, amount of water flowing through the facility, and the impact the facility has on stormwater quality.  Single Family Residential customers are eligible if the property meets specific criteria: property zoned Residential Agriculture; total area is at least one acre; amount of impervious surface area is less than ten percent of the total area of the property; and the tree canopy on the property is at least ten percent of the total area on the property. Customers meeting the criteria will receive a monthly credit equal to the impervious surface fee.</t>
  </si>
  <si>
    <t xml:space="preserve">Not measured</t>
  </si>
  <si>
    <t xml:space="preserve">Used in plant only for irrigation, flushing water, and seal water.</t>
  </si>
  <si>
    <t xml:space="preserve">Beneficial reuse on farmland.</t>
  </si>
  <si>
    <t xml:space="preserve">133.36</t>
  </si>
  <si>
    <t xml:space="preserve">Billed the same as occupied properties</t>
  </si>
  <si>
    <t xml:space="preserve">Flat Rate + Consumption</t>
  </si>
  <si>
    <t xml:space="preserve">Flat Rate and Winter Average Consumption</t>
  </si>
  <si>
    <t xml:space="preserve">Raw Open Reservoir</t>
  </si>
  <si>
    <t xml:space="preserve">Never</t>
  </si>
  <si>
    <t xml:space="preserve">5</t>
  </si>
  <si>
    <t xml:space="preserve">Farmland</t>
  </si>
  <si>
    <t xml:space="preserve">Lowell</t>
  </si>
  <si>
    <t xml:space="preserve">Utility assistances</t>
  </si>
  <si>
    <t xml:space="preserve">Must shoe no usage on meter</t>
  </si>
  <si>
    <t xml:space="preserve">2026</t>
  </si>
  <si>
    <t xml:space="preserve">4</t>
  </si>
  <si>
    <t xml:space="preserve">Adjust off the overage on sewer base rate since the leak is would not be going into the sewer system.</t>
  </si>
  <si>
    <t xml:space="preserve">Bill the base rate to owner</t>
  </si>
  <si>
    <t xml:space="preserve">Flat Rate+ Overage rate</t>
  </si>
  <si>
    <t xml:space="preserve">flat rate + overage rate</t>
  </si>
  <si>
    <t xml:space="preserve">WTP Clearwell</t>
  </si>
  <si>
    <t xml:space="preserve">43000</t>
  </si>
  <si>
    <t xml:space="preserve">MBR Plant</t>
  </si>
  <si>
    <t xml:space="preserve">25 at plant</t>
  </si>
  <si>
    <t xml:space="preserve">Milton-Freewater</t>
  </si>
  <si>
    <t xml:space="preserve">6 months for additional charges</t>
  </si>
  <si>
    <t xml:space="preserve">No fees</t>
  </si>
  <si>
    <t xml:space="preserve">Services may still be active</t>
  </si>
  <si>
    <t xml:space="preserve">Infrastructure</t>
  </si>
  <si>
    <t xml:space="preserve">Sherwood</t>
  </si>
  <si>
    <t xml:space="preserve">Low Income Assistance
Rebates on Low Flow Toilets
Water Leak credits</t>
  </si>
  <si>
    <t xml:space="preserve">OR up to two billing cycles as long as leak is repaired within 10 days of discovery.</t>
  </si>
  <si>
    <t xml:space="preserve">We keep track of all customers who had leaks and make sure their winter average is not affected by it when we recalculate it for the next year.  We leave the consumption out of the month the leak occured when we recalculate the new average.</t>
  </si>
  <si>
    <t xml:space="preserve">We continue charging street and swm rates.  Sometimes, we don't know why it's vacant and with that we don't know who to bill.</t>
  </si>
  <si>
    <t xml:space="preserve">Storm charges based on impervious area.  Properties that retain water on site are not assessed storm charges.</t>
  </si>
  <si>
    <t xml:space="preserve">2063</t>
  </si>
  <si>
    <t xml:space="preserve">Treatment provided by clean water services</t>
  </si>
  <si>
    <t xml:space="preserve">Portland</t>
  </si>
  <si>
    <t xml:space="preserve">All customers are eligible to have one set of late fees removed per year.  
Our low-income assistance program is based on income and the number of individuals residing in the home.  We currently have an application process that includes providing proof of income for our Tier 1 Discount - 50% of the typical bill (5 ccf) for applicants with 60% MFI and our Tier 2 Discount – 80% of the typical bill (5 ccf) for applicants with 30% MFI. Customers must reapply every 2 years.  An emergency crisis assistance voucher may be offered one time per year, depending on situation and qualifications met.</t>
  </si>
  <si>
    <t xml:space="preserve">Adjust wastewater based on water adjustment as wastewater billing is directly related to water usage.</t>
  </si>
  <si>
    <t xml:space="preserve">2003</t>
  </si>
  <si>
    <t xml:space="preserve">All property, occupied or vacant, includes a base charge, covers for having the service available and O&amp;M of meters, and billing system.</t>
  </si>
  <si>
    <t xml:space="preserve">Any assessed late fee</t>
  </si>
  <si>
    <t xml:space="preserve">Portland Harbor Superfund</t>
  </si>
  <si>
    <t xml:space="preserve">O&amp;M and system maintenance</t>
  </si>
  <si>
    <t xml:space="preserve">Customer has to apply and show they are managing stormwater runoff so we can calculate the discount. The maximum credit is 35% of the total stormwater charge.</t>
  </si>
  <si>
    <t xml:space="preserve">The City of Portland has one of the most robust affordability programs in the country.</t>
  </si>
  <si>
    <t xml:space="preserve">As we are a CSO system we already have instances where the max wet weather capacity is exceeded, in those instances a CSO event occurs. Max capacity is defined in the NPDES permit. No plans to preform major system upgrades to expand capacity.</t>
  </si>
  <si>
    <t xml:space="preserve">We generally only look 20 years out as growth factors and projections can change over time. At this moment, we are not expected to exceed our design capacity until after 2045.</t>
  </si>
  <si>
    <t xml:space="preserve">Dryland crops and pastureland.</t>
  </si>
  <si>
    <t xml:space="preserve">The City of Portland rarely landfills biosolids, only as a contingency</t>
  </si>
  <si>
    <t xml:space="preserve">117.6</t>
  </si>
  <si>
    <t xml:space="preserve">Sandy</t>
  </si>
  <si>
    <t xml:space="preserve">Water and sewer charges are reduced by 50% for low income.</t>
  </si>
  <si>
    <t xml:space="preserve">The consumption is compared to the same month of the prior year. If the consumption has doubled then 75% of the excess water consumption is credited to the customer.</t>
  </si>
  <si>
    <t xml:space="preserve">Bills (base rate &amp; consumption) will be directed to the property owner or manager until occupied.</t>
  </si>
  <si>
    <t xml:space="preserve">Residents that choose to detain/treat stormwater on site can apply for a 33% discount on their rate.</t>
  </si>
  <si>
    <t xml:space="preserve">2050 with current projects complete</t>
  </si>
  <si>
    <t xml:space="preserve">Current</t>
  </si>
  <si>
    <t xml:space="preserve">all flows May through Oct are used for irrigation</t>
  </si>
  <si>
    <t xml:space="preserve">Utility Rate Relief program - a monthly discount on the sewer portion of the utility bill plus waiver of the City Operations Fee and Streetlight Fee</t>
  </si>
  <si>
    <t xml:space="preserve">Adjustment of franchise fee</t>
  </si>
  <si>
    <t xml:space="preserve">Vacant property accounts are closed or charged a vacant wastewater rate if the owner wants the account to remain open.If a vacant property account is open, all charges except wastewater volume are billed at the regular rate. Wastewater volume is billed at the rate of .5 ccf.</t>
  </si>
  <si>
    <t xml:space="preserve">Operational Fees (Streetlight Fee, City Operations Fee)</t>
  </si>
  <si>
    <t xml:space="preserve">Administrative fees for specific account class/area</t>
  </si>
  <si>
    <t xml:space="preserve">The City offers a low income assistance program where residents can apply and qualify if their gross household income is less than 185% of the Federal Poverty Guidelines. Right now the reduction on their billing is approximately $70 per month. In addition, occasionally the City offers a targeted program to select customers for a small rebate, for example a lead testing program and if the resident opts in they get a $10 credit on one bill.</t>
  </si>
  <si>
    <t xml:space="preserve">Customers are eligible for one leak adjustment every rolling 12 months where the City writes off half of the excess water consumption compared to the prior year's usage.</t>
  </si>
  <si>
    <t xml:space="preserve">For residential accounts, the sewer charges are flat and do not fluctuate. For commercial accounts, there is a base sewer fee for up to 10 CCUs of water, over 10 CCUs of water there is an additional sewer charge. If a Commercial account has a leak, we compare the excess water consumption of the bill with the leak to the usage from the same time period in the prior year and we write off half of the overage above and beyond the base billing of 10 CCUs of water.</t>
  </si>
  <si>
    <t xml:space="preserve">If a property is vacant we ask that the property owner maintain an account in their name but if there is no water consumed then we "suspend" the billing, which means for those months that no water is used we waive all charges. Once water consumption resumes, billing is resumes.</t>
  </si>
  <si>
    <t xml:space="preserve">For our Shut off process, we charge $7.50 for a mailed shut off notice 10 day prior to shut off, then we charge $15 for a Door Hanger that is placed on the property door two days prior to shut off and then we charge $30 is the water is actually shut off by Public Works.</t>
  </si>
  <si>
    <t xml:space="preserve">Our municipal code only allows for the City to increase utility rates 5% per year. Historically the 5% increase is not keeping up with costs, so City Council typically approves the 5% increase annually.</t>
  </si>
  <si>
    <t xml:space="preserve">Residential waste water is a flat rate, Commercial wastewater is flat rate but inclining fee based on additional usage over 10 CCUs of water</t>
  </si>
  <si>
    <t xml:space="preserve">If a commercial building has their own onsite stormwater management system, after inspection from Public Works, we do not charge them for stormwater fees.</t>
  </si>
  <si>
    <t xml:space="preserve">WES Tri-City Sewer provides the treatment of city wastewater</t>
  </si>
  <si>
    <t xml:space="preserve">Treatment of city wastewater services is provided by Tri-City sewers</t>
  </si>
  <si>
    <t xml:space="preserve">North Plains</t>
  </si>
  <si>
    <t xml:space="preserve">Limited waivers for select non-profit(s) in the city.</t>
  </si>
  <si>
    <t xml:space="preserve">Receipt of leak repair must also be presented</t>
  </si>
  <si>
    <t xml:space="preserve">Monthly transportation utility fee</t>
  </si>
  <si>
    <t xml:space="preserve">Veneta</t>
  </si>
  <si>
    <t xml:space="preserve">1999</t>
  </si>
  <si>
    <t xml:space="preserve">City wetland area</t>
  </si>
  <si>
    <t xml:space="preserve">8.5</t>
  </si>
  <si>
    <t xml:space="preserve">Florence</t>
  </si>
  <si>
    <t xml:space="preserve">Commercial water and wastewater are adjusted up to 90 days based on the same methodology used for residential of the average for the past 12 months. Since commercial wastewater is based on water consumption so there is an adjustment to that too. Residential leak adjustments are water only since wastewater is a single base rate.</t>
  </si>
  <si>
    <t xml:space="preserve">Street Maintenance Fee, Public Safety Fee, Late Fees, NSF Fees</t>
  </si>
  <si>
    <t xml:space="preserve">Flat Rate for residential, commercial is based on water consumption</t>
  </si>
  <si>
    <t xml:space="preserve">Not in current forecast, however, depending on growth between 2040 and 2050</t>
  </si>
  <si>
    <t xml:space="preserve">Reclaimed water used for process and irrigation at the wastewater treatment plant.</t>
  </si>
  <si>
    <t xml:space="preserve">The 85% goes to Heard Farms outside of Roseburg. 
The City has a biosolids composting program where we take the biosolids and mix with mulched yard debris, use a covered aerated static pile process to produce a Class A Biosolids product. We compost 15% of the biosolids at the WWTP.</t>
  </si>
  <si>
    <t xml:space="preserve">4.5</t>
  </si>
  <si>
    <t xml:space="preserve">street sweeping is part of stormwater</t>
  </si>
  <si>
    <t xml:space="preserve">Beaverton</t>
  </si>
  <si>
    <t xml:space="preserve">We offer utility billing assistance for customers that meet specific income eligibility guidelines.  We have partnered up with the non profit agency Community Action, which handles applications, screening, and approvals for assistance.</t>
  </si>
  <si>
    <t xml:space="preserve">The City closes the account, shuts off water and locks the meter to prevent further billing charges until the next occupant requests the meter to be turned back on.</t>
  </si>
  <si>
    <t xml:space="preserve">Debt requirements from WIFIA Water Loan</t>
  </si>
  <si>
    <t xml:space="preserve">Rates are set by our partnering agency, Clean Water Services</t>
  </si>
  <si>
    <t xml:space="preserve">A fixed rate based on the winter average consumption used in the winter months.</t>
  </si>
  <si>
    <t xml:space="preserve">Rates are set by our partner agency, Clean Water Services</t>
  </si>
  <si>
    <t xml:space="preserve">Owner of property has to submit a stormwater exemption application that is reviewed by the City's Engineering Department.  To qualify, the onsite system must encompass the entire property and must be completely separate from the public system.  The City does not offer partial reductions.  This is only related to the SDC charge, not the monthly rate or any other charges.  There are no reductions or credits offered for the monthly rate.</t>
  </si>
  <si>
    <t xml:space="preserve">JWC reservoir capacity / City owns</t>
  </si>
  <si>
    <t xml:space="preserve">10 years</t>
  </si>
  <si>
    <t xml:space="preserve">N/A - All plants owned by Clean Water Services</t>
  </si>
  <si>
    <t xml:space="preserve">5.3 miles</t>
  </si>
  <si>
    <t xml:space="preserve">Could you make a printable copy of our submitted responses or offer an option to send the completed survey with responses back to the submitting organization so we can file this completed copy in our records?  That would be extremely helpful.  Thank you very much.</t>
  </si>
  <si>
    <t xml:space="preserve">Redmond</t>
  </si>
  <si>
    <t xml:space="preserve">25% monthly discount from rates for those qualified under HUD income limits.</t>
  </si>
  <si>
    <t xml:space="preserve">typically only do adjustment for up to six months when notified, this does not apply to leak, but would apply to wma</t>
  </si>
  <si>
    <t xml:space="preserve">owner must stop service if home is going to be vacant</t>
  </si>
  <si>
    <t xml:space="preserve">verbatim is delinquent fee prior to restoring service, hydrant permit fee, wastewater violations</t>
  </si>
  <si>
    <t xml:space="preserve">flat rate and uniform rate.</t>
  </si>
  <si>
    <t xml:space="preserve">flat rate, winter average water consumption used all year and other - winter months average only applies to commercial customers, all others are on flat rate</t>
  </si>
  <si>
    <t xml:space="preserve">The City is in the process of construction a Wetlands Complex to replace the existing Wastewater Pollution Control Facility.</t>
  </si>
  <si>
    <t xml:space="preserve">Water Rates Survey 2025 October 16  2025 10 08</t>
  </si>
  <si>
    <t xml:space="preserve">84 respondents. All ranges cover rows 2-125 of the Cleaned sheet (40 blank rows reserved for growth).</t>
  </si>
  <si>
    <t xml:space="preserve">(Cleaned!E)</t>
  </si>
  <si>
    <t xml:space="preserve">Monthly</t>
  </si>
  <si>
    <t xml:space="preserve">Bi-Monthly</t>
  </si>
  <si>
    <t xml:space="preserve">Quarterly</t>
  </si>
  <si>
    <t xml:space="preserve">Other (Please Specify)</t>
  </si>
  <si>
    <t xml:space="preserve">Responses</t>
  </si>
  <si>
    <t xml:space="preserve">#</t>
  </si>
  <si>
    <t xml:space="preserve">%</t>
  </si>
  <si>
    <t xml:space="preserve">Quintile</t>
  </si>
  <si>
    <t xml:space="preserve">1st Quintile</t>
  </si>
  <si>
    <t xml:space="preserve">2nd Quintile</t>
  </si>
  <si>
    <t xml:space="preserve">3rd Quintile</t>
  </si>
  <si>
    <t xml:space="preserve">4th Quintile</t>
  </si>
  <si>
    <t xml:space="preserve">5th Quintile</t>
  </si>
  <si>
    <t xml:space="preserve">TOTAL (Quintile)</t>
  </si>
  <si>
    <t xml:space="preserve">N. Coast</t>
  </si>
  <si>
    <t xml:space="preserve">Metro</t>
  </si>
  <si>
    <t xml:space="preserve">N. Willamette</t>
  </si>
  <si>
    <t xml:space="preserve">S. Willamette</t>
  </si>
  <si>
    <t xml:space="preserve">C. Coast</t>
  </si>
  <si>
    <t xml:space="preserve">S. Coast</t>
  </si>
  <si>
    <t xml:space="preserve">S. Oregon</t>
  </si>
  <si>
    <t xml:space="preserve">Gorge</t>
  </si>
  <si>
    <t xml:space="preserve">C. Oregon</t>
  </si>
  <si>
    <t xml:space="preserve">SC Oregon</t>
  </si>
  <si>
    <t xml:space="preserve">NE Oregon</t>
  </si>
  <si>
    <t xml:space="preserve">E. Oregon</t>
  </si>
  <si>
    <t xml:space="preserve">TOTAL (Region)</t>
  </si>
  <si>
    <t xml:space="preserve">(Cleaned!G)</t>
  </si>
  <si>
    <t xml:space="preserve">Not selected</t>
  </si>
  <si>
    <t xml:space="preserve">Selected</t>
  </si>
  <si>
    <t xml:space="preserve">(Cleaned!H)</t>
  </si>
  <si>
    <t xml:space="preserve">(Cleaned!I)</t>
  </si>
  <si>
    <t xml:space="preserve">(Cleaned!J)</t>
  </si>
  <si>
    <t xml:space="preserve">(Cleaned!K)</t>
  </si>
  <si>
    <t xml:space="preserve">(Cleaned!L)</t>
  </si>
  <si>
    <t xml:space="preserve">(Cleaned!M)</t>
  </si>
  <si>
    <t xml:space="preserve">Yes</t>
  </si>
  <si>
    <t xml:space="preserve">(Cleaned!N)</t>
  </si>
  <si>
    <t xml:space="preserve">(Cleaned!O)</t>
  </si>
  <si>
    <t xml:space="preserve">(Cleaned!P)</t>
  </si>
  <si>
    <t xml:space="preserve">(Cleaned!Q)</t>
  </si>
  <si>
    <t xml:space="preserve">(Cleaned!R)</t>
  </si>
  <si>
    <t xml:space="preserve">(Cleaned!S)</t>
  </si>
  <si>
    <t xml:space="preserve">(Cleaned!U)</t>
  </si>
  <si>
    <t xml:space="preserve">Overall</t>
  </si>
  <si>
    <t xml:space="preserve">Mean</t>
  </si>
  <si>
    <t xml:space="preserve">Median</t>
  </si>
  <si>
    <t xml:space="preserve">Minimum</t>
  </si>
  <si>
    <t xml:space="preserve">Maximum</t>
  </si>
  <si>
    <t xml:space="preserve">n</t>
  </si>
  <si>
    <t xml:space="preserve">(Cleaned!V)</t>
  </si>
  <si>
    <t xml:space="preserve">(Cleaned!W)</t>
  </si>
  <si>
    <t xml:space="preserve">(Cleaned!X)</t>
  </si>
  <si>
    <t xml:space="preserve">(Cleaned!Y)</t>
  </si>
  <si>
    <t xml:space="preserve">(Cleaned!Z)</t>
  </si>
  <si>
    <t xml:space="preserve">(Cleaned!AA)</t>
  </si>
  <si>
    <t xml:space="preserve">(Cleaned!AB)</t>
  </si>
  <si>
    <t xml:space="preserve">(Cleaned!AC)</t>
  </si>
  <si>
    <t xml:space="preserve">(Cleaned!AE)</t>
  </si>
  <si>
    <t xml:space="preserve">Yes, billing errors</t>
  </si>
  <si>
    <t xml:space="preserve">Yes, both</t>
  </si>
  <si>
    <t xml:space="preserve">Yes, water leaks</t>
  </si>
  <si>
    <t xml:space="preserve">(Cleaned!AF)</t>
  </si>
  <si>
    <t xml:space="preserve">Wastewater</t>
  </si>
  <si>
    <t xml:space="preserve">Water</t>
  </si>
  <si>
    <t xml:space="preserve">Water,Wastewater</t>
  </si>
  <si>
    <t xml:space="preserve">(Cleaned!AG)</t>
  </si>
  <si>
    <t xml:space="preserve">(Cleaned!AJ)</t>
  </si>
  <si>
    <t xml:space="preserve">(Cleaned!AK)</t>
  </si>
  <si>
    <t xml:space="preserve">(Cleaned!AL)</t>
  </si>
  <si>
    <t xml:space="preserve">(Cleaned!AM)</t>
  </si>
  <si>
    <t xml:space="preserve">(Cleaned!AN)</t>
  </si>
  <si>
    <t xml:space="preserve">(Cleaned!AO)</t>
  </si>
  <si>
    <t xml:space="preserve">(Cleaned!AP)</t>
  </si>
  <si>
    <t xml:space="preserve">(Cleaned!AQ)</t>
  </si>
  <si>
    <t xml:space="preserve">(Cleaned!AR)</t>
  </si>
  <si>
    <t xml:space="preserve">(Cleaned!AS)</t>
  </si>
  <si>
    <t xml:space="preserve">(Cleaned!AV)</t>
  </si>
  <si>
    <t xml:space="preserve">(Cleaned!AY)</t>
  </si>
  <si>
    <t xml:space="preserve">(Cleaned!AZ)</t>
  </si>
  <si>
    <t xml:space="preserve">Charge a vacant rate upon request of the owner. (Please Explain)</t>
  </si>
  <si>
    <t xml:space="preserve">Close accounts with no charges until opened by next occupant</t>
  </si>
  <si>
    <t xml:space="preserve">Our city does not handle billing for vacant properties</t>
  </si>
  <si>
    <t xml:space="preserve">(Cleaned!BC)</t>
  </si>
  <si>
    <t xml:space="preserve">(Cleaned!BD)</t>
  </si>
  <si>
    <t xml:space="preserve">(Cleaned!BE)</t>
  </si>
  <si>
    <t xml:space="preserve">(Cleaned!BF)</t>
  </si>
  <si>
    <t xml:space="preserve">(Cleaned!BG)</t>
  </si>
  <si>
    <t xml:space="preserve">(Cleaned!BH)</t>
  </si>
  <si>
    <t xml:space="preserve">(Cleaned!BJ)</t>
  </si>
  <si>
    <t xml:space="preserve">(Cleaned!BK)</t>
  </si>
  <si>
    <t xml:space="preserve">(Cleaned!BL)</t>
  </si>
  <si>
    <t xml:space="preserve">(Cleaned!BM)</t>
  </si>
  <si>
    <t xml:space="preserve">(Cleaned!BN)</t>
  </si>
  <si>
    <t xml:space="preserve">(Cleaned!BO)</t>
  </si>
  <si>
    <t xml:space="preserve">(Cleaned!BP)</t>
  </si>
  <si>
    <t xml:space="preserve">(Cleaned!BQ)</t>
  </si>
  <si>
    <t xml:space="preserve">(Cleaned!BS)</t>
  </si>
  <si>
    <t xml:space="preserve">(Cleaned!BT)</t>
  </si>
  <si>
    <t xml:space="preserve">(Cleaned!BU)</t>
  </si>
  <si>
    <t xml:space="preserve">(Cleaned!BV)</t>
  </si>
  <si>
    <t xml:space="preserve">(Cleaned!BW)</t>
  </si>
  <si>
    <t xml:space="preserve">(Cleaned!BX)</t>
  </si>
  <si>
    <t xml:space="preserve">Increase (% Increase)</t>
  </si>
  <si>
    <t xml:space="preserve">(Cleaned!BY)</t>
  </si>
  <si>
    <t xml:space="preserve">(Cleaned!BZ)</t>
  </si>
  <si>
    <t xml:space="preserve">(Cleaned!CA)</t>
  </si>
  <si>
    <t xml:space="preserve">(Cleaned!CB)</t>
  </si>
  <si>
    <t xml:space="preserve">(Cleaned!CC)</t>
  </si>
  <si>
    <t xml:space="preserve">(Cleaned!CD)</t>
  </si>
  <si>
    <t xml:space="preserve">(Cleaned!CE)</t>
  </si>
  <si>
    <t xml:space="preserve">(Cleaned!CG)</t>
  </si>
  <si>
    <t xml:space="preserve">Flat + Inclining Rate</t>
  </si>
  <si>
    <t xml:space="preserve">Flat Rate (Monthly Lump Sum)</t>
  </si>
  <si>
    <t xml:space="preserve">Inclining Block Rate</t>
  </si>
  <si>
    <t xml:space="preserve">Uniform Rate (Monthly Rate based on Number of Gallons Used)</t>
  </si>
  <si>
    <t xml:space="preserve">(Cleaned!CI)</t>
  </si>
  <si>
    <t xml:space="preserve">(Cleaned!CJ)</t>
  </si>
  <si>
    <t xml:space="preserve">(Cleaned!CK)</t>
  </si>
  <si>
    <t xml:space="preserve">(Cleaned!CL)</t>
  </si>
  <si>
    <t xml:space="preserve">(Cleaned!CM)</t>
  </si>
  <si>
    <t xml:space="preserve">(Cleaned!CN)</t>
  </si>
  <si>
    <t xml:space="preserve">(Cleaned!CO)</t>
  </si>
  <si>
    <t xml:space="preserve">(Cleaned!CP)</t>
  </si>
  <si>
    <t xml:space="preserve">(Cleaned!CQ)</t>
  </si>
  <si>
    <t xml:space="preserve">(Cleaned!CR)</t>
  </si>
  <si>
    <t xml:space="preserve">(Cleaned!CS)</t>
  </si>
  <si>
    <t xml:space="preserve">(Cleaned!CU)</t>
  </si>
  <si>
    <t xml:space="preserve">Flat Rate</t>
  </si>
  <si>
    <t xml:space="preserve">Winter average water consumption used all year</t>
  </si>
  <si>
    <t xml:space="preserve">Winter average water consumption used in summer months</t>
  </si>
  <si>
    <t xml:space="preserve">(Cleaned!CW)</t>
  </si>
  <si>
    <t xml:space="preserve">(Cleaned!CX)</t>
  </si>
  <si>
    <t xml:space="preserve">(Cleaned!CY)</t>
  </si>
  <si>
    <t xml:space="preserve">7/1/2024</t>
  </si>
  <si>
    <t xml:space="preserve">7/1/25</t>
  </si>
  <si>
    <t xml:space="preserve">July 2025</t>
  </si>
  <si>
    <t xml:space="preserve">(Cleaned!CZ)</t>
  </si>
  <si>
    <t xml:space="preserve">(Cleaned!DA)</t>
  </si>
  <si>
    <t xml:space="preserve">(Cleaned!DB)</t>
  </si>
  <si>
    <t xml:space="preserve">(Cleaned!DC)</t>
  </si>
  <si>
    <t xml:space="preserve">(Cleaned!DD)</t>
  </si>
  <si>
    <t xml:space="preserve">(Cleaned!DE)</t>
  </si>
  <si>
    <t xml:space="preserve">(Cleaned!DF)</t>
  </si>
  <si>
    <t xml:space="preserve">(Cleaned!DG)</t>
  </si>
  <si>
    <t xml:space="preserve">(Cleaned!DH)</t>
  </si>
  <si>
    <t xml:space="preserve">(Cleaned!DJ)</t>
  </si>
  <si>
    <t xml:space="preserve">Stormwater fees are a separate utility fee</t>
  </si>
  <si>
    <t xml:space="preserve">(Cleaned!DL)</t>
  </si>
  <si>
    <t xml:space="preserve">(Cleaned!DN)</t>
  </si>
  <si>
    <t xml:space="preserve">(Cleaned!DO)</t>
  </si>
  <si>
    <t xml:space="preserve">(Cleaned!DP)</t>
  </si>
  <si>
    <t xml:space="preserve">(Cleaned!DQ)</t>
  </si>
  <si>
    <t xml:space="preserve">(Cleaned!DR)</t>
  </si>
  <si>
    <t xml:space="preserve">(Cleaned!DS)</t>
  </si>
  <si>
    <t xml:space="preserve">(Cleaned!DT)</t>
  </si>
  <si>
    <t xml:space="preserve">(Cleaned!DU)</t>
  </si>
  <si>
    <t xml:space="preserve">(Cleaned!DV)</t>
  </si>
  <si>
    <t xml:space="preserve">(Cleaned!DW)</t>
  </si>
  <si>
    <t xml:space="preserve">111</t>
  </si>
  <si>
    <t xml:space="preserve">13</t>
  </si>
  <si>
    <t xml:space="preserve">2</t>
  </si>
  <si>
    <t xml:space="preserve">26 bills</t>
  </si>
  <si>
    <t xml:space="preserve">3</t>
  </si>
  <si>
    <t xml:space="preserve">342</t>
  </si>
  <si>
    <t xml:space="preserve">43</t>
  </si>
  <si>
    <t xml:space="preserve">(Cleaned!DX)</t>
  </si>
  <si>
    <t xml:space="preserve">(Cleaned!DY)</t>
  </si>
  <si>
    <t xml:space="preserve">19</t>
  </si>
  <si>
    <t xml:space="preserve">6</t>
  </si>
  <si>
    <t xml:space="preserve">662</t>
  </si>
  <si>
    <t xml:space="preserve">(Cleaned!DZ)</t>
  </si>
  <si>
    <t xml:space="preserve">(Cleaned!EA)</t>
  </si>
  <si>
    <t xml:space="preserve">(Cleaned!EB)</t>
  </si>
  <si>
    <t xml:space="preserve">(Cleaned!EC)</t>
  </si>
  <si>
    <t xml:space="preserve">(Cleaned!ED)</t>
  </si>
  <si>
    <t xml:space="preserve">(Cleaned!EE)</t>
  </si>
  <si>
    <t xml:space="preserve">(Cleaned!EF)</t>
  </si>
  <si>
    <t xml:space="preserve">(Cleaned!EG)</t>
  </si>
  <si>
    <t xml:space="preserve">(Cleaned!EH)</t>
  </si>
  <si>
    <t xml:space="preserve">(Cleaned!EI)</t>
  </si>
  <si>
    <t xml:space="preserve">(Cleaned!EJ)</t>
  </si>
  <si>
    <t xml:space="preserve">(Cleaned!EK)</t>
  </si>
  <si>
    <t xml:space="preserve">(Cleaned!EL)</t>
  </si>
  <si>
    <t xml:space="preserve">21</t>
  </si>
  <si>
    <t xml:space="preserve">(Cleaned!EM)</t>
  </si>
  <si>
    <t xml:space="preserve">(Cleaned!EN)</t>
  </si>
  <si>
    <t xml:space="preserve">100,000</t>
  </si>
  <si>
    <t xml:space="preserve">(Cleaned!EO)</t>
  </si>
  <si>
    <t xml:space="preserve">1.5</t>
  </si>
  <si>
    <t xml:space="preserve">138.7</t>
  </si>
  <si>
    <t xml:space="preserve">14</t>
  </si>
  <si>
    <t xml:space="preserve">147</t>
  </si>
  <si>
    <t xml:space="preserve">4 Reservoirs / 31.5 MG</t>
  </si>
  <si>
    <t xml:space="preserve">Covered storage Treated Water - 138.7 mg</t>
  </si>
  <si>
    <t xml:space="preserve">(Cleaned!EP)</t>
  </si>
  <si>
    <t xml:space="preserve">260 mg</t>
  </si>
  <si>
    <t xml:space="preserve">500,000</t>
  </si>
  <si>
    <t xml:space="preserve">98000000</t>
  </si>
  <si>
    <t xml:space="preserve">(Cleaned!EQ)</t>
  </si>
  <si>
    <t xml:space="preserve">200-300 gallons</t>
  </si>
  <si>
    <t xml:space="preserve">4 ASR Wells / 1 billion gallon capacity</t>
  </si>
  <si>
    <t xml:space="preserve">The ASR system has a theoretical underground storage of about 1,000 mg or 1 billion gallons.</t>
  </si>
  <si>
    <t xml:space="preserve">(Cleaned!ES)</t>
  </si>
  <si>
    <t xml:space="preserve">(Cleaned!EV)</t>
  </si>
  <si>
    <t xml:space="preserve">(Cleaned!EW)</t>
  </si>
  <si>
    <t xml:space="preserve">(Cleaned!EX)</t>
  </si>
  <si>
    <t xml:space="preserve">Comparison of productions meters and customer metered volumes</t>
  </si>
  <si>
    <t xml:space="preserve">IWA/AWWA water loss methodology</t>
  </si>
  <si>
    <t xml:space="preserve">(Cleaned!EZ)</t>
  </si>
  <si>
    <t xml:space="preserve">(Cleaned!FA)</t>
  </si>
  <si>
    <t xml:space="preserve">(Cleaned!FB)</t>
  </si>
  <si>
    <t xml:space="preserve">(Cleaned!FD)</t>
  </si>
  <si>
    <t xml:space="preserve">(Cleaned!FE)</t>
  </si>
  <si>
    <t xml:space="preserve">(Cleaned!FF)</t>
  </si>
  <si>
    <t xml:space="preserve">(Cleaned!FG)</t>
  </si>
  <si>
    <t xml:space="preserve">(Cleaned!FH)</t>
  </si>
  <si>
    <t xml:space="preserve">(Cleaned!FI)</t>
  </si>
  <si>
    <t xml:space="preserve">(Cleaned!FJ)</t>
  </si>
  <si>
    <t xml:space="preserve">193</t>
  </si>
  <si>
    <t xml:space="preserve">19582</t>
  </si>
  <si>
    <t xml:space="preserve">19852</t>
  </si>
  <si>
    <t xml:space="preserve">237</t>
  </si>
  <si>
    <t xml:space="preserve">40</t>
  </si>
  <si>
    <t xml:space="preserve">41</t>
  </si>
  <si>
    <t xml:space="preserve">(Cleaned!FK)</t>
  </si>
  <si>
    <t xml:space="preserve">(Cleaned!FL)</t>
  </si>
  <si>
    <t xml:space="preserve">1 not active</t>
  </si>
  <si>
    <t xml:space="preserve">48</t>
  </si>
  <si>
    <t xml:space="preserve">973</t>
  </si>
  <si>
    <t xml:space="preserve">(Cleaned!FM)</t>
  </si>
  <si>
    <t xml:space="preserve">(Cleaned!FN)</t>
  </si>
  <si>
    <t xml:space="preserve">00</t>
  </si>
  <si>
    <t xml:space="preserve">1247</t>
  </si>
  <si>
    <t xml:space="preserve">(Cleaned!FO)</t>
  </si>
  <si>
    <t xml:space="preserve">(Cleaned!FP)</t>
  </si>
  <si>
    <t xml:space="preserve">(Cleaned!FQ)</t>
  </si>
  <si>
    <t xml:space="preserve">(Cleaned!FR)</t>
  </si>
  <si>
    <t xml:space="preserve">N/A, a 3rd party does our treatment. Tri-City Water Resource Recovery Facility (TCWRRF) administered by Clackamas Water Environment Services.</t>
  </si>
  <si>
    <t xml:space="preserve">One</t>
  </si>
  <si>
    <t xml:space="preserve">none - contract out</t>
  </si>
  <si>
    <t xml:space="preserve">(Cleaned!FS)</t>
  </si>
  <si>
    <t xml:space="preserve">% unknown, but we are actively working to remove these connections</t>
  </si>
  <si>
    <t xml:space="preserve">25%</t>
  </si>
  <si>
    <t xml:space="preserve">25-30</t>
  </si>
  <si>
    <t xml:space="preserve">34.3%</t>
  </si>
  <si>
    <t xml:space="preserve">not connected</t>
  </si>
  <si>
    <t xml:space="preserve">(Cleaned!FT)</t>
  </si>
  <si>
    <t xml:space="preserve">(Cleaned!FU)</t>
  </si>
  <si>
    <t xml:space="preserve">(Cleaned!FV)</t>
  </si>
  <si>
    <t xml:space="preserve">(Cleaned!FW)</t>
  </si>
  <si>
    <t xml:space="preserve">(Cleaned!FX)</t>
  </si>
  <si>
    <t xml:space="preserve">(Cleaned!FY)</t>
  </si>
  <si>
    <t xml:space="preserve">(Cleaned!GA)</t>
  </si>
  <si>
    <t xml:space="preserve">(Cleaned!GB)</t>
  </si>
  <si>
    <t xml:space="preserve">(Cleaned!GC)</t>
  </si>
  <si>
    <t xml:space="preserve">(Cleaned!GD)</t>
  </si>
  <si>
    <t xml:space="preserve">(Cleaned!GE)</t>
  </si>
  <si>
    <t xml:space="preserve">(Cleaned!GF)</t>
  </si>
  <si>
    <t xml:space="preserve">(Cleaned!GG)</t>
  </si>
  <si>
    <t xml:space="preserve">(Cleaned!GH)</t>
  </si>
  <si>
    <t xml:space="preserve">(Cleaned!GK)</t>
  </si>
  <si>
    <t xml:space="preserve">(Cleaned!GL)</t>
  </si>
  <si>
    <t xml:space="preserve">(Cleaned!GO)</t>
  </si>
  <si>
    <t xml:space="preserve">(Cleaned!GQ)</t>
  </si>
  <si>
    <t xml:space="preserve">(Cleaned!GR)</t>
  </si>
  <si>
    <t xml:space="preserve">100</t>
  </si>
  <si>
    <t xml:space="preserve">100%</t>
  </si>
  <si>
    <t xml:space="preserve">75%</t>
  </si>
  <si>
    <t xml:space="preserve">85</t>
  </si>
  <si>
    <t xml:space="preserve">Usually 0%</t>
  </si>
  <si>
    <t xml:space="preserve">approx 50%, only during wet weather (Nov-March)</t>
  </si>
  <si>
    <t xml:space="preserve">(Cleaned!GT)</t>
  </si>
  <si>
    <t xml:space="preserve">(Cleaned!GU)</t>
  </si>
  <si>
    <t xml:space="preserve">(Cleaned!GV)</t>
  </si>
  <si>
    <t xml:space="preserve">143</t>
  </si>
  <si>
    <t xml:space="preserve">(Cleaned!GW)</t>
  </si>
  <si>
    <t xml:space="preserve">(Cleaned!GX)</t>
  </si>
  <si>
    <t xml:space="preserve">(Cleaned!GY)</t>
  </si>
  <si>
    <t xml:space="preserve">(Cleaned!GZ)</t>
  </si>
  <si>
    <t xml:space="preserve">(Cleaned!HA)</t>
  </si>
  <si>
    <t xml:space="preserve">(Cleaned!HC)</t>
  </si>
  <si>
    <t xml:space="preserve">Validation</t>
  </si>
  <si>
    <t xml:space="preserve">Every check must read OK. A FAIL means a number on the Analysis sheet disagrees with the same quantity computed independently.</t>
  </si>
  <si>
    <t xml:space="preserve">Check</t>
  </si>
  <si>
    <t xml:space="preserve">Expected</t>
  </si>
  <si>
    <t xml:space="preserve">Actual</t>
  </si>
  <si>
    <t xml:space="preserve">Result</t>
  </si>
  <si>
    <t xml:space="preserve">Respondent rows on Cleaned sheet</t>
  </si>
  <si>
    <t xml:space="preserve">Rows with a quintile in 1-5</t>
  </si>
  <si>
    <t xml:space="preserve">Rows with a region in 1-12</t>
  </si>
  <si>
    <t xml:space="preserve">Quintiles 1-5 sum to the respondent count</t>
  </si>
  <si>
    <t xml:space="preserve">Regions 1-12 sum to the respondent count</t>
  </si>
  <si>
    <t xml:space="preserve">Rows where population is blank</t>
  </si>
  <si>
    <t xml:space="preserve">Crosstab totals agree: How often are bills issued? - Selected Choic</t>
  </si>
  <si>
    <t xml:space="preserve">Crosstab totals agree: What methods of payment are accepted? (Check</t>
  </si>
  <si>
    <t xml:space="preserve">Crosstab totals agree: Do you provide paperless billing?</t>
  </si>
  <si>
    <t xml:space="preserve">Crosstab totals agree: What methods of enforcement are used for lat</t>
  </si>
  <si>
    <t xml:space="preserve">Crosstab totals agree: Does the city provide waivers, discounts or </t>
  </si>
  <si>
    <t xml:space="preserve">Crosstab totals agree: Does your city provide credit or make any bi</t>
  </si>
  <si>
    <t xml:space="preserve">Crosstab totals agree: For what services are adjustments made for c</t>
  </si>
  <si>
    <t xml:space="preserve">Crosstab totals agree: What percentage of rate revenue is obligated</t>
  </si>
  <si>
    <t xml:space="preserve">Crosstab totals agree: Does your city maintain an asset management </t>
  </si>
  <si>
    <t xml:space="preserve">Crosstab totals agree: Does your city require accounts to be in the</t>
  </si>
  <si>
    <t xml:space="preserve">Crosstab totals agree: How does your city handle billing for vacant</t>
  </si>
  <si>
    <t xml:space="preserve">Crosstab totals agree: What other account fees or charges are inclu</t>
  </si>
  <si>
    <t xml:space="preserve">Crosstab totals agree: Is stormwater included in the utility bill?</t>
  </si>
  <si>
    <t xml:space="preserve">Crosstab totals agree: What general government fees are included on</t>
  </si>
  <si>
    <t xml:space="preserve">Crosstab totals agree: Does city ordinance have an automatic CPI/In</t>
  </si>
  <si>
    <t xml:space="preserve">Crosstab totals agree: Does your city charge for drinking water ser</t>
  </si>
  <si>
    <t xml:space="preserve">Crosstab totals agree: Overall, did the rate increase or decrease a</t>
  </si>
  <si>
    <t xml:space="preserve">Crosstab totals agree: Why did the city change water rates? (Check </t>
  </si>
  <si>
    <t xml:space="preserve">Crosstab totals agree: What is the rate structure for your city's w</t>
  </si>
  <si>
    <t xml:space="preserve">Crosstab totals agree: Does your city charge for wastewater service</t>
  </si>
  <si>
    <t xml:space="preserve">Crosstab totals agree: Why did the city change wastewater rates? (C</t>
  </si>
  <si>
    <t xml:space="preserve">Crosstab totals agree: Does your city charge for stormwater service</t>
  </si>
  <si>
    <t xml:space="preserve">Crosstab totals agree: What was the last effective date of your cit</t>
  </si>
  <si>
    <t xml:space="preserve">Crosstab totals agree: Is your city subject to an MS4 Phase I or Ph</t>
  </si>
  <si>
    <t xml:space="preserve">Crosstab totals agree: Why did the city change stormwater rates? (C</t>
  </si>
  <si>
    <t xml:space="preserve">Crosstab totals agree: What is the rate structure for your city's s</t>
  </si>
  <si>
    <t xml:space="preserve">Crosstab totals agree: Does your city offer stormwater fee reductio</t>
  </si>
  <si>
    <t xml:space="preserve">Crosstab totals agree: Does your city provide drinking water servic</t>
  </si>
  <si>
    <t xml:space="preserve">Crosstab totals agree: Please list the number of connections for th</t>
  </si>
  <si>
    <t xml:space="preserve">Crosstab totals agree: Please list the amount of raw and treated wa</t>
  </si>
  <si>
    <t xml:space="preserve">Crosstab totals agree: Does your city have an approved water conser</t>
  </si>
  <si>
    <t xml:space="preserve">Crosstab totals agree: Do you measure water loss?</t>
  </si>
  <si>
    <t xml:space="preserve">Crosstab totals agree: What method is used to determine water loss </t>
  </si>
  <si>
    <t xml:space="preserve">Crosstab totals agree: Does your city provide wastewater services?</t>
  </si>
  <si>
    <t xml:space="preserve">Crosstab totals agree: Please provide the following facility, lines</t>
  </si>
  <si>
    <t xml:space="preserve">Crosstab totals agree: What level of wastewater treatment is provid</t>
  </si>
  <si>
    <t xml:space="preserve">Crosstab totals agree: Does your city administer an industrial wast</t>
  </si>
  <si>
    <t xml:space="preserve">Crosstab totals agree: Does your city apply or provide reclaimed wa</t>
  </si>
  <si>
    <t xml:space="preserve">Crosstab totals agree: Does your city apply biosolids to public/ pr</t>
  </si>
  <si>
    <t xml:space="preserve">Crosstab totals agree: Does your city landfill biosolids?</t>
  </si>
  <si>
    <t xml:space="preserve">Crosstab totals agree: What percentage (%) of biosolids are landfil</t>
  </si>
  <si>
    <t xml:space="preserve">Crosstab totals agree: Does your city provide stormwater services?</t>
  </si>
  <si>
    <t xml:space="preserve">Crosstab totals agree: Please list the number of accounts for the f</t>
  </si>
  <si>
    <t xml:space="preserve">Cleaning Log</t>
  </si>
  <si>
    <t xml:space="preserve">Everything the cleaning step dropped, blanked, or resolved by approximate match. Review before publishing.</t>
  </si>
  <si>
    <t xml:space="preserve">Approximate city matches</t>
  </si>
  <si>
    <t xml:space="preserve">Canyonvilee</t>
  </si>
  <si>
    <t xml:space="preserve">matched to Canyonville -- confirm this is correct</t>
  </si>
  <si>
    <t xml:space="preserve">Vernonoia</t>
  </si>
  <si>
    <t xml:space="preserve">matched to Vernonia -- confirm this is correct</t>
  </si>
  <si>
    <t xml:space="preserve">Issues</t>
  </si>
  <si>
    <t xml:space="preserve">row 25: blank city -- row dropped</t>
  </si>
  <si>
    <t xml:space="preserve">row 29: blank city -- row dropped</t>
  </si>
  <si>
    <t xml:space="preserve">row 34: blank city -- row dropped</t>
  </si>
  <si>
    <t xml:space="preserve">row 39: blank city -- row dropped</t>
  </si>
  <si>
    <t xml:space="preserve">row 44: blank city -- row dropped</t>
  </si>
  <si>
    <t xml:space="preserve">row 45: blank city -- row dropped</t>
  </si>
  <si>
    <t xml:space="preserve">row 57: blank city -- row dropped</t>
  </si>
  <si>
    <t xml:space="preserve">row 58: blank city -- row dropped</t>
  </si>
  <si>
    <t xml:space="preserve">row 73: blank city -- row dropped</t>
  </si>
  <si>
    <t xml:space="preserve">row 83: blank city -- row dropped</t>
  </si>
  <si>
    <t xml:space="preserve">Joseph: 2 submissions -- all retained, review for duplicates</t>
  </si>
  <si>
    <t xml:space="preserve">Canyonville: 2 submissions -- all retained, review for duplicates</t>
  </si>
  <si>
    <t xml:space="preserve">Ione: 2 submissions -- all retained, review for duplicates</t>
  </si>
  <si>
    <t xml:space="preserve">St. Helens: 2 submissions -- all retained, review for duplicates</t>
  </si>
  <si>
    <t xml:space="preserve">Vernonia: 2 submissions -- all retained, review for duplicates</t>
  </si>
  <si>
    <t xml:space="preserve">West Linn: 2 submissions -- all retained, review for duplicates</t>
  </si>
  <si>
    <t xml:space="preserve">Gresham: 3 submissions -- all retained, review for duplicates</t>
  </si>
  <si>
    <t xml:space="preserve">Dallas: 2 submissions -- all retained, review for duplicates</t>
  </si>
  <si>
    <t xml:space="preserve">Carlton: 2 submissions -- all retained, review for duplicates</t>
  </si>
  <si>
    <t xml:space="preserve">Rogue River: 2 submissions -- all retained, review for duplicates</t>
  </si>
  <si>
    <t xml:space="preserve">Salem: 2 submissions -- all retained, review for duplicates</t>
  </si>
  <si>
    <t xml:space="preserve">Beaverton: 2 submissions -- all retained, review for duplicates</t>
  </si>
  <si>
    <t xml:space="preserve">Q8 [What is the late fee rate?]: 12 answer(s) could not be read as a single number and were left blank. Columbia City: '$5 for 1st late notice, $15 for 2nd late notice/door' (contains 6 numbers) | Elgin: '$32.50 or $65 depending on termination day/time' (contains 2 numbers) | Mt. Vernon: '1.5% or $1.00 per month, or whichever is greater.' (contains 2 numbers) | Lake Oswego: '2.5% or $5, whichever is more' (contains 2 numbers) | +8 more</t>
  </si>
  <si>
    <t xml:space="preserve">Q8 [What is the late fee rate?]: 28 answer(s) had trailing text removed. Canyon City: blank | Ashland: blank | Seaside: kept 0.1, dropped 'of the outstanding balance' | Fairview: kept 0.05, dropped 'OF TOTAL' | +24 more</t>
  </si>
  <si>
    <t xml:space="preserve">Q9 [What is the interest rate?]: 1 answer(s) could not be read as a single number and were left blank. Sweet Home: '1 1/2%' (contains 3 numbers)</t>
  </si>
  <si>
    <t xml:space="preserve">Q9 [What is the interest rate?]: 76 answer(s) had trailing text removed. Heppner: blank | Spray: blank | Nehalem: blank | Gates: blank | +72 more</t>
  </si>
  <si>
    <t xml:space="preserve">Q10 [How many days past due date are allowed before t]: 11 answer(s) could not be read as a single number and were left blank. Gates: 'One' (no number present) | Glendale: 'Bills are due on the 10th but there is a 10 day grac' (contains 3 numbers) | Oakridge: 'Next business day after due date' (no number present) | Halsey: '8-11 days' (contains 2 numbers) | +7 more</t>
  </si>
  <si>
    <t xml:space="preserve">Q10 [How many days past due date are allowed before t]: 44 answer(s) had trailing text removed. Spray: kept 1, dropped 'day' | Canyon City: blank | Nehalem: kept 20, dropped 'Bills are due on theth anything aft' | Ashland: blank | +40 more</t>
  </si>
  <si>
    <t xml:space="preserve">Q11_1 [What is the penalties amount and interest rate? ]: 2 answer(s) could not be read as a single number and were left blank. Reedsport: 'differs based on interest rate' (no number present) | Portland: 'Late fees vary depending on which – we have reminder' (contains 8 numbers)</t>
  </si>
  <si>
    <t xml:space="preserve">Q11_1 [What is the penalties amount and interest rate? ]: 75 answer(s) had trailing text removed. Heppner: blank | Spray: blank | Nehalem: blank | Gates: blank | +71 more</t>
  </si>
  <si>
    <t xml:space="preserve">Q11_2 [What is the penalties amount and interest rate? ]: 1 answer(s) could not be read as a single number and were left blank. Sweet Home: '1 1/2%' (contains 3 numbers)</t>
  </si>
  <si>
    <t xml:space="preserve">Q11_2 [What is the penalties amount and interest rate? ]: 77 answer(s) had trailing text removed. Heppner: blank | Spray: blank | Canyon City: blank | Nehalem: blank | +73 more</t>
  </si>
  <si>
    <t xml:space="preserve">Q12 [How many days after due date before you disconne]: 12 answer(s) could not be read as a single number and were left blank. Glendale: 'If not paid by the 1st, shut offs are on the 1st.' (contains 2 numbers) | Canyonville: '38 +- depending on how the 20th of the month falls' (contains 2 numbers) | Sweet Home: 'If a bill is due the 15th, tun off of non-payment is' (contains 3 numbers) | Rufus: 'they get a notice at 15 days, a door hanger 10 days ' (contains 3 numbers) | +8 more</t>
  </si>
  <si>
    <t xml:space="preserve">Q12 [How many days after due date before you disconne]: 36 answer(s) had trailing text removed. Spray: blank | Gates: kept 72, dropped 'hour notice is given if the bill is' | Seaside: kept 86, dropped 'days' | Richland: kept 2, dropped 'If the user is months behind we sen' | +32 more</t>
  </si>
  <si>
    <t xml:space="preserve">Q13_1 [What dollar amount or number of days late trigge]: 4 answer(s) could not be read as a single number and were left blank. Columbia City: '$51 and over 60 days after account closed' (contains 2 numbers) | Mt. Vernon: 'any upaid w/o prior arrangement ' (no number present) | Ione: 'na' (no number present) | Reedsport: 'N/A' (no number present)</t>
  </si>
  <si>
    <t xml:space="preserve">Q13_1 [What dollar amount or number of days late trigge]: 62 answer(s) had trailing text removed. Spray: blank | Canyon City: blank | Nehalem: blank | Gates: blank | +58 more</t>
  </si>
  <si>
    <t xml:space="preserve">Q13_2 [What dollar amount or number of days late trigge]: 5 answer(s) could not be read as a single number and were left blank. Fairview: 'NOT SPECIFIED' (no number present) | Grants Pass: 'N/A' (no number present) | Oregon City: '31-35' (contains 2 numbers) | Stayton: '60 and 2 letters' (contains 2 numbers) | +1 more</t>
  </si>
  <si>
    <t xml:space="preserve">Q13_2 [What dollar amount or number of days late trigge]: 55 answer(s) had trailing text removed. Spray: blank | Canyon City: blank | Nehalem: blank | Gates: blank | +51 more</t>
  </si>
  <si>
    <t xml:space="preserve">Q18_1 [If a leak is detected, how far back does the cit]: 11 answer(s) could not be read as a single number and were left blank. Seaside: 'N/A' (no number present) | Wheeler: 'Adjustments for one billing cycle (2 months) up to 2' (contains 2 numbers) | Millersburg: 'generally not more than one year' (no number present) | Mt. Vernon: 'its usually a month' (no number present) | +7 more</t>
  </si>
  <si>
    <t xml:space="preserve">Q18_1 [If a leak is detected, how far back does the cit]: 46 answer(s) had trailing text removed. Heppner: blank | Spray: kept 30, dropped 'days' | Nehalem: blank | Gates: kept 3, dropped 'months' | +42 more</t>
  </si>
  <si>
    <t xml:space="preserve">Q22#1_1_1 [What percentage of rate revenue is obligated to ]: 48 answer(s) had trailing text removed. Heppner: blank | Spray: blank | Canyon City: blank | Gates: blank | +44 more</t>
  </si>
  <si>
    <t xml:space="preserve">Q22#1_2_1 [What percentage of rate revenue is obligated to ]: 53 answer(s) had trailing text removed. Heppner: blank | Spray: blank | Canyon City: blank | Nehalem: blank | +49 more</t>
  </si>
  <si>
    <t xml:space="preserve">Q22#1_3_1 [What percentage of rate revenue is obligated to ]: 66 answer(s) had trailing text removed. Heppner: blank | Spray: blank | Canyon City: blank | Nehalem: blank | +62 more</t>
  </si>
  <si>
    <t xml:space="preserve">Q24_1 [What was the last year you did a Rate Study for ]: 10 answer(s) could not be read as a single number and were left blank. Joseph: 'unknown' (no number present) | Long Creek: '2024-2025' (contains 2 numbers) | Columbia City: 'unk' (no number present) | Seaside: 'Unknown' (no number present) | +6 more</t>
  </si>
  <si>
    <t xml:space="preserve">Q24_1 [What was the last year you did a Rate Study for ]: 32 answer(s) had trailing text removed. Heppner: blank | Spray: blank | Canyon City: blank | Gates: kept 2012, dropped "It's been awhile Maybe" | +28 more</t>
  </si>
  <si>
    <t xml:space="preserve">Q25_1 [What was the last year you did a Methodology Upd]: 9 answer(s) could not be read as a single number and were left blank. Gates: '?' (no number present) | Long Creek: 'NA' (no number present) | Columbia City: 'unk' (no number present) | Seaside: 'Unknown' (no number present) | +5 more</t>
  </si>
  <si>
    <t xml:space="preserve">Q25_1 [What was the last year you did a Methodology Upd]: 39 answer(s) had trailing text removed. Heppner: blank | Spray: blank | Canyon City: blank | Glendale: blank | +35 more</t>
  </si>
  <si>
    <t xml:space="preserve">Q33 [What was the last effective date of your city's ]: 6 answer(s) could not be read as a single number and were left blank. Irrigon: '1/2025' (contains 2 numbers) | Oakridge: '7/1/25' (contains 3 numbers) | Rogue River: '02/01/2025' (contains 3 numbers) | Canyonville: '4-15-2025' (contains 3 numbers) | +2 more</t>
  </si>
  <si>
    <t xml:space="preserve">Q33 [What was the last effective date of your city's ]: 30 answer(s) had trailing text removed. Nehalem: blank | Seaside: blank | Wheeler: blank | Elgin: blank | +26 more</t>
  </si>
  <si>
    <t xml:space="preserve">Q34_1_TEXT [Overall, did the rate increase or decrease at th]: 3 answer(s) could not be read as a single number and were left blank. Bandon: '$4.00 on base rate (12.7%)' (contains 2 numbers) | Oregon City: '3% water distribution 20% water treatment' (contains 2 numbers) | Beaverton: '16.5% increase on the monthly water meter charge and' (contains 2 numbers)</t>
  </si>
  <si>
    <t xml:space="preserve">Q34_1_TEXT [Overall, did the rate increase or decrease at th]: 34 answer(s) had trailing text removed. Nehalem: blank | Ashland: blank | Seaside: blank | Wheeler: blank | +30 more</t>
  </si>
  <si>
    <t xml:space="preserve">Q37 [For water services, if you were to bill a reside]: 13 answer(s) could not be read as a single number and were left blank. Irrigon: 'we charge 36.99for 1,336 CCF (10,000 gallons)' (contains 3 numbers) | Rufus: '$40 base rate + usage @ $2.65per 1000 gallons + Main' (contains 5 numbers) | Bandon: '2,000 base $35.50 3,000 x 1.30 = 3.90 Total $39.40' (contains 6 numbers) | Oregon City: '$24.53 consumption $19.75 base rate = $44.28' (contains 3 numbers) | +9 more</t>
  </si>
  <si>
    <t xml:space="preserve">Q37 [For water services, if you were to bill a reside]: 31 answer(s) had trailing text removed. Spray: blank | Nehalem: blank | Seaside: blank | Wheeler: blank | +27 more</t>
  </si>
  <si>
    <t xml:space="preserve">Q39 [What was the last effective date of your city's ]: 5 answer(s) could not be read as a single number and were left blank. Irrigon: '1/2025' (contains 2 numbers) | Richland: 'Unsure' (no number present) | Oakridge: '7/1/25' (contains 3 numbers) | Rogue River: '02/01/2025' (contains 3 numbers) | +1 more</t>
  </si>
  <si>
    <t xml:space="preserve">Q39 [What was the last effective date of your city's ]: 33 answer(s) had trailing text removed. Nehalem: blank | Gates: blank | Wheeler: blank | Scotts Mills: blank | +29 more</t>
  </si>
  <si>
    <t xml:space="preserve">Q40_1_TEXT [Overall, did the rate increase or decrease at th]: 6 answer(s) could not be read as a single number and were left blank. Rockaway Beach: 'still in progress/unknown' (no number present) | Bandon: '29.72 to 33.72 (approx. 11.86%)' (contains 3 numbers) | Stayton: 'Residential +3% , +6.75% Commercial &amp; Industrial' (contains 2 numbers) | Gladstone: 'Passthrough WES 5.04% and OLWS 7.45%' (contains 2 numbers) | +2 more</t>
  </si>
  <si>
    <t xml:space="preserve">Q40_1_TEXT [Overall, did the rate increase or decrease at th]: 34 answer(s) had trailing text removed. Nehalem: blank | Gates: blank | Wheeler: blank | Richland: blank | +30 more</t>
  </si>
  <si>
    <t xml:space="preserve">Q43 [For wastewater services, if you were to bill a r]: 8 answer(s) could not be read as a single number and were left blank. Grants Pass: '$46.69 for wastewater charges only; $33.27 for water' (contains 3 numbers) | Bandon: 'Summer: 2,000 gallons = 33.72  3,000 gallons @ 2.70 ' (contains 12 numbers) | Reedsport: 'The wastewater bill for 669 cons would be estimated ' (contains 2 numbers) | Gladstone: 'WES customer = $70.04 or OLWS customer = $125.09' (contains 2 numbers) | +4 more</t>
  </si>
  <si>
    <t xml:space="preserve">Q43 [For wastewater services, if you were to bill a r]: 40 answer(s) had trailing text removed. Spray: blank | Nehalem: blank | Gates: blank | Irrigon: kept 50.82, dropped 'Flat rate is not based against wate' | +36 more</t>
  </si>
  <si>
    <t xml:space="preserve">Q46_1_TEXT [Overall, did the rate increase or decrease at th]: 1 answer(s) could not be read as a single number and were left blank. Sherwood: '25 &amp; 3%' (contains 2 numbers)</t>
  </si>
  <si>
    <t xml:space="preserve">Q46_1_TEXT [Overall, did the rate increase or decrease at th]: 56 answer(s) had trailing text removed. Heppner: blank | Spray: blank | Canyon City: blank | Nehalem: blank | +52 more</t>
  </si>
  <si>
    <t xml:space="preserve">Q52 [What does the average house pay for stormwater s]: 3 answer(s) could not be read as a single number and were left blank. Rogue River: 'n/a' (no number present) | Portland: '$39 (20% of SFR customers pay $23/mnth, 60% of SFR c' (contains 7 numbers) | Florence: 'Based on impervious square footage of the lot. &amp;lt;6' (contains 7 numbers)</t>
  </si>
  <si>
    <t xml:space="preserve">Q52 [What does the average house pay for stormwater s]: 53 answer(s) had trailing text removed. Heppner: blank | Spray: blank | Canyon City: blank | Nehalem: blank | +49 more</t>
  </si>
  <si>
    <t xml:space="preserve">Q55_1_1 [What is the service population in 2024? - Servic]: 1 answer(s) could not be read as a single number and were left blank. Joseph: 'unknown' (no number present)</t>
  </si>
  <si>
    <t xml:space="preserve">Q55_1_1 [What is the service population in 2024? - Servic]: 39 answer(s) had trailing text removed. Seaside: blank | Fairview: blank | Richland: blank | Scotts Mills: blank | +35 more</t>
  </si>
  <si>
    <t xml:space="preserve">Q55_1_2 [What is the service population in 2024? - Servic]: 2 answer(s) could not be read as a single number and were left blank. Gates: '?' (no number present) | Ashland: 'NA' (no number present)</t>
  </si>
  <si>
    <t xml:space="preserve">Q55_1_2 [What is the service population in 2024? - Servic]: 52 answer(s) had trailing text removed. Spray: blank | Glendale: blank | Joseph: blank | Columbia City: blank | +48 more</t>
  </si>
  <si>
    <t xml:space="preserve">Q55_2_1 [What is the service population in 2024? - Servic]: 8 answer(s) could not be read as a single number and were left blank. Joseph: 'unknown' (no number present) | Ashland: 'Unknown' (no number present) | Rufus: 'unknown' (no number present) | Oregon City: 'N/A' (no number present) | +4 more</t>
  </si>
  <si>
    <t xml:space="preserve">Q55_2_1 [What is the service population in 2024? - Servic]: 52 answer(s) had trailing text removed. Nehalem: blank | Gates: blank | Long Creek: blank | Columbia City: blank | +48 more</t>
  </si>
  <si>
    <t xml:space="preserve">Q55_2_2 [What is the service population in 2024? - Servic]: 5 answer(s) could not be read as a single number and were left blank. Ashland: 'NA' (no number present) | Oregon City: 'N/A' (no number present) | Reedsport: 'unknown' (no number present) | Carlton: 'NA' (no number present) | +1 more</t>
  </si>
  <si>
    <t xml:space="preserve">Q55_2_2 [What is the service population in 2024? - Servic]: 61 answer(s) had trailing text removed. Spray: blank | Nehalem: blank | Gates: blank | Glendale: blank | +57 more</t>
  </si>
  <si>
    <t xml:space="preserve">Q56_1_1 [Please list the number of connections for the fo]: 1 answer(s) could not be read as a single number and were left blank. Joseph: 'unknown' (no number present)</t>
  </si>
  <si>
    <t xml:space="preserve">Q56_1_1 [Please list the number of connections for the fo]: 42 answer(s) had trailing text removed. Heppner: blank | Seaside: blank | Fairview: blank | Richland: blank | +38 more</t>
  </si>
  <si>
    <t xml:space="preserve">Q56_1_2 [Please list the number of connections for the fo]: 52 answer(s) had trailing text removed. Heppner: blank | Spray: blank | Joseph: blank | Long Creek: blank | +48 more</t>
  </si>
  <si>
    <t xml:space="preserve">Q56_2_1 [Please list the number of connections for the fo]: 1 answer(s) could not be read as a single number and were left blank. Joseph: 'unknown' (no number present)</t>
  </si>
  <si>
    <t xml:space="preserve">Q56_2_1 [Please list the number of connections for the fo]: 43 answer(s) had trailing text removed. Heppner: blank | Nehalem: blank | Seaside: blank | Fairview: blank | +39 more</t>
  </si>
  <si>
    <t xml:space="preserve">Q56_3_1 [Please list the number of connections for the fo]: 2 answer(s) could not be read as a single number and were left blank. Joseph: 'unknown' (no number present) | Sherwood: 'Multfam - 52, City - 52 Irrigation - 121' (no number present)</t>
  </si>
  <si>
    <t xml:space="preserve">Q56_3_1 [Please list the number of connections for the fo]: 57 answer(s) had trailing text removed. Heppner: blank | Spray: blank | Canyon City: blank | Nehalem: blank | +53 more</t>
  </si>
  <si>
    <t xml:space="preserve">Q57 [What is the annual average water consumption for]: 1 answer(s) could not be read as a single number and were left blank. Columbia City: '46,811,097 (2019-2023)' (contains 3 numbers)</t>
  </si>
  <si>
    <t xml:space="preserve">Q57 [What is the annual average water consumption for]: 52 answer(s) had trailing text removed. Heppner: blank | Spray: blank | Irrigon: kept 90000, dropped 'per ERU' | Long Creek: kept 1e+06, dropped 'gallons' | +48 more</t>
  </si>
  <si>
    <t xml:space="preserve">Q58_1 [Please provide the following facility and water ]: 2 answer(s) could not be read as a single number and were left blank. Joseph: 'unknown' (no number present) | Milton-Freewater: '39..5' (contains 2 numbers)</t>
  </si>
  <si>
    <t xml:space="preserve">Q58_1 [Please provide the following facility and water ]: 50 answer(s) had trailing text removed. Heppner: blank | Spray: blank | Canyon City: blank | Nehalem: blank | +46 more</t>
  </si>
  <si>
    <t xml:space="preserve">Q58_2 [Please provide the following facility and water ]: 7 answer(s) could not be read as a single number and were left blank. Joseph: 'unknown' (no number present) | Cornelius: 'None' (no number present) | Lake Oswego: '28 pumps 11 stations' (contains 2 numbers) | Oregon City: '5 water pump stations, 11 water pumps' (contains 2 numbers) | +3 more</t>
  </si>
  <si>
    <t xml:space="preserve">Q58_2 [Please provide the following facility and water ]: 43 answer(s) had trailing text removed. Heppner: blank | Canyon City: blank | Nehalem: blank | Irrigon: kept 2, dropped 'at wells' | +39 more</t>
  </si>
  <si>
    <t xml:space="preserve">Q58_3 [Please provide the following facility and water ]: 3 answer(s) could not be read as a single number and were left blank. Joseph: 'unknown' (no number present) | Cornelius: 'Unknown' (no number present) | Reedsport: 'unknown' (no number present)</t>
  </si>
  <si>
    <t xml:space="preserve">Q58_3 [Please provide the following facility and water ]: 48 answer(s) had trailing text removed. Heppner: blank | Spray: blank | Canyon City: blank | Nehalem: blank | +44 more</t>
  </si>
  <si>
    <t xml:space="preserve">Q58_4 [Please provide the following facility and water ]: 5 answer(s) could not be read as a single number and were left blank. Long Creek: 'in town' (no number present) | Sweet Home: 'In City' (no number present) | Cornelius: 'Unknown' (no number present) | Oregon City: 'South Fork Water Board filter is in the City limits' (no number present) | +1 more</t>
  </si>
  <si>
    <t xml:space="preserve">Q58_4 [Please provide the following facility and water ]: 49 answer(s) had trailing text removed. Heppner: blank | Canyon City: blank | Nehalem: blank | Irrigon: kept 2, dropped 'miles' | +45 more</t>
  </si>
  <si>
    <t xml:space="preserve">Q59_1 [Please provide the following system age and capa]: 6 answer(s) could not be read as a single number and were left blank. Joseph: 'unknown' (no number present) | Cornelius: 'Unknown - water is purchased from City of Hillsboro' (no number present) | Oregon City: 'City purchases treated water from South Fork Water B' (no number present) | Stayton: "1960-1970's" (contains 2 numbers) | +2 more</t>
  </si>
  <si>
    <t xml:space="preserve">Q59_1 [Please provide the following system age and capa]: 47 answer(s) had trailing text removed. Heppner: blank | Spray: blank | Canyon City: blank | Nehalem: blank | +43 more</t>
  </si>
  <si>
    <t xml:space="preserve">Q59_2 [Please provide the following system age and capa]: 4 answer(s) could not be read as a single number and were left blank. Sweet Home: 'N/A' (no number present) | Cornelius: 'Unknown - Water is purchased from City of Hillsboro' (no number present) | Clatskanie: 'no' (no number present) | Sandy: 'Current' (no number present)</t>
  </si>
  <si>
    <t xml:space="preserve">Q59_2 [Please provide the following system age and capa]: 44 answer(s) had trailing text removed. Heppner: blank | Spray: blank | Canyon City: blank | Long Creek: blank | +40 more</t>
  </si>
  <si>
    <t xml:space="preserve">Q59_3 [Please provide the following system age and capa]: 10 answer(s) could not be read as a single number and were left blank. Joseph: 'unknown' (no number present) | Irrigon: 'groundwater' (no number present) | Sweet Home: 'Unknown (Foster Reservoir)' (no number present) | Cornelius: 'Unknown - Water is purchased from City of Hillsboro' (no number present) | +6 more</t>
  </si>
  <si>
    <t xml:space="preserve">Q59_3 [Please provide the following system age and capa]: 71 answer(s) had trailing text removed. Heppner: blank | Spray: blank | Canyon City: blank | Nehalem: blank | +67 more</t>
  </si>
  <si>
    <t xml:space="preserve">Q59_4 [Please provide the following system age and capa]: 11 answer(s) could not be read as a single number and were left blank. Joseph: 'unknown' (no number present) | Cornelius: 'Unknown - Water is purchased from City of Hillsboro' (no number present) | Jordan Valley: 'n/a' (no number present) | Hood River: 'NA' (no number present) | +7 more</t>
  </si>
  <si>
    <t xml:space="preserve">Q59_4 [Please provide the following system age and capa]: 60 answer(s) had trailing text removed. Heppner: blank | Spray: blank | Canyon City: blank | Nehalem: blank | +56 more</t>
  </si>
  <si>
    <t xml:space="preserve">Q59_5 [Please provide the following system age and capa]: 3 answer(s) could not be read as a single number and were left blank. Joseph: 'unknown' (no number present) | Stayton: '1.5 Summer and 3.5 Winter' (contains 2 numbers) | West Linn: 'n/a' (no number present)</t>
  </si>
  <si>
    <t xml:space="preserve">Q59_5 [Please provide the following system age and capa]: 68 answer(s) had trailing text removed. Heppner: blank | Spray: blank | Canyon City: blank | Nehalem: blank | +64 more</t>
  </si>
  <si>
    <t xml:space="preserve">Q59_5 [Please provide the following system ag]: Gresham = 6.378e+06, more than 25x the next largest (91) -- check units</t>
  </si>
  <si>
    <t xml:space="preserve">Q59_6 [Please provide the following system age and capa]: 5 answer(s) could not be read as a single number and were left blank. Joseph: 'unknown' (no number present) | Stayton: 'all except water loss' (no number present) | Gladstone: 'unknown' (no number present) | Milton-Freewater: 'all' (no number present) | +1 more</t>
  </si>
  <si>
    <t xml:space="preserve">Q59_6 [Please provide the following system age and capa]: 56 answer(s) had trailing text removed. Heppner: blank | Spray: blank | Canyon City: blank | Nehalem: blank | +52 more</t>
  </si>
  <si>
    <t xml:space="preserve">Q59_7 [Please provide the following system age and capa]: 4 answer(s) could not be read as a single number and were left blank. Joseph: 'unknown' (no number present) | Cornelius: 'Unknown - Water purchased from City of Hillsboro' (no number present) | Gladstone: 'unknown' (no number present) | West Linn: 'n/a' (no number present)</t>
  </si>
  <si>
    <t xml:space="preserve">Q59_7 [Please provide the following system age and capa]: 69 answer(s) had trailing text removed. Heppner: blank | Spray: blank | Canyon City: blank | Nehalem: blank | +65 more</t>
  </si>
  <si>
    <t xml:space="preserve">Q60_1_2 [Please list the amount of raw and treated water ]: 4 answer(s) could not be read as a single number and were left blank. Joseph: 'unknown' (no number present) | Salem: '92.2 mg Franzen and 46.47 in town reservoirs' (contains 2 numbers) | Salem: '92.2 mg Franzen and 46.47 in town reservoirs' (contains 2 numbers) | Beaverton: 'N/A' (no number present)</t>
  </si>
  <si>
    <t xml:space="preserve">Q60_1_2 [Please list the amount of raw and treated water ]: 55 answer(s) had trailing text removed. Spray: blank | Canyon City: blank | Nehalem: blank | Glendale: blank | +51 more</t>
  </si>
  <si>
    <t xml:space="preserve">Q60_4_1 [Please list the amount of raw and treated water ]: 2 answer(s) could not be read as a single number and were left blank. Portland: '9.9 B gallons (2 reservoirs in Bull Run Watershed)' (contains 2 numbers) | Beaverton: 'N/A' (no number present)</t>
  </si>
  <si>
    <t xml:space="preserve">Q60_4_1 [Please list the amount of raw and treated water ]: 76 answer(s) had trailing text removed. Heppner: blank | Spray: blank | Canyon City: blank | Nehalem: blank | +72 more</t>
  </si>
  <si>
    <t xml:space="preserve">Q60_4_1 [Please list the amount of raw and trea]: Dallas = 400, more than 25x the next largest (9) -- check units</t>
  </si>
  <si>
    <t xml:space="preserve">Q65_1 [What percentage of the system does each type of ]: 50 answer(s) had trailing text removed. Spray: blank | Canyon City: blank | Nehalem: blank | Glendale: blank | +46 more</t>
  </si>
  <si>
    <t xml:space="preserve">Q65_2 [What percentage of the system does each type of ]: 68 answer(s) had trailing text removed. Spray: blank | Canyon City: blank | Nehalem: blank | Glendale: blank | +64 more</t>
  </si>
  <si>
    <t xml:space="preserve">Q65_3 [What percentage of the system does each type of ]: 59 answer(s) had trailing text removed. Spray: blank | Nehalem: blank | Gates: blank | Joseph: blank | +55 more</t>
  </si>
  <si>
    <t xml:space="preserve">Q69_1_1 [What is the service population in 2024? - Servic]: 43 answer(s) had trailing text removed. Heppner: blank | Nehalem: blank | Gates: blank | Joseph: blank | +39 more</t>
  </si>
  <si>
    <t xml:space="preserve">Q69_1_2 [What is the service population in 2024? - Servic]: 2 answer(s) could not be read as a single number and were left blank. Ashland: 'NA' (no number present) | Beaverton: 'N/A' (no number present)</t>
  </si>
  <si>
    <t xml:space="preserve">Q69_1_2 [What is the service population in 2024? - Servic]: 60 answer(s) had trailing text removed. Heppner: blank | Spray: blank | Nehalem: blank | Gates: blank | +56 more</t>
  </si>
  <si>
    <t xml:space="preserve">Q69_2_1 [What is the service population in 2024? - Servic]: 6 answer(s) could not be read as a single number and were left blank. Ashland: 'unkown' (no number present) | Rufus: 'unknown' (no number present) | Oregon City: 'N/A' (no number present) | Reedsport: 'Unknown' (no number present) | +2 more</t>
  </si>
  <si>
    <t xml:space="preserve">Q69_2_1 [What is the service population in 2024? - Servic]: 56 answer(s) had trailing text removed. Heppner: blank | Nehalem: blank | Gates: blank | Joseph: blank | +52 more</t>
  </si>
  <si>
    <t xml:space="preserve">Q69_2_2 [What is the service population in 2024? - Servic]: 5 answer(s) could not be read as a single number and were left blank. Ashland: 'NA' (no number present) | Oregon City: 'N/A' (no number present) | Reedsport: 'Unknown' (no number present) | Sandy: 'n/a' (no number present) | +1 more</t>
  </si>
  <si>
    <t xml:space="preserve">Q69_2_2 [What is the service population in 2024? - Servic]: 65 answer(s) had trailing text removed. Heppner: blank | Spray: blank | Nehalem: blank | Gates: blank | +61 more</t>
  </si>
  <si>
    <t xml:space="preserve">Q70_1_1 [Please list the number of connections for the fo]: 47 answer(s) had trailing text removed. Heppner: blank | Nehalem: blank | Gates: blank | Joseph: blank | +43 more</t>
  </si>
  <si>
    <t xml:space="preserve">Q70_2_1 [Please list the number of connections for the fo]: 47 answer(s) had trailing text removed. Heppner: blank | Nehalem: blank | Gates: blank | Joseph: blank | +43 more</t>
  </si>
  <si>
    <t xml:space="preserve">Q70_3_1 [Please list the number of connections for the fo]: 1 answer(s) could not be read as a single number and were left blank. Sherwood: 'Multi Fam 52, City 52' (contains 2 numbers)</t>
  </si>
  <si>
    <t xml:space="preserve">Q70_3_1 [Please list the number of connections for the fo]: 65 answer(s) had trailing text removed. Heppner: blank | Spray: blank | Canyon City: blank | Nehalem: blank | +61 more</t>
  </si>
  <si>
    <t xml:space="preserve">Q71 [What is the annual average wastewater base (volu]: 8 answer(s) could not be read as a single number and were left blank. Hood River: 'NA' (no number present) | Dallas: 'UNKNOWN' (no number present) | Oregon City: 'https://www.clackamas.us/wes/ssewer.html' (no number present) | Stayton: 'not measured' (no number present) | +4 more</t>
  </si>
  <si>
    <t xml:space="preserve">Q71 [What is the annual average wastewater base (volu]: 65 answer(s) had trailing text removed. Heppner: blank | Spray: blank | Canyon City: blank | Nehalem: blank | +61 more</t>
  </si>
  <si>
    <t xml:space="preserve">Q71 [What is the annual average wastewater ]: Seaside = 3.92044e+06, more than 25x the next largest (60,051) -- check units</t>
  </si>
  <si>
    <t xml:space="preserve">Q72_1 [Please provide the following facility, lines, an]: 1 answer(s) could not be read as a single number and were left blank. Seaside: 'Unknown' (no number present)</t>
  </si>
  <si>
    <t xml:space="preserve">Q72_1 [Please provide the following facility, lines, an]: 56 answer(s) had trailing text removed. Heppner: blank | Spray: blank | Canyon City: blank | Nehalem: blank | +52 more</t>
  </si>
  <si>
    <t xml:space="preserve">Q72_2 [Please provide the following facility, lines, an]: 6 answer(s) could not be read as a single number and were left blank. Cornelius: 'Unknown - managed by CWS' (no number present) | Jordan Valley: '8/4' (contains 2 numbers) | Oregon City: '27 pumps at 14 pump stations' (contains 2 numbers) | Stayton: '30 + 4' (contains 2 numbers) | +2 more</t>
  </si>
  <si>
    <t xml:space="preserve">Q72_2 [Please provide the following facility, lines, an]: 47 answer(s) had trailing text removed. Heppner: blank | Canyon City: blank | Nehalem: blank | Gates: blank | +43 more</t>
  </si>
  <si>
    <t xml:space="preserve">Q74_1 [Please provide the following system age and capa]: 4 answer(s) could not be read as a single number and were left blank. Cornelius: 'Unknown - managed by CWS' (no number present) | Portland: '1952 (CBWTP)/1964 (TCWTP)' (contains 2 numbers) | West Linn: 'n/a' (no number present) | Beaverton: 'N/A - All plants owned by Clean Water Services' (no number present)</t>
  </si>
  <si>
    <t xml:space="preserve">Q74_1 [Please provide the following system age and capa]: 52 answer(s) had trailing text removed. Heppner: blank | Canyon City: blank | Nehalem: blank | Gates: blank | +48 more</t>
  </si>
  <si>
    <t xml:space="preserve">Q74_2 [Please provide the following system age and capa]: 7 answer(s) could not be read as a single number and were left blank. Cornelius: 'Unknown - managed by CWS' (no number present) | Grants Pass: '2019-2020' (contains 2 numbers) | Jordan Valley: 'n/a' (no number present) | Clatskanie: 'in the process of building a new one' (no number present) | +3 more</t>
  </si>
  <si>
    <t xml:space="preserve">Q74_2 [Please provide the following system age and capa]: 54 answer(s) had trailing text removed. Heppner: blank | Spray: blank | Canyon City: blank | Nehalem: blank | +50 more</t>
  </si>
  <si>
    <t xml:space="preserve">Q74_3 [Please provide the following system age and capa]: 5 answer(s) could not be read as a single number and were left blank. Irrigon: 'unknown' (no number present) | Cornelius: 'Unknown - managed by CWS' (no number present) | Portland: 'The dry weather treatment train (ie. biological trea' (contains 2 numbers) | West Linn: 'n/a' (no number present) | +1 more</t>
  </si>
  <si>
    <t xml:space="preserve">Q74_3 [Please provide the following system age and capa]: 62 answer(s) had trailing text removed. Heppner: blank | Spray: blank | Canyon City: blank | Nehalem: blank | +58 more</t>
  </si>
  <si>
    <t xml:space="preserve">Q74_4 [Please provide the following system age and capa]: 6 answer(s) could not be read as a single number and were left blank. Irrigon: 'unkown' (no number present) | Cornelius: 'Unknown - managed by CWS' (no number present) | Carlton: 'Unknown' (no number present) | Portland: '450 MGD (this is screening and disinfection) for CBW' (contains 2 numbers) | +2 more</t>
  </si>
  <si>
    <t xml:space="preserve">Q74_4 [Please provide the following system age and capa]: 61 answer(s) had trailing text removed. Heppner: blank | Spray: blank | Canyon City: blank | Nehalem: blank | +57 more</t>
  </si>
  <si>
    <t xml:space="preserve">Q74_5 [Please provide the following system age and capa]: 5 answer(s) could not be read as a single number and were left blank. Irrigon: 'unkown' (no number present) | Cornelius: 'Unknown - managed by CWS' (no number present) | Portland: '27,413 MG at CBWTP and 1,300 at TCWTP' (contains 2 numbers) | West Linn: 'n/a' (no number present) | +1 more</t>
  </si>
  <si>
    <t xml:space="preserve">Q74_5 [Please provide the following system age and capa]: 63 answer(s) had trailing text removed. Heppner: blank | Spray: blank | Canyon City: blank | Nehalem: blank | +59 more</t>
  </si>
  <si>
    <t xml:space="preserve">Q74_6 [Please provide the following system age and capa]: 5 answer(s) could not be read as a single number and were left blank. Irrigon: 'unkown' (no number present) | Cornelius: 'Unknown - managed by CWS' (no number present) | Portland: '399 MGD at CBWTP and 24.83 at TCWTP.' (contains 2 numbers) | West Linn: 'n/a' (no number present) | +1 more</t>
  </si>
  <si>
    <t xml:space="preserve">Q74_6 [Please provide the following system age and capa]: 63 answer(s) had trailing text removed. Heppner: blank | Spray: blank | Canyon City: blank | Nehalem: blank | +59 more</t>
  </si>
  <si>
    <t xml:space="preserve">Q74_6 [Please provide the following system ag]: Salem = 16,117, more than 25x the next largest (146.38) -- check units</t>
  </si>
  <si>
    <t xml:space="preserve">Q74_7 [Please provide the following system age and capa]: 4 answer(s) could not be read as a single number and were left blank. Cornelius: 'Unknown - managed by CWS' (no number present) | Portland: '148 MGD at CBWTP and 13.03 at TCWTP.' (contains 2 numbers) | West Linn: 'n/a' (no number present) | Beaverton: 'N/A - All plants owned by Clean Water Services' (no number present)</t>
  </si>
  <si>
    <t xml:space="preserve">Q74_7 [Please provide the following system age and capa]: 62 answer(s) had trailing text removed. Heppner: blank | Spray: blank | Canyon City: blank | Nehalem: blank | +58 more</t>
  </si>
  <si>
    <t xml:space="preserve">Q75 [At what percent (%) capacity is the entire waste]: 8 answer(s) could not be read as a single number and were left blank. Seaside: 'Unknown' (no number present) | Cornelius: 'Unknown - managed by CWS' (no number present) | Grants Pass: 'Unknown' (no number present) | Oregon City: 'https://www.clackamas.us/wes/ssewer.html' (no number present) | +4 more</t>
  </si>
  <si>
    <t xml:space="preserve">Q75 [At what percent (%) capacity is the entire waste]: 57 answer(s) had trailing text removed. Heppner: blank | Spray: blank | Canyon City: blank | Nehalem: blank | +53 more</t>
  </si>
  <si>
    <t xml:space="preserve">Q89_1_1 [Please list the number of accounts for the follo]: 1 answer(s) could not be read as a single number and were left blank. Millersburg: 'na' (no number present)</t>
  </si>
  <si>
    <t xml:space="preserve">Q89_1_1 [Please list the number of accounts for the follo]: 56 answer(s) had trailing text removed. Heppner: blank | Spray: blank | Canyon City: blank | Nehalem: blank | +52 more</t>
  </si>
  <si>
    <t xml:space="preserve">Q89_2_1 [Please list the number of accounts for the follo]: 1 answer(s) could not be read as a single number and were left blank. Millersburg: 'na' (no number present)</t>
  </si>
  <si>
    <t xml:space="preserve">Q89_2_1 [Please list the number of accounts for the follo]: 57 answer(s) had trailing text removed. Heppner: blank | Spray: blank | Canyon City: blank | Nehalem: blank | +53 more</t>
  </si>
  <si>
    <t xml:space="preserve">Q89_3_1 [Please list the number of accounts for the follo]: 1 answer(s) could not be read as a single number and were left blank. Millersburg: 'na' (no number present)</t>
  </si>
  <si>
    <t xml:space="preserve">Q89_3_1 [Please list the number of accounts for the follo]: 69 answer(s) had trailing text removed. Heppner: blank | Spray: blank | Canyon City: blank | Nehalem: blank | +65 more</t>
  </si>
  <si>
    <t xml:space="preserve">Q90_1 [Please provide the following facility and water ]: 2 answer(s) could not be read as a single number and were left blank. Ashland: 'NA' (no number present) | Gresham: 'unknown' (no number present)</t>
  </si>
  <si>
    <t xml:space="preserve">Q90_1 [Please provide the following facility and water ]: 64 answer(s) had trailing text removed. Heppner: blank | Spray: blank | Canyon City: blank | Nehalem: blank | +60 more</t>
  </si>
  <si>
    <t xml:space="preserve">Q90_1 [Please provide the following facility ]: West Linn = 600,000, more than 25x the next largest (520.8) -- check units</t>
  </si>
  <si>
    <t xml:space="preserve">Q91 [What is the average Equivalent Dwelling Unit (ED]: 2 answer(s) could not be read as a single number and were left blank. Dallas: 'NA' (no number present) | Lowell: 'N/A' (no number present)</t>
  </si>
  <si>
    <t xml:space="preserve">Q91 [What is the average Equivalent Dwelling Unit (ED]: 68 answer(s) had trailing text removed. Heppner: blank | Spray: blank | Canyon City: blank | Nehalem: blank | +64 more</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</si>
</sst>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i val="true"/>
      <sz val="9"/>
      <name val="Arial"/>
      <family val="0"/>
      <charset val="1"/>
    </font>
    <font>
      <b val="true"/>
      <sz val="11"/>
      <color rgb="FF1F3864"/>
      <name val="Arial"/>
      <family val="0"/>
      <charset val="1"/>
    </font>
    <font>
      <i val="true"/>
      <sz val="8"/>
      <color rgb="FF808080"/>
      <name val="Arial"/>
      <family val="0"/>
      <charset val="1"/>
    </font>
    <font>
      <b val="true"/>
      <sz val="10"/>
      <name val="Arial"/>
      <family val="0"/>
      <charset val="1"/>
    </font>
    <font>
      <b val="true"/>
      <sz val="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E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13"/>
    <col collapsed="false" customWidth="true" hidden="false" outlineLevel="0" max="213" min="5" style="0" width="15"/>
  </cols>
  <sheetData>
    <row r="1" customFormat="false" ht="57.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119</v>
      </c>
      <c r="FF1" s="1" t="s">
        <v>120</v>
      </c>
      <c r="FG1" s="1" t="s">
        <v>121</v>
      </c>
      <c r="FH1" s="1" t="s">
        <v>122</v>
      </c>
      <c r="FI1" s="1" t="s">
        <v>123</v>
      </c>
      <c r="FJ1" s="1" t="s">
        <v>124</v>
      </c>
      <c r="FK1" s="1" t="s">
        <v>125</v>
      </c>
      <c r="FL1" s="1" t="s">
        <v>126</v>
      </c>
      <c r="FM1" s="1" t="s">
        <v>127</v>
      </c>
      <c r="FN1" s="1" t="s">
        <v>128</v>
      </c>
      <c r="FO1" s="1" t="s">
        <v>160</v>
      </c>
      <c r="FP1" s="1" t="s">
        <v>161</v>
      </c>
      <c r="FQ1" s="1" t="s">
        <v>162</v>
      </c>
      <c r="FR1" s="1" t="s">
        <v>163</v>
      </c>
      <c r="FS1" s="1" t="s">
        <v>164</v>
      </c>
      <c r="FT1" s="1" t="s">
        <v>165</v>
      </c>
      <c r="FU1" s="1" t="s">
        <v>166</v>
      </c>
      <c r="FV1" s="1" t="s">
        <v>167</v>
      </c>
      <c r="FW1" s="1" t="s">
        <v>168</v>
      </c>
      <c r="FX1" s="1" t="s">
        <v>169</v>
      </c>
      <c r="FY1" s="1" t="s">
        <v>170</v>
      </c>
      <c r="FZ1" s="1" t="s">
        <v>171</v>
      </c>
      <c r="GA1" s="1" t="s">
        <v>172</v>
      </c>
      <c r="GB1" s="1" t="s">
        <v>173</v>
      </c>
      <c r="GC1" s="1" t="s">
        <v>174</v>
      </c>
      <c r="GD1" s="1" t="s">
        <v>175</v>
      </c>
      <c r="GE1" s="1" t="s">
        <v>176</v>
      </c>
      <c r="GF1" s="1" t="s">
        <v>177</v>
      </c>
      <c r="GG1" s="1" t="s">
        <v>178</v>
      </c>
      <c r="GH1" s="1" t="s">
        <v>179</v>
      </c>
      <c r="GI1" s="1" t="s">
        <v>180</v>
      </c>
      <c r="GJ1" s="1" t="s">
        <v>150</v>
      </c>
      <c r="GK1" s="1" t="s">
        <v>181</v>
      </c>
      <c r="GL1" s="1" t="s">
        <v>182</v>
      </c>
      <c r="GM1" s="1" t="s">
        <v>183</v>
      </c>
      <c r="GN1" s="1" t="s">
        <v>184</v>
      </c>
      <c r="GO1" s="1" t="s">
        <v>185</v>
      </c>
      <c r="GP1" s="1" t="s">
        <v>186</v>
      </c>
      <c r="GQ1" s="1" t="s">
        <v>187</v>
      </c>
      <c r="GR1" s="1" t="s">
        <v>188</v>
      </c>
      <c r="GS1" s="1" t="s">
        <v>189</v>
      </c>
      <c r="GT1" s="1" t="s">
        <v>190</v>
      </c>
      <c r="GU1" s="1" t="s">
        <v>191</v>
      </c>
      <c r="GV1" s="1" t="s">
        <v>192</v>
      </c>
      <c r="GW1" s="1" t="s">
        <v>193</v>
      </c>
      <c r="GX1" s="1" t="s">
        <v>194</v>
      </c>
      <c r="GY1" s="1" t="s">
        <v>195</v>
      </c>
      <c r="GZ1" s="1" t="s">
        <v>196</v>
      </c>
      <c r="HA1" s="1" t="s">
        <v>197</v>
      </c>
      <c r="HB1" s="1" t="s">
        <v>198</v>
      </c>
      <c r="HC1" s="1" t="s">
        <v>199</v>
      </c>
      <c r="HD1" s="1" t="s">
        <v>200</v>
      </c>
      <c r="HE1" s="1" t="s">
        <v>201</v>
      </c>
    </row>
    <row r="2" customFormat="false" ht="15" hidden="false" customHeight="false" outlineLevel="0" collapsed="false">
      <c r="A2" s="2" t="s">
        <v>202</v>
      </c>
      <c r="B2" s="2" t="n">
        <v>1205</v>
      </c>
      <c r="C2" s="2" t="n">
        <v>2</v>
      </c>
      <c r="D2" s="2" t="n">
        <v>11</v>
      </c>
      <c r="E2" s="2" t="n">
        <v>1</v>
      </c>
      <c r="F2" s="2"/>
      <c r="G2" s="2" t="n">
        <v>1</v>
      </c>
      <c r="H2" s="2" t="n">
        <v>1</v>
      </c>
      <c r="I2" s="2" t="n">
        <v>1</v>
      </c>
      <c r="J2" s="2" t="n">
        <v>0</v>
      </c>
      <c r="K2" s="2" t="n">
        <v>1</v>
      </c>
      <c r="L2" s="2" t="n">
        <v>0</v>
      </c>
      <c r="M2" s="2" t="n">
        <v>2</v>
      </c>
      <c r="N2" s="2" t="n">
        <v>1</v>
      </c>
      <c r="O2" s="2" t="n">
        <v>1</v>
      </c>
      <c r="P2" s="2" t="n">
        <v>1</v>
      </c>
      <c r="Q2" s="2" t="n">
        <v>0</v>
      </c>
      <c r="R2" s="2" t="n">
        <v>1</v>
      </c>
      <c r="S2" s="2" t="n">
        <v>0</v>
      </c>
      <c r="T2" s="2"/>
      <c r="U2" s="2" t="n">
        <v>5</v>
      </c>
      <c r="V2" s="2"/>
      <c r="W2" s="2" t="n">
        <v>30</v>
      </c>
      <c r="X2" s="2"/>
      <c r="Y2" s="2"/>
      <c r="Z2" s="2" t="n">
        <v>60</v>
      </c>
      <c r="AA2" s="2" t="n">
        <v>151</v>
      </c>
      <c r="AB2" s="2" t="n">
        <v>90</v>
      </c>
      <c r="AC2" s="2" t="n">
        <v>1</v>
      </c>
      <c r="AD2" s="2" t="s">
        <v>203</v>
      </c>
      <c r="AE2" s="2" t="n">
        <v>3</v>
      </c>
      <c r="AF2" s="2" t="n">
        <v>2</v>
      </c>
      <c r="AG2" s="2"/>
      <c r="AH2" s="2" t="s">
        <v>204</v>
      </c>
      <c r="AI2" s="2"/>
      <c r="AJ2" s="2"/>
      <c r="AK2" s="2"/>
      <c r="AL2" s="2"/>
      <c r="AM2" s="2"/>
      <c r="AN2" s="2"/>
      <c r="AO2" s="2"/>
      <c r="AP2" s="2" t="n">
        <v>1</v>
      </c>
      <c r="AQ2" s="2" t="n">
        <v>1</v>
      </c>
      <c r="AR2" s="2" t="n">
        <v>2</v>
      </c>
      <c r="AS2" s="2"/>
      <c r="AT2" s="2"/>
      <c r="AU2" s="2"/>
      <c r="AV2" s="2"/>
      <c r="AW2" s="2"/>
      <c r="AX2" s="2"/>
      <c r="AY2" s="2" t="n">
        <v>1</v>
      </c>
      <c r="AZ2" s="2" t="n">
        <v>4</v>
      </c>
      <c r="BA2" s="2"/>
      <c r="BB2" s="2" t="s">
        <v>205</v>
      </c>
      <c r="BC2" s="2" t="n">
        <v>1</v>
      </c>
      <c r="BD2" s="2" t="n">
        <v>1</v>
      </c>
      <c r="BE2" s="2" t="n">
        <v>0</v>
      </c>
      <c r="BF2" s="2" t="n">
        <v>1</v>
      </c>
      <c r="BG2" s="2" t="n">
        <v>1</v>
      </c>
      <c r="BH2" s="2" t="n">
        <v>1</v>
      </c>
      <c r="BI2" s="2" t="s">
        <v>206</v>
      </c>
      <c r="BJ2" s="2" t="n">
        <v>2</v>
      </c>
      <c r="BK2" s="2" t="n">
        <v>0</v>
      </c>
      <c r="BL2" s="2" t="n">
        <v>0</v>
      </c>
      <c r="BM2" s="2" t="n">
        <v>1</v>
      </c>
      <c r="BN2" s="2" t="n">
        <v>0</v>
      </c>
      <c r="BO2" s="2" t="n">
        <v>0</v>
      </c>
      <c r="BP2" s="2" t="n">
        <v>0</v>
      </c>
      <c r="BQ2" s="2" t="n">
        <v>0</v>
      </c>
      <c r="BR2" s="2" t="s">
        <v>207</v>
      </c>
      <c r="BS2" s="2" t="n">
        <v>1</v>
      </c>
      <c r="BT2" s="2" t="n">
        <v>1</v>
      </c>
      <c r="BU2" s="2"/>
      <c r="BV2" s="2" t="n">
        <v>1</v>
      </c>
      <c r="BW2" s="2" t="n">
        <v>2025</v>
      </c>
      <c r="BX2" s="2" t="n">
        <v>1</v>
      </c>
      <c r="BY2" s="2" t="n">
        <v>3.2</v>
      </c>
      <c r="BZ2" s="2" t="n">
        <v>0</v>
      </c>
      <c r="CA2" s="2" t="n">
        <v>1</v>
      </c>
      <c r="CB2" s="2" t="n">
        <v>1</v>
      </c>
      <c r="CC2" s="2" t="n">
        <v>1</v>
      </c>
      <c r="CD2" s="2" t="n">
        <v>0</v>
      </c>
      <c r="CE2" s="2" t="n">
        <v>1</v>
      </c>
      <c r="CF2" s="2" t="s">
        <v>208</v>
      </c>
      <c r="CG2" s="2" t="n">
        <v>1</v>
      </c>
      <c r="CH2" s="2"/>
      <c r="CI2" s="2" t="n">
        <v>53.17</v>
      </c>
      <c r="CJ2" s="2" t="n">
        <v>1</v>
      </c>
      <c r="CK2" s="2" t="n">
        <v>2025</v>
      </c>
      <c r="CL2" s="2" t="n">
        <v>1</v>
      </c>
      <c r="CM2" s="2" t="n">
        <v>3.2</v>
      </c>
      <c r="CN2" s="2" t="n">
        <v>0</v>
      </c>
      <c r="CO2" s="2" t="n">
        <v>1</v>
      </c>
      <c r="CP2" s="2" t="n">
        <v>1</v>
      </c>
      <c r="CQ2" s="2" t="n">
        <v>0</v>
      </c>
      <c r="CR2" s="2" t="n">
        <v>0</v>
      </c>
      <c r="CS2" s="2" t="n">
        <v>1</v>
      </c>
      <c r="CT2" s="2"/>
      <c r="CU2" s="2" t="n">
        <v>1</v>
      </c>
      <c r="CV2" s="2"/>
      <c r="CW2" s="2" t="n">
        <v>50.69</v>
      </c>
      <c r="CX2" s="2" t="n">
        <v>2</v>
      </c>
      <c r="CY2" s="2"/>
      <c r="CZ2" s="2"/>
      <c r="DA2" s="2"/>
      <c r="DB2" s="2"/>
      <c r="DC2" s="2"/>
      <c r="DD2" s="2"/>
      <c r="DE2" s="2"/>
      <c r="DF2" s="2"/>
      <c r="DG2" s="2"/>
      <c r="DH2" s="2"/>
      <c r="DI2" s="2"/>
      <c r="DJ2" s="2"/>
      <c r="DK2" s="2"/>
      <c r="DL2" s="2"/>
      <c r="DM2" s="2"/>
      <c r="DN2" s="2"/>
      <c r="DO2" s="2" t="n">
        <v>1</v>
      </c>
      <c r="DP2" s="2" t="n">
        <v>1200</v>
      </c>
      <c r="DQ2" s="2" t="n">
        <v>100</v>
      </c>
      <c r="DR2" s="2" t="n">
        <v>1200</v>
      </c>
      <c r="DS2" s="2" t="n">
        <v>100</v>
      </c>
      <c r="DT2" s="2"/>
      <c r="DU2" s="2"/>
      <c r="DV2" s="2"/>
      <c r="DW2" s="2"/>
      <c r="DX2" s="2"/>
      <c r="DY2" s="2"/>
      <c r="DZ2" s="2"/>
      <c r="EA2" s="2"/>
      <c r="EB2" s="2"/>
      <c r="EC2" s="2"/>
      <c r="ED2" s="2"/>
      <c r="EE2" s="2"/>
      <c r="EF2" s="2"/>
      <c r="EG2" s="2"/>
      <c r="EH2" s="2"/>
      <c r="EI2" s="2"/>
      <c r="EJ2" s="2"/>
      <c r="EK2" s="2"/>
      <c r="EL2" s="2"/>
      <c r="EM2" s="2" t="n">
        <v>1.35</v>
      </c>
      <c r="EN2" s="2"/>
      <c r="EO2" s="2"/>
      <c r="EP2" s="2"/>
      <c r="EQ2" s="2"/>
      <c r="ER2" s="2"/>
      <c r="ES2" s="2"/>
      <c r="ET2" s="2"/>
      <c r="EU2" s="2"/>
      <c r="EV2" s="2" t="n">
        <v>1</v>
      </c>
      <c r="EW2" s="2" t="n">
        <v>1</v>
      </c>
      <c r="EX2" s="2" t="n">
        <v>2</v>
      </c>
      <c r="EY2" s="2"/>
      <c r="EZ2" s="2" t="n">
        <v>40</v>
      </c>
      <c r="FA2" s="2" t="n">
        <v>50</v>
      </c>
      <c r="FB2" s="2" t="n">
        <v>10</v>
      </c>
      <c r="FC2" s="2"/>
      <c r="FD2" s="2" t="n">
        <v>1</v>
      </c>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t="n">
        <v>1</v>
      </c>
      <c r="GP2" s="2" t="s">
        <v>209</v>
      </c>
      <c r="GQ2" s="2" t="n">
        <v>2</v>
      </c>
      <c r="GR2" s="2"/>
      <c r="GS2" s="2"/>
      <c r="GT2" s="2" t="n">
        <v>2</v>
      </c>
      <c r="GU2" s="2"/>
      <c r="GV2" s="2"/>
      <c r="GW2" s="2"/>
      <c r="GX2" s="2"/>
      <c r="GY2" s="2"/>
      <c r="GZ2" s="2"/>
      <c r="HA2" s="2"/>
      <c r="HB2" s="2"/>
      <c r="HC2" s="2"/>
      <c r="HD2" s="2"/>
      <c r="HE2" s="2"/>
    </row>
    <row r="3" customFormat="false" ht="15" hidden="false" customHeight="false" outlineLevel="0" collapsed="false">
      <c r="A3" s="2" t="s">
        <v>210</v>
      </c>
      <c r="B3" s="2" t="n">
        <v>141</v>
      </c>
      <c r="C3" s="2" t="n">
        <v>1</v>
      </c>
      <c r="D3" s="2" t="n">
        <v>9</v>
      </c>
      <c r="E3" s="2" t="n">
        <v>1</v>
      </c>
      <c r="F3" s="2"/>
      <c r="G3" s="2" t="n">
        <v>1</v>
      </c>
      <c r="H3" s="2" t="n">
        <v>1</v>
      </c>
      <c r="I3" s="2" t="n">
        <v>0</v>
      </c>
      <c r="J3" s="2" t="n">
        <v>1</v>
      </c>
      <c r="K3" s="2" t="n">
        <v>1</v>
      </c>
      <c r="L3" s="2" t="n">
        <v>1</v>
      </c>
      <c r="M3" s="2" t="n">
        <v>2</v>
      </c>
      <c r="N3" s="2" t="n">
        <v>0</v>
      </c>
      <c r="O3" s="2" t="n">
        <v>0</v>
      </c>
      <c r="P3" s="2" t="n">
        <v>1</v>
      </c>
      <c r="Q3" s="2" t="n">
        <v>0</v>
      </c>
      <c r="R3" s="2" t="n">
        <v>0</v>
      </c>
      <c r="S3" s="2" t="n">
        <v>0</v>
      </c>
      <c r="T3" s="2"/>
      <c r="U3" s="2" t="n">
        <v>10</v>
      </c>
      <c r="V3" s="2"/>
      <c r="W3" s="2" t="n">
        <v>1</v>
      </c>
      <c r="X3" s="2"/>
      <c r="Y3" s="2"/>
      <c r="Z3" s="2"/>
      <c r="AA3" s="2"/>
      <c r="AB3" s="2"/>
      <c r="AC3" s="2" t="n">
        <v>1</v>
      </c>
      <c r="AD3" s="2" t="s">
        <v>211</v>
      </c>
      <c r="AE3" s="2" t="n">
        <v>3</v>
      </c>
      <c r="AF3" s="2" t="n">
        <v>2</v>
      </c>
      <c r="AG3" s="2" t="n">
        <v>30</v>
      </c>
      <c r="AH3" s="2"/>
      <c r="AI3" s="2"/>
      <c r="AJ3" s="2"/>
      <c r="AK3" s="2"/>
      <c r="AL3" s="2"/>
      <c r="AM3" s="2" t="n">
        <v>1</v>
      </c>
      <c r="AN3" s="2" t="n">
        <v>1</v>
      </c>
      <c r="AO3" s="2" t="n">
        <v>1</v>
      </c>
      <c r="AP3" s="2"/>
      <c r="AQ3" s="2"/>
      <c r="AR3" s="2"/>
      <c r="AS3" s="2"/>
      <c r="AT3" s="2"/>
      <c r="AU3" s="2"/>
      <c r="AV3" s="2"/>
      <c r="AW3" s="2"/>
      <c r="AX3" s="2"/>
      <c r="AY3" s="2" t="n">
        <v>1</v>
      </c>
      <c r="AZ3" s="2" t="n">
        <v>4</v>
      </c>
      <c r="BA3" s="2"/>
      <c r="BB3" s="2" t="s">
        <v>212</v>
      </c>
      <c r="BC3" s="2" t="n">
        <v>0</v>
      </c>
      <c r="BD3" s="2" t="n">
        <v>1</v>
      </c>
      <c r="BE3" s="2" t="n">
        <v>0</v>
      </c>
      <c r="BF3" s="2" t="n">
        <v>0</v>
      </c>
      <c r="BG3" s="2" t="n">
        <v>1</v>
      </c>
      <c r="BH3" s="2" t="n">
        <v>0</v>
      </c>
      <c r="BI3" s="2"/>
      <c r="BJ3" s="2" t="n">
        <v>2</v>
      </c>
      <c r="BK3" s="2" t="n">
        <v>0</v>
      </c>
      <c r="BL3" s="2" t="n">
        <v>0</v>
      </c>
      <c r="BM3" s="2" t="n">
        <v>1</v>
      </c>
      <c r="BN3" s="2" t="n">
        <v>0</v>
      </c>
      <c r="BO3" s="2" t="n">
        <v>0</v>
      </c>
      <c r="BP3" s="2" t="n">
        <v>0</v>
      </c>
      <c r="BQ3" s="2" t="n">
        <v>0</v>
      </c>
      <c r="BR3" s="2" t="s">
        <v>207</v>
      </c>
      <c r="BS3" s="2"/>
      <c r="BT3" s="2"/>
      <c r="BU3" s="2"/>
      <c r="BV3" s="2" t="n">
        <v>1</v>
      </c>
      <c r="BW3" s="2" t="n">
        <v>2019</v>
      </c>
      <c r="BX3" s="2" t="n">
        <v>1</v>
      </c>
      <c r="BY3" s="2" t="n">
        <v>0.03</v>
      </c>
      <c r="BZ3" s="2" t="n">
        <v>0</v>
      </c>
      <c r="CA3" s="2" t="n">
        <v>1</v>
      </c>
      <c r="CB3" s="2" t="n">
        <v>1</v>
      </c>
      <c r="CC3" s="2" t="n">
        <v>0</v>
      </c>
      <c r="CD3" s="2" t="n">
        <v>0</v>
      </c>
      <c r="CE3" s="2" t="n">
        <v>1</v>
      </c>
      <c r="CF3" s="2"/>
      <c r="CG3" s="2" t="n">
        <v>1</v>
      </c>
      <c r="CH3" s="2"/>
      <c r="CI3" s="2"/>
      <c r="CJ3" s="2" t="n">
        <v>1</v>
      </c>
      <c r="CK3" s="2" t="n">
        <v>2019</v>
      </c>
      <c r="CL3" s="2" t="n">
        <v>1</v>
      </c>
      <c r="CM3" s="2" t="n">
        <v>0.04</v>
      </c>
      <c r="CN3" s="2" t="n">
        <v>0</v>
      </c>
      <c r="CO3" s="2" t="n">
        <v>1</v>
      </c>
      <c r="CP3" s="2" t="n">
        <v>1</v>
      </c>
      <c r="CQ3" s="2" t="n">
        <v>0</v>
      </c>
      <c r="CR3" s="2" t="n">
        <v>0</v>
      </c>
      <c r="CS3" s="2" t="n">
        <v>1</v>
      </c>
      <c r="CT3" s="2"/>
      <c r="CU3" s="2" t="n">
        <v>1</v>
      </c>
      <c r="CV3" s="2"/>
      <c r="CW3" s="2"/>
      <c r="CX3" s="2" t="n">
        <v>2</v>
      </c>
      <c r="CY3" s="2"/>
      <c r="CZ3" s="2"/>
      <c r="DA3" s="2"/>
      <c r="DB3" s="2"/>
      <c r="DC3" s="2"/>
      <c r="DD3" s="2"/>
      <c r="DE3" s="2"/>
      <c r="DF3" s="2"/>
      <c r="DG3" s="2"/>
      <c r="DH3" s="2"/>
      <c r="DI3" s="2"/>
      <c r="DJ3" s="2"/>
      <c r="DK3" s="2"/>
      <c r="DL3" s="2"/>
      <c r="DM3" s="2"/>
      <c r="DN3" s="2"/>
      <c r="DO3" s="2" t="n">
        <v>1</v>
      </c>
      <c r="DP3" s="2" t="n">
        <v>114</v>
      </c>
      <c r="DQ3" s="2"/>
      <c r="DR3" s="2" t="n">
        <v>124</v>
      </c>
      <c r="DS3" s="2"/>
      <c r="DT3" s="2" t="n">
        <v>114</v>
      </c>
      <c r="DU3" s="2"/>
      <c r="DV3" s="2" t="n">
        <v>10</v>
      </c>
      <c r="DW3" s="2"/>
      <c r="DX3" s="2"/>
      <c r="DY3" s="2"/>
      <c r="DZ3" s="2"/>
      <c r="EA3" s="2"/>
      <c r="EB3" s="2" t="n">
        <v>1</v>
      </c>
      <c r="EC3" s="2"/>
      <c r="ED3" s="2" t="n">
        <v>0.25</v>
      </c>
      <c r="EE3" s="2"/>
      <c r="EF3" s="2"/>
      <c r="EG3" s="2"/>
      <c r="EH3" s="2"/>
      <c r="EI3" s="2"/>
      <c r="EJ3" s="2"/>
      <c r="EK3" s="2"/>
      <c r="EL3" s="2"/>
      <c r="EM3" s="2"/>
      <c r="EN3" s="2"/>
      <c r="EO3" s="2"/>
      <c r="EP3" s="2"/>
      <c r="EQ3" s="2"/>
      <c r="ER3" s="2"/>
      <c r="ES3" s="2"/>
      <c r="ET3" s="2"/>
      <c r="EU3" s="2"/>
      <c r="EV3" s="2" t="n">
        <v>1</v>
      </c>
      <c r="EW3" s="2" t="n">
        <v>1</v>
      </c>
      <c r="EX3" s="2" t="n">
        <v>2</v>
      </c>
      <c r="EY3" s="2"/>
      <c r="EZ3" s="2"/>
      <c r="FA3" s="2"/>
      <c r="FB3" s="2"/>
      <c r="FC3" s="2"/>
      <c r="FD3" s="2" t="n">
        <v>1</v>
      </c>
      <c r="FE3" s="2" t="n">
        <v>114</v>
      </c>
      <c r="FF3" s="2"/>
      <c r="FG3" s="2" t="n">
        <v>124</v>
      </c>
      <c r="FH3" s="2"/>
      <c r="FI3" s="2" t="n">
        <v>114</v>
      </c>
      <c r="FJ3" s="2"/>
      <c r="FK3" s="2" t="n">
        <v>10</v>
      </c>
      <c r="FL3" s="2"/>
      <c r="FM3" s="2"/>
      <c r="FN3" s="2"/>
      <c r="FO3" s="2"/>
      <c r="FP3" s="2"/>
      <c r="FQ3" s="2" t="n">
        <v>1</v>
      </c>
      <c r="FR3" s="2"/>
      <c r="FS3" s="2"/>
      <c r="FT3" s="2"/>
      <c r="FU3" s="2"/>
      <c r="FV3" s="2"/>
      <c r="FW3" s="2"/>
      <c r="FX3" s="2"/>
      <c r="FY3" s="2"/>
      <c r="FZ3" s="2"/>
      <c r="GA3" s="2" t="n">
        <v>2009</v>
      </c>
      <c r="GB3" s="2"/>
      <c r="GC3" s="2"/>
      <c r="GD3" s="2"/>
      <c r="GE3" s="2"/>
      <c r="GF3" s="2"/>
      <c r="GG3" s="2"/>
      <c r="GH3" s="2"/>
      <c r="GI3" s="2"/>
      <c r="GJ3" s="2"/>
      <c r="GK3" s="2" t="n">
        <v>2</v>
      </c>
      <c r="GL3" s="2" t="n">
        <v>2</v>
      </c>
      <c r="GM3" s="2"/>
      <c r="GN3" s="2"/>
      <c r="GO3" s="2" t="n">
        <v>2</v>
      </c>
      <c r="GP3" s="2"/>
      <c r="GQ3" s="2" t="n">
        <v>2</v>
      </c>
      <c r="GR3" s="2"/>
      <c r="GS3" s="2"/>
      <c r="GT3" s="2" t="n">
        <v>2</v>
      </c>
      <c r="GU3" s="2"/>
      <c r="GV3" s="2"/>
      <c r="GW3" s="2"/>
      <c r="GX3" s="2"/>
      <c r="GY3" s="2"/>
      <c r="GZ3" s="2"/>
      <c r="HA3" s="2"/>
      <c r="HB3" s="2"/>
      <c r="HC3" s="2"/>
      <c r="HD3" s="2"/>
      <c r="HE3" s="2"/>
    </row>
    <row r="4" customFormat="false" ht="15" hidden="false" customHeight="false" outlineLevel="0" collapsed="false">
      <c r="A4" s="2" t="s">
        <v>213</v>
      </c>
      <c r="B4" s="2" t="n">
        <v>675</v>
      </c>
      <c r="C4" s="2" t="n">
        <v>2</v>
      </c>
      <c r="D4" s="2" t="n">
        <v>12</v>
      </c>
      <c r="E4" s="2" t="n">
        <v>1</v>
      </c>
      <c r="F4" s="2"/>
      <c r="G4" s="2" t="n">
        <v>1</v>
      </c>
      <c r="H4" s="2" t="n">
        <v>1</v>
      </c>
      <c r="I4" s="2" t="n">
        <v>1</v>
      </c>
      <c r="J4" s="2" t="n">
        <v>0</v>
      </c>
      <c r="K4" s="2" t="n">
        <v>0</v>
      </c>
      <c r="L4" s="2" t="n">
        <v>1</v>
      </c>
      <c r="M4" s="2" t="n">
        <v>2</v>
      </c>
      <c r="N4" s="2" t="n">
        <v>0</v>
      </c>
      <c r="O4" s="2" t="n">
        <v>1</v>
      </c>
      <c r="P4" s="2" t="n">
        <v>0</v>
      </c>
      <c r="Q4" s="2" t="n">
        <v>1</v>
      </c>
      <c r="R4" s="2" t="n">
        <v>0</v>
      </c>
      <c r="S4" s="2" t="n">
        <v>0</v>
      </c>
      <c r="T4" s="2"/>
      <c r="U4" s="2"/>
      <c r="V4" s="2" t="n">
        <v>0.01</v>
      </c>
      <c r="W4" s="2"/>
      <c r="X4" s="2" t="n">
        <v>5</v>
      </c>
      <c r="Y4" s="2"/>
      <c r="Z4" s="2" t="n">
        <v>30</v>
      </c>
      <c r="AA4" s="2"/>
      <c r="AB4" s="2"/>
      <c r="AC4" s="2" t="n">
        <v>2</v>
      </c>
      <c r="AD4" s="2"/>
      <c r="AE4" s="2" t="n">
        <v>3</v>
      </c>
      <c r="AF4" s="2" t="n">
        <v>2</v>
      </c>
      <c r="AG4" s="2" t="n">
        <v>30</v>
      </c>
      <c r="AH4" s="2"/>
      <c r="AI4" s="2"/>
      <c r="AJ4" s="2"/>
      <c r="AK4" s="2"/>
      <c r="AL4" s="2"/>
      <c r="AM4" s="2" t="n">
        <v>1</v>
      </c>
      <c r="AN4" s="2" t="n">
        <v>1</v>
      </c>
      <c r="AO4" s="2"/>
      <c r="AP4" s="2" t="n">
        <v>2</v>
      </c>
      <c r="AQ4" s="2" t="n">
        <v>2</v>
      </c>
      <c r="AR4" s="2"/>
      <c r="AS4" s="2"/>
      <c r="AT4" s="2"/>
      <c r="AU4" s="2"/>
      <c r="AV4" s="2"/>
      <c r="AW4" s="2"/>
      <c r="AX4" s="2"/>
      <c r="AY4" s="2" t="n">
        <v>2</v>
      </c>
      <c r="AZ4" s="2" t="n">
        <v>2</v>
      </c>
      <c r="BA4" s="2"/>
      <c r="BB4" s="2"/>
      <c r="BC4" s="2" t="n">
        <v>1</v>
      </c>
      <c r="BD4" s="2" t="n">
        <v>0</v>
      </c>
      <c r="BE4" s="2" t="n">
        <v>0</v>
      </c>
      <c r="BF4" s="2" t="n">
        <v>0</v>
      </c>
      <c r="BG4" s="2" t="n">
        <v>1</v>
      </c>
      <c r="BH4" s="2" t="n">
        <v>1</v>
      </c>
      <c r="BI4" s="2"/>
      <c r="BJ4" s="2" t="n">
        <v>2</v>
      </c>
      <c r="BK4" s="2"/>
      <c r="BL4" s="2"/>
      <c r="BM4" s="2"/>
      <c r="BN4" s="2"/>
      <c r="BO4" s="2"/>
      <c r="BP4" s="2"/>
      <c r="BQ4" s="2"/>
      <c r="BR4" s="2"/>
      <c r="BS4" s="2" t="n">
        <v>2</v>
      </c>
      <c r="BT4" s="2" t="n">
        <v>2</v>
      </c>
      <c r="BU4" s="2" t="n">
        <v>2</v>
      </c>
      <c r="BV4" s="2" t="n">
        <v>1</v>
      </c>
      <c r="BW4" s="2" t="n">
        <v>2024</v>
      </c>
      <c r="BX4" s="2" t="n">
        <v>1</v>
      </c>
      <c r="BY4" s="2" t="n">
        <v>0.02</v>
      </c>
      <c r="BZ4" s="2" t="n">
        <v>1</v>
      </c>
      <c r="CA4" s="2" t="n">
        <v>0</v>
      </c>
      <c r="CB4" s="2" t="n">
        <v>0</v>
      </c>
      <c r="CC4" s="2" t="n">
        <v>0</v>
      </c>
      <c r="CD4" s="2" t="n">
        <v>0</v>
      </c>
      <c r="CE4" s="2" t="n">
        <v>0</v>
      </c>
      <c r="CF4" s="2"/>
      <c r="CG4" s="2" t="n">
        <v>1</v>
      </c>
      <c r="CH4" s="2"/>
      <c r="CI4" s="2" t="n">
        <v>50.25</v>
      </c>
      <c r="CJ4" s="2" t="n">
        <v>1</v>
      </c>
      <c r="CK4" s="2" t="n">
        <v>2025</v>
      </c>
      <c r="CL4" s="2" t="n">
        <v>1</v>
      </c>
      <c r="CM4" s="2" t="n">
        <v>30</v>
      </c>
      <c r="CN4" s="2" t="n">
        <v>1</v>
      </c>
      <c r="CO4" s="2" t="n">
        <v>0</v>
      </c>
      <c r="CP4" s="2" t="n">
        <v>0</v>
      </c>
      <c r="CQ4" s="2" t="n">
        <v>0</v>
      </c>
      <c r="CR4" s="2" t="n">
        <v>0</v>
      </c>
      <c r="CS4" s="2" t="n">
        <v>0</v>
      </c>
      <c r="CT4" s="2"/>
      <c r="CU4" s="2" t="n">
        <v>1</v>
      </c>
      <c r="CV4" s="2"/>
      <c r="CW4" s="2" t="n">
        <v>77</v>
      </c>
      <c r="CX4" s="2" t="n">
        <v>2</v>
      </c>
      <c r="CY4" s="2"/>
      <c r="CZ4" s="2"/>
      <c r="DA4" s="2"/>
      <c r="DB4" s="2"/>
      <c r="DC4" s="2"/>
      <c r="DD4" s="2"/>
      <c r="DE4" s="2"/>
      <c r="DF4" s="2"/>
      <c r="DG4" s="2"/>
      <c r="DH4" s="2"/>
      <c r="DI4" s="2"/>
      <c r="DJ4" s="2"/>
      <c r="DK4" s="2"/>
      <c r="DL4" s="2"/>
      <c r="DM4" s="2"/>
      <c r="DN4" s="2"/>
      <c r="DO4" s="2" t="n">
        <v>1</v>
      </c>
      <c r="DP4" s="2" t="n">
        <v>668</v>
      </c>
      <c r="DQ4" s="2" t="n">
        <v>30</v>
      </c>
      <c r="DR4" s="2" t="n">
        <v>668</v>
      </c>
      <c r="DS4" s="2" t="n">
        <v>30</v>
      </c>
      <c r="DT4" s="2" t="n">
        <v>312</v>
      </c>
      <c r="DU4" s="2" t="n">
        <v>5</v>
      </c>
      <c r="DV4" s="2" t="n">
        <v>32</v>
      </c>
      <c r="DW4" s="2" t="n">
        <v>1</v>
      </c>
      <c r="DX4" s="2"/>
      <c r="DY4" s="2"/>
      <c r="DZ4" s="2" t="n">
        <v>12123</v>
      </c>
      <c r="EA4" s="2"/>
      <c r="EB4" s="2"/>
      <c r="EC4" s="2"/>
      <c r="ED4" s="2"/>
      <c r="EE4" s="2"/>
      <c r="EF4" s="2"/>
      <c r="EG4" s="2"/>
      <c r="EH4" s="2"/>
      <c r="EI4" s="2"/>
      <c r="EJ4" s="2"/>
      <c r="EK4" s="2"/>
      <c r="EL4" s="2"/>
      <c r="EM4" s="2"/>
      <c r="EN4" s="2"/>
      <c r="EO4" s="2"/>
      <c r="EP4" s="2"/>
      <c r="EQ4" s="2"/>
      <c r="ER4" s="2"/>
      <c r="ES4" s="2"/>
      <c r="ET4" s="2"/>
      <c r="EU4" s="2"/>
      <c r="EV4" s="2" t="n">
        <v>2</v>
      </c>
      <c r="EW4" s="2" t="n">
        <v>2</v>
      </c>
      <c r="EX4" s="2"/>
      <c r="EY4" s="2"/>
      <c r="EZ4" s="2"/>
      <c r="FA4" s="2"/>
      <c r="FB4" s="2" t="n">
        <v>100</v>
      </c>
      <c r="FC4" s="2" t="s">
        <v>214</v>
      </c>
      <c r="FD4" s="2" t="n">
        <v>1</v>
      </c>
      <c r="FE4" s="2" t="n">
        <v>668</v>
      </c>
      <c r="FF4" s="2" t="n">
        <v>6</v>
      </c>
      <c r="FG4" s="2" t="n">
        <v>668</v>
      </c>
      <c r="FH4" s="2" t="n">
        <v>6</v>
      </c>
      <c r="FI4" s="2" t="n">
        <v>312</v>
      </c>
      <c r="FJ4" s="2"/>
      <c r="FK4" s="2" t="n">
        <v>32</v>
      </c>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t="n">
        <v>2</v>
      </c>
      <c r="GP4" s="2"/>
      <c r="GQ4" s="2" t="n">
        <v>2</v>
      </c>
      <c r="GR4" s="2"/>
      <c r="GS4" s="2" t="s">
        <v>215</v>
      </c>
      <c r="GT4" s="2" t="n">
        <v>2</v>
      </c>
      <c r="GU4" s="2"/>
      <c r="GV4" s="2"/>
      <c r="GW4" s="2"/>
      <c r="GX4" s="2"/>
      <c r="GY4" s="2"/>
      <c r="GZ4" s="2"/>
      <c r="HA4" s="2"/>
      <c r="HB4" s="2"/>
      <c r="HC4" s="2"/>
      <c r="HD4" s="2"/>
      <c r="HE4" s="2"/>
    </row>
    <row r="5" customFormat="false" ht="15" hidden="false" customHeight="false" outlineLevel="0" collapsed="false">
      <c r="A5" s="2" t="s">
        <v>216</v>
      </c>
      <c r="B5" s="2" t="n">
        <v>299</v>
      </c>
      <c r="C5" s="2" t="n">
        <v>1</v>
      </c>
      <c r="D5" s="2" t="n">
        <v>1</v>
      </c>
      <c r="E5" s="2" t="n">
        <v>1</v>
      </c>
      <c r="F5" s="2"/>
      <c r="G5" s="2" t="n">
        <v>1</v>
      </c>
      <c r="H5" s="2" t="n">
        <v>1</v>
      </c>
      <c r="I5" s="2" t="n">
        <v>1</v>
      </c>
      <c r="J5" s="2" t="n">
        <v>0</v>
      </c>
      <c r="K5" s="2" t="n">
        <v>0</v>
      </c>
      <c r="L5" s="2" t="n">
        <v>0</v>
      </c>
      <c r="M5" s="2" t="n">
        <v>1</v>
      </c>
      <c r="N5" s="2" t="n">
        <v>0</v>
      </c>
      <c r="O5" s="2" t="n">
        <v>1</v>
      </c>
      <c r="P5" s="2" t="n">
        <v>1</v>
      </c>
      <c r="Q5" s="2" t="n">
        <v>0</v>
      </c>
      <c r="R5" s="2" t="n">
        <v>0</v>
      </c>
      <c r="S5" s="2" t="n">
        <v>0</v>
      </c>
      <c r="T5" s="2"/>
      <c r="U5" s="2" t="n">
        <v>10</v>
      </c>
      <c r="V5" s="2"/>
      <c r="W5" s="2" t="n">
        <v>20</v>
      </c>
      <c r="X5" s="2"/>
      <c r="Y5" s="2"/>
      <c r="Z5" s="2" t="n">
        <v>90</v>
      </c>
      <c r="AA5" s="2"/>
      <c r="AB5" s="2"/>
      <c r="AC5" s="2" t="n">
        <v>2</v>
      </c>
      <c r="AD5" s="2"/>
      <c r="AE5" s="2" t="n">
        <v>3</v>
      </c>
      <c r="AF5" s="2" t="n">
        <v>2</v>
      </c>
      <c r="AG5" s="2"/>
      <c r="AH5" s="2" t="s">
        <v>217</v>
      </c>
      <c r="AI5" s="2"/>
      <c r="AJ5" s="2" t="n">
        <v>15</v>
      </c>
      <c r="AK5" s="2"/>
      <c r="AL5" s="2"/>
      <c r="AM5" s="2"/>
      <c r="AN5" s="2" t="n">
        <v>1</v>
      </c>
      <c r="AO5" s="2" t="n">
        <v>1</v>
      </c>
      <c r="AP5" s="2" t="n">
        <v>2</v>
      </c>
      <c r="AQ5" s="2"/>
      <c r="AR5" s="2"/>
      <c r="AS5" s="2" t="n">
        <v>2023</v>
      </c>
      <c r="AT5" s="2" t="s">
        <v>218</v>
      </c>
      <c r="AU5" s="2" t="s">
        <v>218</v>
      </c>
      <c r="AV5" s="2" t="n">
        <v>2024</v>
      </c>
      <c r="AW5" s="2" t="s">
        <v>218</v>
      </c>
      <c r="AX5" s="2" t="s">
        <v>218</v>
      </c>
      <c r="AY5" s="2" t="n">
        <v>2</v>
      </c>
      <c r="AZ5" s="2" t="n">
        <v>4</v>
      </c>
      <c r="BA5" s="2"/>
      <c r="BB5" s="2" t="s">
        <v>219</v>
      </c>
      <c r="BC5" s="2" t="n">
        <v>0</v>
      </c>
      <c r="BD5" s="2" t="n">
        <v>1</v>
      </c>
      <c r="BE5" s="2" t="n">
        <v>0</v>
      </c>
      <c r="BF5" s="2" t="n">
        <v>0</v>
      </c>
      <c r="BG5" s="2" t="n">
        <v>1</v>
      </c>
      <c r="BH5" s="2" t="n">
        <v>1</v>
      </c>
      <c r="BI5" s="2"/>
      <c r="BJ5" s="2" t="n">
        <v>2</v>
      </c>
      <c r="BK5" s="2"/>
      <c r="BL5" s="2"/>
      <c r="BM5" s="2"/>
      <c r="BN5" s="2"/>
      <c r="BO5" s="2"/>
      <c r="BP5" s="2"/>
      <c r="BQ5" s="2"/>
      <c r="BR5" s="2"/>
      <c r="BS5" s="2" t="n">
        <v>2</v>
      </c>
      <c r="BT5" s="2"/>
      <c r="BU5" s="2"/>
      <c r="BV5" s="2" t="n">
        <v>2</v>
      </c>
      <c r="BW5" s="2"/>
      <c r="BX5" s="2"/>
      <c r="BY5" s="2"/>
      <c r="BZ5" s="2"/>
      <c r="CA5" s="2"/>
      <c r="CB5" s="2"/>
      <c r="CC5" s="2"/>
      <c r="CD5" s="2"/>
      <c r="CE5" s="2"/>
      <c r="CF5" s="2"/>
      <c r="CG5" s="2"/>
      <c r="CH5" s="2"/>
      <c r="CI5" s="2"/>
      <c r="CJ5" s="2" t="n">
        <v>2</v>
      </c>
      <c r="CK5" s="2"/>
      <c r="CL5" s="2"/>
      <c r="CM5" s="2"/>
      <c r="CN5" s="2"/>
      <c r="CO5" s="2"/>
      <c r="CP5" s="2"/>
      <c r="CQ5" s="2"/>
      <c r="CR5" s="2"/>
      <c r="CS5" s="2"/>
      <c r="CT5" s="2"/>
      <c r="CU5" s="2"/>
      <c r="CV5" s="2"/>
      <c r="CW5" s="2"/>
      <c r="CX5" s="2" t="n">
        <v>2</v>
      </c>
      <c r="CY5" s="2"/>
      <c r="CZ5" s="2"/>
      <c r="DA5" s="2"/>
      <c r="DB5" s="2"/>
      <c r="DC5" s="2"/>
      <c r="DD5" s="2"/>
      <c r="DE5" s="2"/>
      <c r="DF5" s="2"/>
      <c r="DG5" s="2"/>
      <c r="DH5" s="2"/>
      <c r="DI5" s="2"/>
      <c r="DJ5" s="2"/>
      <c r="DK5" s="2"/>
      <c r="DL5" s="2"/>
      <c r="DM5" s="2"/>
      <c r="DN5" s="2"/>
      <c r="DO5" s="2" t="n">
        <v>1</v>
      </c>
      <c r="DP5" s="2" t="n">
        <v>264</v>
      </c>
      <c r="DQ5" s="2" t="n">
        <v>636</v>
      </c>
      <c r="DR5" s="2"/>
      <c r="DS5" s="2"/>
      <c r="DT5" s="2" t="n">
        <v>264</v>
      </c>
      <c r="DU5" s="2" t="n">
        <v>636</v>
      </c>
      <c r="DV5" s="2"/>
      <c r="DW5" s="2"/>
      <c r="DX5" s="2"/>
      <c r="DY5" s="2"/>
      <c r="DZ5" s="2" t="n">
        <v>36850000</v>
      </c>
      <c r="EA5" s="2"/>
      <c r="EB5" s="2"/>
      <c r="EC5" s="2"/>
      <c r="ED5" s="2"/>
      <c r="EE5" s="2"/>
      <c r="EF5" s="2" t="n">
        <v>2024</v>
      </c>
      <c r="EG5" s="2"/>
      <c r="EH5" s="2"/>
      <c r="EI5" s="2"/>
      <c r="EJ5" s="2"/>
      <c r="EK5" s="2"/>
      <c r="EL5" s="2"/>
      <c r="EM5" s="2"/>
      <c r="EN5" s="2"/>
      <c r="EO5" s="2"/>
      <c r="EP5" s="2"/>
      <c r="EQ5" s="2"/>
      <c r="ER5" s="2"/>
      <c r="ES5" s="2"/>
      <c r="ET5" s="2"/>
      <c r="EU5" s="2"/>
      <c r="EV5" s="2" t="n">
        <v>1</v>
      </c>
      <c r="EW5" s="2" t="n">
        <v>1</v>
      </c>
      <c r="EX5" s="2" t="n">
        <v>1</v>
      </c>
      <c r="EY5" s="2"/>
      <c r="EZ5" s="2"/>
      <c r="FA5" s="2"/>
      <c r="FB5" s="2"/>
      <c r="FC5" s="2"/>
      <c r="FD5" s="2" t="n">
        <v>2</v>
      </c>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t="n">
        <v>2</v>
      </c>
      <c r="GU5" s="2"/>
      <c r="GV5" s="2"/>
      <c r="GW5" s="2"/>
      <c r="GX5" s="2"/>
      <c r="GY5" s="2"/>
      <c r="GZ5" s="2"/>
      <c r="HA5" s="2"/>
      <c r="HB5" s="2"/>
      <c r="HC5" s="2"/>
      <c r="HD5" s="2"/>
      <c r="HE5" s="2"/>
    </row>
    <row r="6" customFormat="false" ht="15" hidden="false" customHeight="false" outlineLevel="0" collapsed="false">
      <c r="A6" s="2" t="s">
        <v>220</v>
      </c>
      <c r="B6" s="2" t="n">
        <v>573</v>
      </c>
      <c r="C6" s="2" t="n">
        <v>2</v>
      </c>
      <c r="D6" s="2" t="n">
        <v>3</v>
      </c>
      <c r="E6" s="2" t="n">
        <v>1</v>
      </c>
      <c r="F6" s="2"/>
      <c r="G6" s="2" t="n">
        <v>1</v>
      </c>
      <c r="H6" s="2" t="n">
        <v>1</v>
      </c>
      <c r="I6" s="2" t="n">
        <v>0</v>
      </c>
      <c r="J6" s="2" t="n">
        <v>0</v>
      </c>
      <c r="K6" s="2" t="n">
        <v>1</v>
      </c>
      <c r="L6" s="2" t="n">
        <v>0</v>
      </c>
      <c r="M6" s="2" t="n">
        <v>2</v>
      </c>
      <c r="N6" s="2" t="n">
        <v>0</v>
      </c>
      <c r="O6" s="2" t="n">
        <v>1</v>
      </c>
      <c r="P6" s="2" t="n">
        <v>1</v>
      </c>
      <c r="Q6" s="2" t="n">
        <v>0</v>
      </c>
      <c r="R6" s="2" t="n">
        <v>1</v>
      </c>
      <c r="S6" s="2" t="n">
        <v>0</v>
      </c>
      <c r="T6" s="2"/>
      <c r="U6" s="2" t="n">
        <v>5</v>
      </c>
      <c r="V6" s="2"/>
      <c r="W6" s="2"/>
      <c r="X6" s="2"/>
      <c r="Y6" s="2"/>
      <c r="Z6" s="2" t="n">
        <v>72</v>
      </c>
      <c r="AA6" s="2"/>
      <c r="AB6" s="2"/>
      <c r="AC6" s="2" t="n">
        <v>2</v>
      </c>
      <c r="AD6" s="2"/>
      <c r="AE6" s="2" t="n">
        <v>3</v>
      </c>
      <c r="AF6" s="2" t="n">
        <v>2</v>
      </c>
      <c r="AG6" s="2" t="n">
        <v>3</v>
      </c>
      <c r="AH6" s="2"/>
      <c r="AI6" s="2"/>
      <c r="AJ6" s="2"/>
      <c r="AK6" s="2"/>
      <c r="AL6" s="2"/>
      <c r="AM6" s="2"/>
      <c r="AN6" s="2" t="n">
        <v>1</v>
      </c>
      <c r="AO6" s="2" t="n">
        <v>1</v>
      </c>
      <c r="AP6" s="2" t="n">
        <v>2</v>
      </c>
      <c r="AQ6" s="2"/>
      <c r="AR6" s="2"/>
      <c r="AS6" s="2" t="n">
        <v>2012</v>
      </c>
      <c r="AT6" s="2" t="s">
        <v>221</v>
      </c>
      <c r="AU6" s="2" t="s">
        <v>221</v>
      </c>
      <c r="AV6" s="2"/>
      <c r="AW6" s="2" t="s">
        <v>221</v>
      </c>
      <c r="AX6" s="2" t="s">
        <v>221</v>
      </c>
      <c r="AY6" s="2" t="n">
        <v>2</v>
      </c>
      <c r="AZ6" s="2" t="n">
        <v>2</v>
      </c>
      <c r="BA6" s="2"/>
      <c r="BB6" s="2"/>
      <c r="BC6" s="2" t="n">
        <v>0</v>
      </c>
      <c r="BD6" s="2" t="n">
        <v>0</v>
      </c>
      <c r="BE6" s="2" t="n">
        <v>0</v>
      </c>
      <c r="BF6" s="2" t="n">
        <v>1</v>
      </c>
      <c r="BG6" s="2" t="n">
        <v>1</v>
      </c>
      <c r="BH6" s="2" t="n">
        <v>0</v>
      </c>
      <c r="BI6" s="2" t="s">
        <v>222</v>
      </c>
      <c r="BJ6" s="2" t="n">
        <v>2</v>
      </c>
      <c r="BK6" s="2" t="n">
        <v>0</v>
      </c>
      <c r="BL6" s="2" t="n">
        <v>0</v>
      </c>
      <c r="BM6" s="2" t="n">
        <v>1</v>
      </c>
      <c r="BN6" s="2" t="n">
        <v>0</v>
      </c>
      <c r="BO6" s="2" t="n">
        <v>0</v>
      </c>
      <c r="BP6" s="2" t="n">
        <v>0</v>
      </c>
      <c r="BQ6" s="2" t="n">
        <v>0</v>
      </c>
      <c r="BR6" s="2" t="s">
        <v>223</v>
      </c>
      <c r="BS6" s="2" t="n">
        <v>2</v>
      </c>
      <c r="BT6" s="2"/>
      <c r="BU6" s="2"/>
      <c r="BV6" s="2" t="n">
        <v>1</v>
      </c>
      <c r="BW6" s="2" t="n">
        <v>2025</v>
      </c>
      <c r="BX6" s="2" t="n">
        <v>1</v>
      </c>
      <c r="BY6" s="2" t="n">
        <v>0.03</v>
      </c>
      <c r="BZ6" s="2" t="n">
        <v>1</v>
      </c>
      <c r="CA6" s="2" t="n">
        <v>1</v>
      </c>
      <c r="CB6" s="2" t="n">
        <v>1</v>
      </c>
      <c r="CC6" s="2" t="n">
        <v>0</v>
      </c>
      <c r="CD6" s="2" t="n">
        <v>0</v>
      </c>
      <c r="CE6" s="2" t="n">
        <v>1</v>
      </c>
      <c r="CF6" s="2"/>
      <c r="CG6" s="2" t="n">
        <v>5</v>
      </c>
      <c r="CH6" s="2" t="s">
        <v>224</v>
      </c>
      <c r="CI6" s="2" t="n">
        <v>83.43</v>
      </c>
      <c r="CJ6" s="2" t="n">
        <v>2</v>
      </c>
      <c r="CK6" s="2"/>
      <c r="CL6" s="2"/>
      <c r="CM6" s="2"/>
      <c r="CN6" s="2"/>
      <c r="CO6" s="2"/>
      <c r="CP6" s="2"/>
      <c r="CQ6" s="2"/>
      <c r="CR6" s="2"/>
      <c r="CS6" s="2"/>
      <c r="CT6" s="2"/>
      <c r="CU6" s="2"/>
      <c r="CV6" s="2"/>
      <c r="CW6" s="2"/>
      <c r="CX6" s="2" t="n">
        <v>2</v>
      </c>
      <c r="CY6" s="2"/>
      <c r="CZ6" s="2"/>
      <c r="DA6" s="2"/>
      <c r="DB6" s="2"/>
      <c r="DC6" s="2"/>
      <c r="DD6" s="2"/>
      <c r="DE6" s="2"/>
      <c r="DF6" s="2"/>
      <c r="DG6" s="2"/>
      <c r="DH6" s="2"/>
      <c r="DI6" s="2"/>
      <c r="DJ6" s="2"/>
      <c r="DK6" s="2"/>
      <c r="DL6" s="2"/>
      <c r="DM6" s="2"/>
      <c r="DN6" s="2"/>
      <c r="DO6" s="2" t="n">
        <v>1</v>
      </c>
      <c r="DP6" s="2" t="n">
        <v>500</v>
      </c>
      <c r="DQ6" s="2"/>
      <c r="DR6" s="2"/>
      <c r="DS6" s="2"/>
      <c r="DT6" s="2" t="n">
        <v>195</v>
      </c>
      <c r="DU6" s="2" t="n">
        <v>18</v>
      </c>
      <c r="DV6" s="2" t="n">
        <v>4</v>
      </c>
      <c r="DW6" s="2"/>
      <c r="DX6" s="2" t="n">
        <v>1</v>
      </c>
      <c r="DY6" s="2"/>
      <c r="DZ6" s="2" t="n">
        <v>48000</v>
      </c>
      <c r="EA6" s="2" t="n">
        <v>7</v>
      </c>
      <c r="EB6" s="2" t="n">
        <v>3</v>
      </c>
      <c r="EC6" s="2" t="n">
        <v>2</v>
      </c>
      <c r="ED6" s="2" t="n">
        <v>0</v>
      </c>
      <c r="EE6" s="2" t="n">
        <v>1950</v>
      </c>
      <c r="EF6" s="2" t="n">
        <v>2012</v>
      </c>
      <c r="EG6" s="2"/>
      <c r="EH6" s="2" t="n">
        <v>0.3</v>
      </c>
      <c r="EI6" s="2" t="n">
        <v>0.15</v>
      </c>
      <c r="EJ6" s="2"/>
      <c r="EK6" s="2" t="n">
        <v>210</v>
      </c>
      <c r="EL6" s="2"/>
      <c r="EM6" s="2" t="n">
        <v>500000</v>
      </c>
      <c r="EN6" s="2"/>
      <c r="EO6" s="2"/>
      <c r="EP6" s="2"/>
      <c r="EQ6" s="2"/>
      <c r="ER6" s="2"/>
      <c r="ES6" s="2"/>
      <c r="ET6" s="2"/>
      <c r="EU6" s="2" t="s">
        <v>225</v>
      </c>
      <c r="EV6" s="2" t="n">
        <v>1</v>
      </c>
      <c r="EW6" s="2" t="n">
        <v>1</v>
      </c>
      <c r="EX6" s="2" t="n">
        <v>1</v>
      </c>
      <c r="EY6" s="2"/>
      <c r="EZ6" s="2" t="n">
        <v>0.98</v>
      </c>
      <c r="FA6" s="2" t="n">
        <v>0.02</v>
      </c>
      <c r="FB6" s="2"/>
      <c r="FC6" s="2"/>
      <c r="FD6" s="2" t="n">
        <v>2</v>
      </c>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t="n">
        <v>2</v>
      </c>
      <c r="GU6" s="2"/>
      <c r="GV6" s="2"/>
      <c r="GW6" s="2"/>
      <c r="GX6" s="2"/>
      <c r="GY6" s="2"/>
      <c r="GZ6" s="2"/>
      <c r="HA6" s="2"/>
      <c r="HB6" s="2"/>
      <c r="HC6" s="2"/>
      <c r="HD6" s="2"/>
      <c r="HE6" s="2"/>
    </row>
    <row r="7" customFormat="false" ht="15" hidden="false" customHeight="false" outlineLevel="0" collapsed="false">
      <c r="A7" s="2" t="s">
        <v>226</v>
      </c>
      <c r="B7" s="2" t="n">
        <v>859</v>
      </c>
      <c r="C7" s="2" t="n">
        <v>2</v>
      </c>
      <c r="D7" s="2" t="n">
        <v>7</v>
      </c>
      <c r="E7" s="2" t="n">
        <v>1</v>
      </c>
      <c r="F7" s="2"/>
      <c r="G7" s="2" t="n">
        <v>1</v>
      </c>
      <c r="H7" s="2" t="n">
        <v>1</v>
      </c>
      <c r="I7" s="2" t="n">
        <v>1</v>
      </c>
      <c r="J7" s="2" t="n">
        <v>0</v>
      </c>
      <c r="K7" s="2" t="n">
        <v>1</v>
      </c>
      <c r="L7" s="2" t="n">
        <v>0</v>
      </c>
      <c r="M7" s="2" t="n">
        <v>2</v>
      </c>
      <c r="N7" s="2" t="n">
        <v>1</v>
      </c>
      <c r="O7" s="2" t="n">
        <v>1</v>
      </c>
      <c r="P7" s="2" t="n">
        <v>1</v>
      </c>
      <c r="Q7" s="2" t="n">
        <v>0</v>
      </c>
      <c r="R7" s="2" t="n">
        <v>0</v>
      </c>
      <c r="S7" s="2" t="n">
        <v>0</v>
      </c>
      <c r="T7" s="2"/>
      <c r="U7" s="2" t="n">
        <v>20</v>
      </c>
      <c r="V7" s="2"/>
      <c r="W7" s="2"/>
      <c r="X7" s="2"/>
      <c r="Y7" s="2"/>
      <c r="Z7" s="2"/>
      <c r="AA7" s="2"/>
      <c r="AB7" s="2" t="n">
        <v>30</v>
      </c>
      <c r="AC7" s="2" t="n">
        <v>2</v>
      </c>
      <c r="AD7" s="2"/>
      <c r="AE7" s="2" t="n">
        <v>2</v>
      </c>
      <c r="AF7" s="2"/>
      <c r="AG7" s="2"/>
      <c r="AH7" s="2"/>
      <c r="AI7" s="2"/>
      <c r="AJ7" s="2"/>
      <c r="AK7" s="2"/>
      <c r="AL7" s="2"/>
      <c r="AM7" s="2"/>
      <c r="AN7" s="2"/>
      <c r="AO7" s="2"/>
      <c r="AP7" s="2" t="n">
        <v>1</v>
      </c>
      <c r="AQ7" s="2" t="n">
        <v>1</v>
      </c>
      <c r="AR7" s="2"/>
      <c r="AS7" s="2"/>
      <c r="AT7" s="2"/>
      <c r="AU7" s="2"/>
      <c r="AV7" s="2"/>
      <c r="AW7" s="2"/>
      <c r="AX7" s="2"/>
      <c r="AY7" s="2" t="n">
        <v>2</v>
      </c>
      <c r="AZ7" s="2" t="n">
        <v>2</v>
      </c>
      <c r="BA7" s="2"/>
      <c r="BB7" s="2"/>
      <c r="BC7" s="2"/>
      <c r="BD7" s="2"/>
      <c r="BE7" s="2"/>
      <c r="BF7" s="2"/>
      <c r="BG7" s="2"/>
      <c r="BH7" s="2"/>
      <c r="BI7" s="2"/>
      <c r="BJ7" s="2" t="n">
        <v>2</v>
      </c>
      <c r="BK7" s="2"/>
      <c r="BL7" s="2"/>
      <c r="BM7" s="2"/>
      <c r="BN7" s="2"/>
      <c r="BO7" s="2"/>
      <c r="BP7" s="2"/>
      <c r="BQ7" s="2"/>
      <c r="BR7" s="2"/>
      <c r="BS7" s="2" t="n">
        <v>1</v>
      </c>
      <c r="BT7" s="2" t="n">
        <v>1</v>
      </c>
      <c r="BU7" s="2"/>
      <c r="BV7" s="2" t="n">
        <v>1</v>
      </c>
      <c r="BW7" s="2" t="n">
        <v>2025</v>
      </c>
      <c r="BX7" s="2" t="n">
        <v>1</v>
      </c>
      <c r="BY7" s="2" t="n">
        <v>3.2</v>
      </c>
      <c r="BZ7" s="2" t="n">
        <v>0</v>
      </c>
      <c r="CA7" s="2" t="n">
        <v>1</v>
      </c>
      <c r="CB7" s="2" t="n">
        <v>1</v>
      </c>
      <c r="CC7" s="2" t="n">
        <v>0</v>
      </c>
      <c r="CD7" s="2" t="n">
        <v>0</v>
      </c>
      <c r="CE7" s="2" t="n">
        <v>1</v>
      </c>
      <c r="CF7" s="2"/>
      <c r="CG7" s="2" t="n">
        <v>3</v>
      </c>
      <c r="CH7" s="2"/>
      <c r="CI7" s="2" t="n">
        <v>57.25</v>
      </c>
      <c r="CJ7" s="2" t="n">
        <v>1</v>
      </c>
      <c r="CK7" s="2" t="n">
        <v>2025</v>
      </c>
      <c r="CL7" s="2" t="n">
        <v>1</v>
      </c>
      <c r="CM7" s="2" t="n">
        <v>3.2</v>
      </c>
      <c r="CN7" s="2" t="n">
        <v>1</v>
      </c>
      <c r="CO7" s="2" t="n">
        <v>1</v>
      </c>
      <c r="CP7" s="2" t="n">
        <v>1</v>
      </c>
      <c r="CQ7" s="2" t="n">
        <v>0</v>
      </c>
      <c r="CR7" s="2" t="n">
        <v>0</v>
      </c>
      <c r="CS7" s="2" t="n">
        <v>1</v>
      </c>
      <c r="CT7" s="2"/>
      <c r="CU7" s="2" t="n">
        <v>1</v>
      </c>
      <c r="CV7" s="2"/>
      <c r="CW7" s="2" t="n">
        <v>86</v>
      </c>
      <c r="CX7" s="2" t="n">
        <v>2</v>
      </c>
      <c r="CY7" s="2"/>
      <c r="CZ7" s="2"/>
      <c r="DA7" s="2"/>
      <c r="DB7" s="2"/>
      <c r="DC7" s="2"/>
      <c r="DD7" s="2"/>
      <c r="DE7" s="2"/>
      <c r="DF7" s="2"/>
      <c r="DG7" s="2"/>
      <c r="DH7" s="2"/>
      <c r="DI7" s="2"/>
      <c r="DJ7" s="2"/>
      <c r="DK7" s="2"/>
      <c r="DL7" s="2"/>
      <c r="DM7" s="2"/>
      <c r="DN7" s="2"/>
      <c r="DO7" s="2" t="n">
        <v>1</v>
      </c>
      <c r="DP7" s="2" t="n">
        <v>875</v>
      </c>
      <c r="DQ7" s="2"/>
      <c r="DR7" s="2" t="n">
        <v>875</v>
      </c>
      <c r="DS7" s="2"/>
      <c r="DT7" s="2" t="n">
        <v>350</v>
      </c>
      <c r="DU7" s="2" t="n">
        <v>37</v>
      </c>
      <c r="DV7" s="2" t="n">
        <v>32</v>
      </c>
      <c r="DW7" s="2"/>
      <c r="DX7" s="2"/>
      <c r="DY7" s="2"/>
      <c r="DZ7" s="2" t="n">
        <v>4000</v>
      </c>
      <c r="EA7" s="2"/>
      <c r="EB7" s="2" t="n">
        <v>2</v>
      </c>
      <c r="EC7" s="2"/>
      <c r="ED7" s="2" t="n">
        <v>0.25</v>
      </c>
      <c r="EE7" s="2" t="n">
        <v>1970</v>
      </c>
      <c r="EF7" s="2" t="n">
        <v>1998</v>
      </c>
      <c r="EG7" s="2" t="n">
        <v>1000000</v>
      </c>
      <c r="EH7" s="2"/>
      <c r="EI7" s="2"/>
      <c r="EJ7" s="2" t="n">
        <v>70000</v>
      </c>
      <c r="EK7" s="2"/>
      <c r="EL7" s="2"/>
      <c r="EM7" s="2"/>
      <c r="EN7" s="2"/>
      <c r="EO7" s="2"/>
      <c r="EP7" s="2"/>
      <c r="EQ7" s="2"/>
      <c r="ER7" s="2"/>
      <c r="ES7" s="2"/>
      <c r="ET7" s="2"/>
      <c r="EU7" s="2"/>
      <c r="EV7" s="2"/>
      <c r="EW7" s="2" t="n">
        <v>1</v>
      </c>
      <c r="EX7" s="2" t="n">
        <v>3</v>
      </c>
      <c r="EY7" s="2"/>
      <c r="EZ7" s="2"/>
      <c r="FA7" s="2"/>
      <c r="FB7" s="2" t="n">
        <v>100</v>
      </c>
      <c r="FC7" s="2"/>
      <c r="FD7" s="2" t="n">
        <v>1</v>
      </c>
      <c r="FE7" s="2" t="n">
        <v>875</v>
      </c>
      <c r="FF7" s="2"/>
      <c r="FG7" s="2" t="n">
        <v>875</v>
      </c>
      <c r="FH7" s="2"/>
      <c r="FI7" s="2" t="n">
        <v>350</v>
      </c>
      <c r="FJ7" s="2" t="n">
        <v>7</v>
      </c>
      <c r="FK7" s="2" t="n">
        <v>33</v>
      </c>
      <c r="FL7" s="2" t="n">
        <v>4</v>
      </c>
      <c r="FM7" s="2"/>
      <c r="FN7" s="2"/>
      <c r="FO7" s="2"/>
      <c r="FP7" s="2"/>
      <c r="FQ7" s="2"/>
      <c r="FR7" s="2"/>
      <c r="FS7" s="2"/>
      <c r="FT7" s="2" t="n">
        <v>0</v>
      </c>
      <c r="FU7" s="2" t="n">
        <v>1</v>
      </c>
      <c r="FV7" s="2" t="n">
        <v>0</v>
      </c>
      <c r="FW7" s="2" t="n">
        <v>1</v>
      </c>
      <c r="FX7" s="2" t="n">
        <v>1</v>
      </c>
      <c r="FY7" s="2" t="n">
        <v>1</v>
      </c>
      <c r="FZ7" s="2"/>
      <c r="GA7" s="2" t="n">
        <v>1950</v>
      </c>
      <c r="GB7" s="2" t="n">
        <v>2021</v>
      </c>
      <c r="GC7" s="2"/>
      <c r="GD7" s="2"/>
      <c r="GE7" s="2"/>
      <c r="GF7" s="2"/>
      <c r="GG7" s="2"/>
      <c r="GH7" s="2"/>
      <c r="GI7" s="2"/>
      <c r="GJ7" s="2"/>
      <c r="GK7" s="2"/>
      <c r="GL7" s="2" t="n">
        <v>2</v>
      </c>
      <c r="GM7" s="2"/>
      <c r="GN7" s="2"/>
      <c r="GO7" s="2" t="n">
        <v>1</v>
      </c>
      <c r="GP7" s="2" t="s">
        <v>227</v>
      </c>
      <c r="GQ7" s="2" t="n">
        <v>2</v>
      </c>
      <c r="GR7" s="2"/>
      <c r="GS7" s="2"/>
      <c r="GT7" s="2" t="n">
        <v>2</v>
      </c>
      <c r="GU7" s="2"/>
      <c r="GV7" s="2"/>
      <c r="GW7" s="2"/>
      <c r="GX7" s="2"/>
      <c r="GY7" s="2"/>
      <c r="GZ7" s="2"/>
      <c r="HA7" s="2"/>
      <c r="HB7" s="2"/>
      <c r="HC7" s="2"/>
      <c r="HD7" s="2"/>
      <c r="HE7" s="2"/>
    </row>
    <row r="8" customFormat="false" ht="15" hidden="false" customHeight="false" outlineLevel="0" collapsed="false">
      <c r="A8" s="2" t="s">
        <v>228</v>
      </c>
      <c r="B8" s="2" t="n">
        <v>1182</v>
      </c>
      <c r="C8" s="2" t="n">
        <v>2</v>
      </c>
      <c r="D8" s="2" t="n">
        <v>11</v>
      </c>
      <c r="E8" s="2" t="n">
        <v>1</v>
      </c>
      <c r="F8" s="2"/>
      <c r="G8" s="2" t="n">
        <v>1</v>
      </c>
      <c r="H8" s="2" t="n">
        <v>1</v>
      </c>
      <c r="I8" s="2" t="n">
        <v>1</v>
      </c>
      <c r="J8" s="2" t="n">
        <v>0</v>
      </c>
      <c r="K8" s="2" t="n">
        <v>1</v>
      </c>
      <c r="L8" s="2" t="n">
        <v>1</v>
      </c>
      <c r="M8" s="2" t="n">
        <v>1</v>
      </c>
      <c r="N8" s="2" t="n">
        <v>0</v>
      </c>
      <c r="O8" s="2" t="n">
        <v>1</v>
      </c>
      <c r="P8" s="2" t="n">
        <v>1</v>
      </c>
      <c r="Q8" s="2" t="n">
        <v>0</v>
      </c>
      <c r="R8" s="2" t="n">
        <v>1</v>
      </c>
      <c r="S8" s="2" t="n">
        <v>0</v>
      </c>
      <c r="T8" s="2"/>
      <c r="U8" s="2" t="n">
        <v>10</v>
      </c>
      <c r="V8" s="2"/>
      <c r="W8" s="2" t="n">
        <v>10</v>
      </c>
      <c r="X8" s="2"/>
      <c r="Y8" s="2"/>
      <c r="Z8" s="2" t="n">
        <v>25</v>
      </c>
      <c r="AA8" s="2"/>
      <c r="AB8" s="2"/>
      <c r="AC8" s="2" t="n">
        <v>2</v>
      </c>
      <c r="AD8" s="2"/>
      <c r="AE8" s="2" t="n">
        <v>3</v>
      </c>
      <c r="AF8" s="2"/>
      <c r="AG8" s="2"/>
      <c r="AH8" s="2" t="s">
        <v>229</v>
      </c>
      <c r="AI8" s="2"/>
      <c r="AJ8" s="2" t="n">
        <v>100</v>
      </c>
      <c r="AK8" s="2" t="n">
        <v>100</v>
      </c>
      <c r="AL8" s="2"/>
      <c r="AM8" s="2"/>
      <c r="AN8" s="2"/>
      <c r="AO8" s="2" t="n">
        <v>1</v>
      </c>
      <c r="AP8" s="2" t="n">
        <v>1</v>
      </c>
      <c r="AQ8" s="2" t="n">
        <v>2</v>
      </c>
      <c r="AR8" s="2"/>
      <c r="AS8" s="2"/>
      <c r="AT8" s="2" t="s">
        <v>230</v>
      </c>
      <c r="AU8" s="2" t="s">
        <v>218</v>
      </c>
      <c r="AV8" s="2" t="n">
        <v>2024</v>
      </c>
      <c r="AW8" s="2" t="s">
        <v>231</v>
      </c>
      <c r="AX8" s="2" t="s">
        <v>218</v>
      </c>
      <c r="AY8" s="2" t="n">
        <v>2</v>
      </c>
      <c r="AZ8" s="2" t="n">
        <v>4</v>
      </c>
      <c r="BA8" s="2"/>
      <c r="BB8" s="2" t="s">
        <v>232</v>
      </c>
      <c r="BC8" s="2" t="n">
        <v>0</v>
      </c>
      <c r="BD8" s="2" t="n">
        <v>0</v>
      </c>
      <c r="BE8" s="2" t="n">
        <v>0</v>
      </c>
      <c r="BF8" s="2" t="n">
        <v>0</v>
      </c>
      <c r="BG8" s="2" t="n">
        <v>1</v>
      </c>
      <c r="BH8" s="2" t="n">
        <v>0</v>
      </c>
      <c r="BI8" s="2"/>
      <c r="BJ8" s="2" t="n">
        <v>2</v>
      </c>
      <c r="BK8" s="2" t="n">
        <v>0</v>
      </c>
      <c r="BL8" s="2" t="n">
        <v>0</v>
      </c>
      <c r="BM8" s="2" t="n">
        <v>0</v>
      </c>
      <c r="BN8" s="2" t="n">
        <v>0</v>
      </c>
      <c r="BO8" s="2" t="n">
        <v>0</v>
      </c>
      <c r="BP8" s="2" t="n">
        <v>1</v>
      </c>
      <c r="BQ8" s="2" t="n">
        <v>0</v>
      </c>
      <c r="BR8" s="2"/>
      <c r="BS8" s="2" t="n">
        <v>2</v>
      </c>
      <c r="BT8" s="2" t="n">
        <v>2</v>
      </c>
      <c r="BU8" s="2"/>
      <c r="BV8" s="2" t="n">
        <v>1</v>
      </c>
      <c r="BW8" s="2" t="n">
        <v>2025</v>
      </c>
      <c r="BX8" s="2" t="n">
        <v>1</v>
      </c>
      <c r="BY8" s="2" t="n">
        <v>61.5</v>
      </c>
      <c r="BZ8" s="2" t="n">
        <v>0</v>
      </c>
      <c r="CA8" s="2" t="n">
        <v>1</v>
      </c>
      <c r="CB8" s="2" t="n">
        <v>0</v>
      </c>
      <c r="CC8" s="2" t="n">
        <v>1</v>
      </c>
      <c r="CD8" s="2" t="n">
        <v>0</v>
      </c>
      <c r="CE8" s="2" t="n">
        <v>1</v>
      </c>
      <c r="CF8" s="2" t="s">
        <v>233</v>
      </c>
      <c r="CG8" s="2" t="n">
        <v>1</v>
      </c>
      <c r="CH8" s="2"/>
      <c r="CI8" s="2" t="n">
        <v>53</v>
      </c>
      <c r="CJ8" s="2" t="n">
        <v>1</v>
      </c>
      <c r="CK8" s="2" t="n">
        <v>2023</v>
      </c>
      <c r="CL8" s="2" t="n">
        <v>1</v>
      </c>
      <c r="CM8" s="2" t="n">
        <v>64</v>
      </c>
      <c r="CN8" s="2" t="n">
        <v>0</v>
      </c>
      <c r="CO8" s="2" t="n">
        <v>1</v>
      </c>
      <c r="CP8" s="2" t="n">
        <v>0</v>
      </c>
      <c r="CQ8" s="2" t="n">
        <v>1</v>
      </c>
      <c r="CR8" s="2" t="n">
        <v>0</v>
      </c>
      <c r="CS8" s="2" t="n">
        <v>0</v>
      </c>
      <c r="CT8" s="2" t="s">
        <v>234</v>
      </c>
      <c r="CU8" s="2" t="n">
        <v>1</v>
      </c>
      <c r="CV8" s="2"/>
      <c r="CW8" s="2" t="n">
        <v>43.24</v>
      </c>
      <c r="CX8" s="2" t="n">
        <v>2</v>
      </c>
      <c r="CY8" s="2"/>
      <c r="CZ8" s="2"/>
      <c r="DA8" s="2"/>
      <c r="DB8" s="2"/>
      <c r="DC8" s="2"/>
      <c r="DD8" s="2"/>
      <c r="DE8" s="2"/>
      <c r="DF8" s="2"/>
      <c r="DG8" s="2"/>
      <c r="DH8" s="2"/>
      <c r="DI8" s="2"/>
      <c r="DJ8" s="2"/>
      <c r="DK8" s="2"/>
      <c r="DL8" s="2"/>
      <c r="DM8" s="2"/>
      <c r="DN8" s="2"/>
      <c r="DO8" s="2" t="n">
        <v>1</v>
      </c>
      <c r="DP8" s="2"/>
      <c r="DQ8" s="2"/>
      <c r="DR8" s="2"/>
      <c r="DS8" s="2"/>
      <c r="DT8" s="2"/>
      <c r="DU8" s="2"/>
      <c r="DV8" s="2"/>
      <c r="DW8" s="2"/>
      <c r="DX8" s="2"/>
      <c r="DY8" s="2"/>
      <c r="DZ8" s="2" t="n">
        <v>144000000</v>
      </c>
      <c r="EA8" s="2"/>
      <c r="EB8" s="2"/>
      <c r="EC8" s="2"/>
      <c r="ED8" s="2" t="n">
        <v>1</v>
      </c>
      <c r="EE8" s="2"/>
      <c r="EF8" s="2" t="n">
        <v>2025</v>
      </c>
      <c r="EG8" s="2"/>
      <c r="EH8" s="2"/>
      <c r="EI8" s="2"/>
      <c r="EJ8" s="2"/>
      <c r="EK8" s="2"/>
      <c r="EL8" s="2" t="n">
        <v>9</v>
      </c>
      <c r="EM8" s="2"/>
      <c r="EN8" s="2" t="n">
        <v>7</v>
      </c>
      <c r="EO8" s="2" t="n">
        <v>12</v>
      </c>
      <c r="EP8" s="2" t="n">
        <v>9</v>
      </c>
      <c r="EQ8" s="2" t="n">
        <v>8</v>
      </c>
      <c r="ER8" s="2"/>
      <c r="ES8" s="2"/>
      <c r="ET8" s="2"/>
      <c r="EU8" s="2" t="s">
        <v>230</v>
      </c>
      <c r="EV8" s="2" t="n">
        <v>1</v>
      </c>
      <c r="EW8" s="2" t="n">
        <v>1</v>
      </c>
      <c r="EX8" s="2" t="n">
        <v>1</v>
      </c>
      <c r="EY8" s="2"/>
      <c r="EZ8" s="2" t="n">
        <v>98</v>
      </c>
      <c r="FA8" s="2" t="n">
        <v>2</v>
      </c>
      <c r="FB8" s="2"/>
      <c r="FC8" s="2"/>
      <c r="FD8" s="2" t="n">
        <v>1</v>
      </c>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t="n">
        <v>1</v>
      </c>
      <c r="GP8" s="2" t="s">
        <v>235</v>
      </c>
      <c r="GQ8" s="2" t="n">
        <v>2</v>
      </c>
      <c r="GR8" s="2"/>
      <c r="GS8" s="2" t="s">
        <v>236</v>
      </c>
      <c r="GT8" s="2" t="n">
        <v>2</v>
      </c>
      <c r="GU8" s="2"/>
      <c r="GV8" s="2"/>
      <c r="GW8" s="2"/>
      <c r="GX8" s="2"/>
      <c r="GY8" s="2"/>
      <c r="GZ8" s="2"/>
      <c r="HA8" s="2"/>
      <c r="HB8" s="2"/>
      <c r="HC8" s="2"/>
      <c r="HD8" s="2"/>
      <c r="HE8" s="2"/>
    </row>
    <row r="9" customFormat="false" ht="15" hidden="false" customHeight="false" outlineLevel="0" collapsed="false">
      <c r="A9" s="2" t="s">
        <v>237</v>
      </c>
      <c r="B9" s="2" t="n">
        <v>21862</v>
      </c>
      <c r="C9" s="2" t="n">
        <v>5</v>
      </c>
      <c r="D9" s="2" t="n">
        <v>7</v>
      </c>
      <c r="E9" s="2" t="n">
        <v>1</v>
      </c>
      <c r="F9" s="2"/>
      <c r="G9" s="2" t="n">
        <v>1</v>
      </c>
      <c r="H9" s="2" t="n">
        <v>1</v>
      </c>
      <c r="I9" s="2" t="n">
        <v>1</v>
      </c>
      <c r="J9" s="2" t="n">
        <v>0</v>
      </c>
      <c r="K9" s="2" t="n">
        <v>1</v>
      </c>
      <c r="L9" s="2" t="n">
        <v>1</v>
      </c>
      <c r="M9" s="2" t="n">
        <v>1</v>
      </c>
      <c r="N9" s="2" t="n">
        <v>1</v>
      </c>
      <c r="O9" s="2" t="n">
        <v>1</v>
      </c>
      <c r="P9" s="2" t="n">
        <v>0</v>
      </c>
      <c r="Q9" s="2" t="n">
        <v>0</v>
      </c>
      <c r="R9" s="2" t="n">
        <v>0</v>
      </c>
      <c r="S9" s="2" t="n">
        <v>0</v>
      </c>
      <c r="T9" s="2"/>
      <c r="U9" s="2"/>
      <c r="V9" s="2"/>
      <c r="W9" s="2"/>
      <c r="X9" s="2"/>
      <c r="Y9" s="2"/>
      <c r="Z9" s="2" t="n">
        <v>45</v>
      </c>
      <c r="AA9" s="2" t="n">
        <v>50</v>
      </c>
      <c r="AB9" s="2" t="n">
        <v>30</v>
      </c>
      <c r="AC9" s="2" t="n">
        <v>1</v>
      </c>
      <c r="AD9" s="2" t="s">
        <v>238</v>
      </c>
      <c r="AE9" s="2" t="n">
        <v>3</v>
      </c>
      <c r="AF9" s="2" t="n">
        <v>3</v>
      </c>
      <c r="AG9" s="2"/>
      <c r="AH9" s="2" t="s">
        <v>239</v>
      </c>
      <c r="AI9" s="2" t="s">
        <v>240</v>
      </c>
      <c r="AJ9" s="2" t="n">
        <v>7</v>
      </c>
      <c r="AK9" s="2" t="n">
        <v>3</v>
      </c>
      <c r="AL9" s="2" t="n">
        <v>2</v>
      </c>
      <c r="AM9" s="2"/>
      <c r="AN9" s="2"/>
      <c r="AO9" s="2"/>
      <c r="AP9" s="2" t="n">
        <v>1</v>
      </c>
      <c r="AQ9" s="2" t="n">
        <v>1</v>
      </c>
      <c r="AR9" s="2" t="n">
        <v>1</v>
      </c>
      <c r="AS9" s="2" t="n">
        <v>2024</v>
      </c>
      <c r="AT9" s="2" t="s">
        <v>241</v>
      </c>
      <c r="AU9" s="2" t="s">
        <v>242</v>
      </c>
      <c r="AV9" s="2" t="n">
        <v>2012</v>
      </c>
      <c r="AW9" s="2" t="s">
        <v>243</v>
      </c>
      <c r="AX9" s="2" t="s">
        <v>242</v>
      </c>
      <c r="AY9" s="2" t="n">
        <v>2</v>
      </c>
      <c r="AZ9" s="2" t="n">
        <v>2</v>
      </c>
      <c r="BA9" s="2"/>
      <c r="BB9" s="2"/>
      <c r="BC9" s="2" t="n">
        <v>0</v>
      </c>
      <c r="BD9" s="2" t="n">
        <v>1</v>
      </c>
      <c r="BE9" s="2" t="n">
        <v>0</v>
      </c>
      <c r="BF9" s="2" t="n">
        <v>0</v>
      </c>
      <c r="BG9" s="2" t="n">
        <v>0</v>
      </c>
      <c r="BH9" s="2" t="n">
        <v>0</v>
      </c>
      <c r="BI9" s="2"/>
      <c r="BJ9" s="2" t="n">
        <v>1</v>
      </c>
      <c r="BK9" s="2" t="n">
        <v>1</v>
      </c>
      <c r="BL9" s="2" t="n">
        <v>0</v>
      </c>
      <c r="BM9" s="2" t="n">
        <v>0</v>
      </c>
      <c r="BN9" s="2" t="n">
        <v>1</v>
      </c>
      <c r="BO9" s="2" t="n">
        <v>1</v>
      </c>
      <c r="BP9" s="2" t="n">
        <v>1</v>
      </c>
      <c r="BQ9" s="2" t="n">
        <v>1</v>
      </c>
      <c r="BR9" s="2"/>
      <c r="BS9" s="2" t="n">
        <v>2</v>
      </c>
      <c r="BT9" s="2" t="n">
        <v>2</v>
      </c>
      <c r="BU9" s="2" t="n">
        <v>2</v>
      </c>
      <c r="BV9" s="2" t="n">
        <v>1</v>
      </c>
      <c r="BW9" s="2" t="n">
        <v>2025</v>
      </c>
      <c r="BX9" s="2"/>
      <c r="BY9" s="2"/>
      <c r="BZ9" s="2" t="n">
        <v>1</v>
      </c>
      <c r="CA9" s="2" t="n">
        <v>1</v>
      </c>
      <c r="CB9" s="2" t="n">
        <v>1</v>
      </c>
      <c r="CC9" s="2" t="n">
        <v>1</v>
      </c>
      <c r="CD9" s="2" t="n">
        <v>0</v>
      </c>
      <c r="CE9" s="2" t="n">
        <v>1</v>
      </c>
      <c r="CF9" s="2" t="s">
        <v>244</v>
      </c>
      <c r="CG9" s="2" t="n">
        <v>1</v>
      </c>
      <c r="CH9" s="2"/>
      <c r="CI9" s="2" t="n">
        <v>58.17</v>
      </c>
      <c r="CJ9" s="2" t="n">
        <v>1</v>
      </c>
      <c r="CK9" s="2" t="n">
        <v>2019</v>
      </c>
      <c r="CL9" s="2" t="n">
        <v>1</v>
      </c>
      <c r="CM9" s="2" t="n">
        <v>4</v>
      </c>
      <c r="CN9" s="2" t="n">
        <v>1</v>
      </c>
      <c r="CO9" s="2" t="n">
        <v>1</v>
      </c>
      <c r="CP9" s="2" t="n">
        <v>1</v>
      </c>
      <c r="CQ9" s="2" t="n">
        <v>0</v>
      </c>
      <c r="CR9" s="2" t="n">
        <v>0</v>
      </c>
      <c r="CS9" s="2" t="n">
        <v>1</v>
      </c>
      <c r="CT9" s="2"/>
      <c r="CU9" s="2" t="n">
        <v>4</v>
      </c>
      <c r="CV9" s="2" t="s">
        <v>245</v>
      </c>
      <c r="CW9" s="2" t="n">
        <v>47.52</v>
      </c>
      <c r="CX9" s="2" t="n">
        <v>1</v>
      </c>
      <c r="CY9" s="2" t="n">
        <v>5</v>
      </c>
      <c r="CZ9" s="2" t="n">
        <v>1</v>
      </c>
      <c r="DA9" s="2" t="n">
        <v>8</v>
      </c>
      <c r="DB9" s="2" t="n">
        <v>1</v>
      </c>
      <c r="DC9" s="2" t="n">
        <v>1</v>
      </c>
      <c r="DD9" s="2" t="n">
        <v>1</v>
      </c>
      <c r="DE9" s="2" t="n">
        <v>1</v>
      </c>
      <c r="DF9" s="2" t="n">
        <v>0</v>
      </c>
      <c r="DG9" s="2" t="n">
        <v>0</v>
      </c>
      <c r="DH9" s="2" t="n">
        <v>1</v>
      </c>
      <c r="DI9" s="2"/>
      <c r="DJ9" s="2" t="n">
        <v>1</v>
      </c>
      <c r="DK9" s="2"/>
      <c r="DL9" s="2" t="n">
        <v>1</v>
      </c>
      <c r="DM9" s="2"/>
      <c r="DN9" s="2" t="n">
        <v>5.43</v>
      </c>
      <c r="DO9" s="2" t="n">
        <v>1</v>
      </c>
      <c r="DP9" s="2" t="n">
        <v>23000</v>
      </c>
      <c r="DQ9" s="2"/>
      <c r="DR9" s="2"/>
      <c r="DS9" s="2"/>
      <c r="DT9" s="2" t="n">
        <v>7144</v>
      </c>
      <c r="DU9" s="2" t="n">
        <v>42</v>
      </c>
      <c r="DV9" s="2" t="n">
        <v>763</v>
      </c>
      <c r="DW9" s="2" t="n">
        <v>9</v>
      </c>
      <c r="DX9" s="2" t="n">
        <v>233</v>
      </c>
      <c r="DY9" s="2"/>
      <c r="DZ9" s="2" t="n">
        <v>37000</v>
      </c>
      <c r="EA9" s="2" t="n">
        <v>120</v>
      </c>
      <c r="EB9" s="2" t="n">
        <v>3</v>
      </c>
      <c r="EC9" s="2" t="n">
        <v>14</v>
      </c>
      <c r="ED9" s="2" t="n">
        <v>2</v>
      </c>
      <c r="EE9" s="2" t="n">
        <v>1948</v>
      </c>
      <c r="EF9" s="2" t="n">
        <v>1994</v>
      </c>
      <c r="EG9" s="2" t="n">
        <v>800</v>
      </c>
      <c r="EH9" s="2" t="n">
        <v>7.5</v>
      </c>
      <c r="EI9" s="2" t="n">
        <v>2.96</v>
      </c>
      <c r="EJ9" s="2" t="n">
        <v>1</v>
      </c>
      <c r="EK9" s="2" t="n">
        <v>5.7</v>
      </c>
      <c r="EL9" s="2"/>
      <c r="EM9" s="2" t="n">
        <v>6.8</v>
      </c>
      <c r="EN9" s="2"/>
      <c r="EO9" s="2"/>
      <c r="EP9" s="2" t="n">
        <v>2</v>
      </c>
      <c r="EQ9" s="2"/>
      <c r="ER9" s="2"/>
      <c r="ES9" s="2"/>
      <c r="ET9" s="2"/>
      <c r="EU9" s="2" t="s">
        <v>246</v>
      </c>
      <c r="EV9" s="2" t="n">
        <v>1</v>
      </c>
      <c r="EW9" s="2" t="n">
        <v>1</v>
      </c>
      <c r="EX9" s="2" t="n">
        <v>1</v>
      </c>
      <c r="EY9" s="2"/>
      <c r="EZ9" s="2" t="n">
        <v>0.05</v>
      </c>
      <c r="FA9" s="2"/>
      <c r="FB9" s="2" t="n">
        <v>0.95</v>
      </c>
      <c r="FC9" s="2"/>
      <c r="FD9" s="2" t="n">
        <v>1</v>
      </c>
      <c r="FE9" s="2" t="n">
        <v>23000</v>
      </c>
      <c r="FF9" s="2"/>
      <c r="FG9" s="2"/>
      <c r="FH9" s="2"/>
      <c r="FI9" s="2" t="n">
        <v>8196</v>
      </c>
      <c r="FJ9" s="2" t="n">
        <v>10</v>
      </c>
      <c r="FK9" s="2" t="n">
        <v>686</v>
      </c>
      <c r="FL9" s="2" t="n">
        <v>5</v>
      </c>
      <c r="FM9" s="2" t="n">
        <v>79</v>
      </c>
      <c r="FN9" s="2" t="n">
        <v>3</v>
      </c>
      <c r="FO9" s="2" t="n">
        <v>2.7</v>
      </c>
      <c r="FP9" s="2" t="n">
        <v>112</v>
      </c>
      <c r="FQ9" s="2" t="n">
        <v>7</v>
      </c>
      <c r="FR9" s="2" t="n">
        <v>2</v>
      </c>
      <c r="FS9" s="2" t="n">
        <v>3</v>
      </c>
      <c r="FT9" s="2" t="n">
        <v>1</v>
      </c>
      <c r="FU9" s="2" t="n">
        <v>0</v>
      </c>
      <c r="FV9" s="2" t="n">
        <v>0</v>
      </c>
      <c r="FW9" s="2" t="n">
        <v>0</v>
      </c>
      <c r="FX9" s="2" t="n">
        <v>0</v>
      </c>
      <c r="FY9" s="2" t="n">
        <v>0</v>
      </c>
      <c r="FZ9" s="2"/>
      <c r="GA9" s="2" t="n">
        <v>1936</v>
      </c>
      <c r="GB9" s="2" t="n">
        <v>2002</v>
      </c>
      <c r="GC9" s="2" t="n">
        <v>2.4</v>
      </c>
      <c r="GD9" s="2" t="n">
        <v>3.6</v>
      </c>
      <c r="GE9" s="2" t="n">
        <v>800</v>
      </c>
      <c r="GF9" s="2" t="n">
        <v>10.5</v>
      </c>
      <c r="GG9" s="2" t="n">
        <v>2.3</v>
      </c>
      <c r="GH9" s="2" t="n">
        <v>50</v>
      </c>
      <c r="GI9" s="2" t="s">
        <v>221</v>
      </c>
      <c r="GJ9" s="2" t="s">
        <v>221</v>
      </c>
      <c r="GK9" s="2" t="n">
        <v>1</v>
      </c>
      <c r="GL9" s="2" t="n">
        <v>2</v>
      </c>
      <c r="GM9" s="2" t="s">
        <v>247</v>
      </c>
      <c r="GN9" s="2"/>
      <c r="GO9" s="2" t="n">
        <v>2</v>
      </c>
      <c r="GP9" s="2"/>
      <c r="GQ9" s="2" t="n">
        <v>1</v>
      </c>
      <c r="GR9" s="2" t="n">
        <v>1</v>
      </c>
      <c r="GS9" s="2"/>
      <c r="GT9" s="2" t="n">
        <v>1</v>
      </c>
      <c r="GU9" s="2" t="n">
        <v>7601</v>
      </c>
      <c r="GV9" s="2" t="n">
        <v>6</v>
      </c>
      <c r="GW9" s="2" t="n">
        <v>690</v>
      </c>
      <c r="GX9" s="2"/>
      <c r="GY9" s="2" t="n">
        <v>79</v>
      </c>
      <c r="GZ9" s="2"/>
      <c r="HA9" s="2"/>
      <c r="HB9" s="2" t="s">
        <v>221</v>
      </c>
      <c r="HC9" s="2"/>
      <c r="HD9" s="2"/>
      <c r="HE9" s="2"/>
    </row>
    <row r="10" customFormat="false" ht="15" hidden="false" customHeight="false" outlineLevel="0" collapsed="false">
      <c r="A10" s="2" t="s">
        <v>248</v>
      </c>
      <c r="B10" s="2" t="n">
        <v>2372</v>
      </c>
      <c r="C10" s="2" t="n">
        <v>3</v>
      </c>
      <c r="D10" s="2" t="n">
        <v>11</v>
      </c>
      <c r="E10" s="2" t="n">
        <v>1</v>
      </c>
      <c r="F10" s="2"/>
      <c r="G10" s="2" t="n">
        <v>1</v>
      </c>
      <c r="H10" s="2" t="n">
        <v>1</v>
      </c>
      <c r="I10" s="2" t="n">
        <v>1</v>
      </c>
      <c r="J10" s="2" t="n">
        <v>0</v>
      </c>
      <c r="K10" s="2" t="n">
        <v>1</v>
      </c>
      <c r="L10" s="2" t="n">
        <v>0</v>
      </c>
      <c r="M10" s="2" t="n">
        <v>1</v>
      </c>
      <c r="N10" s="2" t="n">
        <v>0</v>
      </c>
      <c r="O10" s="2" t="n">
        <v>1</v>
      </c>
      <c r="P10" s="2" t="n">
        <v>1</v>
      </c>
      <c r="Q10" s="2" t="n">
        <v>0</v>
      </c>
      <c r="R10" s="2" t="n">
        <v>1</v>
      </c>
      <c r="S10" s="2" t="n">
        <v>0</v>
      </c>
      <c r="T10" s="2"/>
      <c r="U10" s="2" t="n">
        <v>5</v>
      </c>
      <c r="V10" s="2"/>
      <c r="W10" s="2" t="n">
        <v>30</v>
      </c>
      <c r="X10" s="2"/>
      <c r="Y10" s="2"/>
      <c r="Z10" s="2" t="n">
        <v>10</v>
      </c>
      <c r="AA10" s="2"/>
      <c r="AB10" s="2"/>
      <c r="AC10" s="2" t="n">
        <v>2</v>
      </c>
      <c r="AD10" s="2"/>
      <c r="AE10" s="2" t="n">
        <v>2</v>
      </c>
      <c r="AF10" s="2"/>
      <c r="AG10" s="2" t="n">
        <v>30</v>
      </c>
      <c r="AH10" s="2"/>
      <c r="AI10" s="2"/>
      <c r="AJ10" s="2" t="n">
        <v>3</v>
      </c>
      <c r="AK10" s="2" t="n">
        <v>4</v>
      </c>
      <c r="AL10" s="2" t="n">
        <v>0</v>
      </c>
      <c r="AM10" s="2"/>
      <c r="AN10" s="2"/>
      <c r="AO10" s="2"/>
      <c r="AP10" s="2" t="n">
        <v>2</v>
      </c>
      <c r="AQ10" s="2" t="n">
        <v>2</v>
      </c>
      <c r="AR10" s="2"/>
      <c r="AS10" s="2" t="n">
        <v>2006</v>
      </c>
      <c r="AT10" s="2" t="s">
        <v>249</v>
      </c>
      <c r="AU10" s="2" t="s">
        <v>250</v>
      </c>
      <c r="AV10" s="2" t="n">
        <v>2006</v>
      </c>
      <c r="AW10" s="2" t="s">
        <v>249</v>
      </c>
      <c r="AX10" s="2" t="s">
        <v>250</v>
      </c>
      <c r="AY10" s="2" t="n">
        <v>2</v>
      </c>
      <c r="AZ10" s="2" t="n">
        <v>4</v>
      </c>
      <c r="BA10" s="2"/>
      <c r="BB10" s="2" t="s">
        <v>251</v>
      </c>
      <c r="BC10" s="2" t="n">
        <v>0</v>
      </c>
      <c r="BD10" s="2" t="n">
        <v>0</v>
      </c>
      <c r="BE10" s="2" t="n">
        <v>0</v>
      </c>
      <c r="BF10" s="2" t="n">
        <v>0</v>
      </c>
      <c r="BG10" s="2" t="n">
        <v>1</v>
      </c>
      <c r="BH10" s="2" t="n">
        <v>0</v>
      </c>
      <c r="BI10" s="2"/>
      <c r="BJ10" s="2" t="n">
        <v>2</v>
      </c>
      <c r="BK10" s="2" t="n">
        <v>0</v>
      </c>
      <c r="BL10" s="2" t="n">
        <v>0</v>
      </c>
      <c r="BM10" s="2" t="n">
        <v>0</v>
      </c>
      <c r="BN10" s="2" t="n">
        <v>0</v>
      </c>
      <c r="BO10" s="2" t="n">
        <v>1</v>
      </c>
      <c r="BP10" s="2" t="n">
        <v>1</v>
      </c>
      <c r="BQ10" s="2" t="n">
        <v>0</v>
      </c>
      <c r="BR10" s="2"/>
      <c r="BS10" s="2" t="n">
        <v>2</v>
      </c>
      <c r="BT10" s="2" t="n">
        <v>2</v>
      </c>
      <c r="BU10" s="2"/>
      <c r="BV10" s="2" t="n">
        <v>1</v>
      </c>
      <c r="BW10" s="2"/>
      <c r="BX10" s="2" t="n">
        <v>1</v>
      </c>
      <c r="BY10" s="2" t="n">
        <v>2.3</v>
      </c>
      <c r="BZ10" s="2" t="n">
        <v>1</v>
      </c>
      <c r="CA10" s="2" t="n">
        <v>1</v>
      </c>
      <c r="CB10" s="2" t="n">
        <v>1</v>
      </c>
      <c r="CC10" s="2" t="n">
        <v>0</v>
      </c>
      <c r="CD10" s="2" t="n">
        <v>0</v>
      </c>
      <c r="CE10" s="2" t="n">
        <v>0</v>
      </c>
      <c r="CF10" s="2"/>
      <c r="CG10" s="2" t="n">
        <v>1</v>
      </c>
      <c r="CH10" s="2"/>
      <c r="CI10" s="2"/>
      <c r="CJ10" s="2" t="n">
        <v>1</v>
      </c>
      <c r="CK10" s="2"/>
      <c r="CL10" s="2" t="n">
        <v>1</v>
      </c>
      <c r="CM10" s="2" t="n">
        <v>2.3</v>
      </c>
      <c r="CN10" s="2" t="n">
        <v>1</v>
      </c>
      <c r="CO10" s="2" t="n">
        <v>1</v>
      </c>
      <c r="CP10" s="2" t="n">
        <v>1</v>
      </c>
      <c r="CQ10" s="2" t="n">
        <v>0</v>
      </c>
      <c r="CR10" s="2" t="n">
        <v>0</v>
      </c>
      <c r="CS10" s="2" t="n">
        <v>1</v>
      </c>
      <c r="CT10" s="2"/>
      <c r="CU10" s="2" t="n">
        <v>1</v>
      </c>
      <c r="CV10" s="2"/>
      <c r="CW10" s="2" t="n">
        <v>50.82</v>
      </c>
      <c r="CX10" s="2" t="n">
        <v>2</v>
      </c>
      <c r="CY10" s="2"/>
      <c r="CZ10" s="2"/>
      <c r="DA10" s="2"/>
      <c r="DB10" s="2"/>
      <c r="DC10" s="2"/>
      <c r="DD10" s="2"/>
      <c r="DE10" s="2"/>
      <c r="DF10" s="2"/>
      <c r="DG10" s="2"/>
      <c r="DH10" s="2"/>
      <c r="DI10" s="2"/>
      <c r="DJ10" s="2"/>
      <c r="DK10" s="2"/>
      <c r="DL10" s="2"/>
      <c r="DM10" s="2"/>
      <c r="DN10" s="2"/>
      <c r="DO10" s="2" t="n">
        <v>1</v>
      </c>
      <c r="DP10" s="2" t="n">
        <v>2000</v>
      </c>
      <c r="DQ10" s="2" t="n">
        <v>60</v>
      </c>
      <c r="DR10" s="2" t="n">
        <v>2000</v>
      </c>
      <c r="DS10" s="2" t="n">
        <v>60</v>
      </c>
      <c r="DT10" s="2" t="n">
        <v>740</v>
      </c>
      <c r="DU10" s="2" t="n">
        <v>40</v>
      </c>
      <c r="DV10" s="2" t="n">
        <v>25</v>
      </c>
      <c r="DW10" s="2" t="n">
        <v>1</v>
      </c>
      <c r="DX10" s="2" t="n">
        <v>0</v>
      </c>
      <c r="DY10" s="2" t="n">
        <v>1</v>
      </c>
      <c r="DZ10" s="2" t="n">
        <v>90000</v>
      </c>
      <c r="EA10" s="2" t="n">
        <v>22</v>
      </c>
      <c r="EB10" s="2" t="n">
        <v>2</v>
      </c>
      <c r="EC10" s="2" t="n">
        <v>1</v>
      </c>
      <c r="ED10" s="2" t="n">
        <v>2</v>
      </c>
      <c r="EE10" s="2" t="n">
        <v>1965</v>
      </c>
      <c r="EF10" s="2" t="n">
        <v>2024</v>
      </c>
      <c r="EG10" s="2"/>
      <c r="EH10" s="2" t="n">
        <v>5</v>
      </c>
      <c r="EI10" s="2" t="n">
        <v>1</v>
      </c>
      <c r="EJ10" s="2" t="n">
        <v>0.99</v>
      </c>
      <c r="EK10" s="2" t="n">
        <v>1</v>
      </c>
      <c r="EL10" s="2" t="n">
        <v>1</v>
      </c>
      <c r="EM10" s="2" t="n">
        <v>1.5</v>
      </c>
      <c r="EN10" s="2" t="n">
        <v>1</v>
      </c>
      <c r="EO10" s="2" t="n">
        <v>1</v>
      </c>
      <c r="EP10" s="2" t="n">
        <v>1</v>
      </c>
      <c r="EQ10" s="2" t="n">
        <v>1</v>
      </c>
      <c r="ER10" s="2"/>
      <c r="ES10" s="2"/>
      <c r="ET10" s="2"/>
      <c r="EU10" s="2" t="s">
        <v>252</v>
      </c>
      <c r="EV10" s="2" t="n">
        <v>2</v>
      </c>
      <c r="EW10" s="2" t="n">
        <v>1</v>
      </c>
      <c r="EX10" s="2" t="n">
        <v>1</v>
      </c>
      <c r="EY10" s="2"/>
      <c r="EZ10" s="2" t="n">
        <v>0.98</v>
      </c>
      <c r="FA10" s="2" t="n">
        <v>0</v>
      </c>
      <c r="FB10" s="2" t="n">
        <v>2</v>
      </c>
      <c r="FC10" s="2" t="s">
        <v>250</v>
      </c>
      <c r="FD10" s="2" t="n">
        <v>1</v>
      </c>
      <c r="FE10" s="2" t="n">
        <v>2000</v>
      </c>
      <c r="FF10" s="2" t="n">
        <v>40</v>
      </c>
      <c r="FG10" s="2" t="n">
        <v>2000</v>
      </c>
      <c r="FH10" s="2" t="n">
        <v>40</v>
      </c>
      <c r="FI10" s="2" t="n">
        <v>740</v>
      </c>
      <c r="FJ10" s="2" t="n">
        <v>9</v>
      </c>
      <c r="FK10" s="2" t="n">
        <v>25</v>
      </c>
      <c r="FL10" s="2" t="n">
        <v>6</v>
      </c>
      <c r="FM10" s="2"/>
      <c r="FN10" s="2"/>
      <c r="FO10" s="2" t="n">
        <v>18000</v>
      </c>
      <c r="FP10" s="2" t="n">
        <v>13</v>
      </c>
      <c r="FQ10" s="2" t="n">
        <v>10</v>
      </c>
      <c r="FR10" s="2" t="n">
        <v>2</v>
      </c>
      <c r="FS10" s="2" t="n">
        <v>2</v>
      </c>
      <c r="FT10" s="2" t="n">
        <v>0</v>
      </c>
      <c r="FU10" s="2" t="n">
        <v>1</v>
      </c>
      <c r="FV10" s="2" t="n">
        <v>0</v>
      </c>
      <c r="FW10" s="2" t="n">
        <v>0</v>
      </c>
      <c r="FX10" s="2" t="n">
        <v>1</v>
      </c>
      <c r="FY10" s="2" t="n">
        <v>1</v>
      </c>
      <c r="FZ10" s="2"/>
      <c r="GA10" s="2" t="n">
        <v>2017</v>
      </c>
      <c r="GB10" s="2" t="n">
        <v>2013</v>
      </c>
      <c r="GC10" s="2"/>
      <c r="GD10" s="2"/>
      <c r="GE10" s="2"/>
      <c r="GF10" s="2"/>
      <c r="GG10" s="2"/>
      <c r="GH10" s="2" t="n">
        <v>50</v>
      </c>
      <c r="GI10" s="2" t="s">
        <v>253</v>
      </c>
      <c r="GJ10" s="2" t="s">
        <v>253</v>
      </c>
      <c r="GK10" s="2" t="n">
        <v>2</v>
      </c>
      <c r="GL10" s="2" t="n">
        <v>2</v>
      </c>
      <c r="GM10" s="2"/>
      <c r="GN10" s="2"/>
      <c r="GO10" s="2" t="n">
        <v>2</v>
      </c>
      <c r="GP10" s="2"/>
      <c r="GQ10" s="2" t="n">
        <v>2</v>
      </c>
      <c r="GR10" s="2"/>
      <c r="GS10" s="2" t="s">
        <v>254</v>
      </c>
      <c r="GT10" s="2" t="n">
        <v>2</v>
      </c>
      <c r="GU10" s="2"/>
      <c r="GV10" s="2"/>
      <c r="GW10" s="2"/>
      <c r="GX10" s="2"/>
      <c r="GY10" s="2"/>
      <c r="GZ10" s="2"/>
      <c r="HA10" s="2"/>
      <c r="HB10" s="2"/>
      <c r="HC10" s="2"/>
      <c r="HD10" s="2"/>
      <c r="HE10" s="2" t="s">
        <v>255</v>
      </c>
    </row>
    <row r="11" customFormat="false" ht="15" hidden="false" customHeight="false" outlineLevel="0" collapsed="false">
      <c r="A11" s="2" t="s">
        <v>256</v>
      </c>
      <c r="B11" s="2" t="n">
        <v>173</v>
      </c>
      <c r="C11" s="2" t="n">
        <v>1</v>
      </c>
      <c r="D11" s="2" t="n">
        <v>12</v>
      </c>
      <c r="E11" s="2" t="n">
        <v>1</v>
      </c>
      <c r="F11" s="2"/>
      <c r="G11" s="2" t="n">
        <v>1</v>
      </c>
      <c r="H11" s="2" t="n">
        <v>1</v>
      </c>
      <c r="I11" s="2" t="n">
        <v>1</v>
      </c>
      <c r="J11" s="2" t="n">
        <v>0</v>
      </c>
      <c r="K11" s="2" t="n">
        <v>1</v>
      </c>
      <c r="L11" s="2" t="n">
        <v>0</v>
      </c>
      <c r="M11" s="2" t="n">
        <v>2</v>
      </c>
      <c r="N11" s="2" t="n">
        <v>0</v>
      </c>
      <c r="O11" s="2" t="n">
        <v>1</v>
      </c>
      <c r="P11" s="2" t="n">
        <v>1</v>
      </c>
      <c r="Q11" s="2" t="n">
        <v>0</v>
      </c>
      <c r="R11" s="2" t="n">
        <v>1</v>
      </c>
      <c r="S11" s="2" t="n">
        <v>0</v>
      </c>
      <c r="T11" s="2"/>
      <c r="U11" s="2" t="n">
        <v>10</v>
      </c>
      <c r="V11" s="2"/>
      <c r="W11" s="2" t="n">
        <v>30</v>
      </c>
      <c r="X11" s="2"/>
      <c r="Y11" s="2"/>
      <c r="Z11" s="2" t="n">
        <v>60</v>
      </c>
      <c r="AA11" s="2"/>
      <c r="AB11" s="2"/>
      <c r="AC11" s="2" t="n">
        <v>1</v>
      </c>
      <c r="AD11" s="2" t="s">
        <v>257</v>
      </c>
      <c r="AE11" s="2" t="n">
        <v>3</v>
      </c>
      <c r="AF11" s="2" t="n">
        <v>2</v>
      </c>
      <c r="AG11" s="2"/>
      <c r="AH11" s="2" t="s">
        <v>258</v>
      </c>
      <c r="AI11" s="2"/>
      <c r="AJ11" s="2" t="n">
        <v>0</v>
      </c>
      <c r="AK11" s="2" t="n">
        <v>0</v>
      </c>
      <c r="AL11" s="2" t="n">
        <v>0</v>
      </c>
      <c r="AM11" s="2" t="n">
        <v>1</v>
      </c>
      <c r="AN11" s="2" t="n">
        <v>1</v>
      </c>
      <c r="AO11" s="2" t="n">
        <v>1</v>
      </c>
      <c r="AP11" s="2"/>
      <c r="AQ11" s="2"/>
      <c r="AR11" s="2"/>
      <c r="AS11" s="2"/>
      <c r="AT11" s="2" t="s">
        <v>259</v>
      </c>
      <c r="AU11" s="2" t="s">
        <v>221</v>
      </c>
      <c r="AV11" s="2"/>
      <c r="AW11" s="2" t="s">
        <v>221</v>
      </c>
      <c r="AX11" s="2" t="s">
        <v>221</v>
      </c>
      <c r="AY11" s="2" t="n">
        <v>2</v>
      </c>
      <c r="AZ11" s="2" t="n">
        <v>2</v>
      </c>
      <c r="BA11" s="2"/>
      <c r="BB11" s="2"/>
      <c r="BC11" s="2" t="n">
        <v>0</v>
      </c>
      <c r="BD11" s="2" t="n">
        <v>0</v>
      </c>
      <c r="BE11" s="2" t="n">
        <v>1</v>
      </c>
      <c r="BF11" s="2" t="n">
        <v>0</v>
      </c>
      <c r="BG11" s="2" t="n">
        <v>0</v>
      </c>
      <c r="BH11" s="2" t="n">
        <v>0</v>
      </c>
      <c r="BI11" s="2"/>
      <c r="BJ11" s="2" t="n">
        <v>2</v>
      </c>
      <c r="BK11" s="2" t="n">
        <v>0</v>
      </c>
      <c r="BL11" s="2" t="n">
        <v>0</v>
      </c>
      <c r="BM11" s="2" t="n">
        <v>1</v>
      </c>
      <c r="BN11" s="2" t="n">
        <v>0</v>
      </c>
      <c r="BO11" s="2" t="n">
        <v>0</v>
      </c>
      <c r="BP11" s="2" t="n">
        <v>0</v>
      </c>
      <c r="BQ11" s="2" t="n">
        <v>0</v>
      </c>
      <c r="BR11" s="2" t="s">
        <v>221</v>
      </c>
      <c r="BS11" s="2"/>
      <c r="BT11" s="2"/>
      <c r="BU11" s="2"/>
      <c r="BV11" s="2" t="n">
        <v>1</v>
      </c>
      <c r="BW11" s="2" t="n">
        <v>2025</v>
      </c>
      <c r="BX11" s="2" t="n">
        <v>1</v>
      </c>
      <c r="BY11" s="2" t="n">
        <v>0.035</v>
      </c>
      <c r="BZ11" s="2" t="n">
        <v>0</v>
      </c>
      <c r="CA11" s="2" t="n">
        <v>1</v>
      </c>
      <c r="CB11" s="2" t="n">
        <v>0</v>
      </c>
      <c r="CC11" s="2" t="n">
        <v>1</v>
      </c>
      <c r="CD11" s="2" t="n">
        <v>0</v>
      </c>
      <c r="CE11" s="2" t="n">
        <v>0</v>
      </c>
      <c r="CF11" s="2" t="s">
        <v>260</v>
      </c>
      <c r="CG11" s="2" t="n">
        <v>2</v>
      </c>
      <c r="CH11" s="2"/>
      <c r="CI11" s="2" t="n">
        <v>29</v>
      </c>
      <c r="CJ11" s="2" t="n">
        <v>1</v>
      </c>
      <c r="CK11" s="2" t="n">
        <v>2025</v>
      </c>
      <c r="CL11" s="2" t="n">
        <v>1</v>
      </c>
      <c r="CM11" s="2" t="n">
        <v>0.035</v>
      </c>
      <c r="CN11" s="2" t="n">
        <v>0</v>
      </c>
      <c r="CO11" s="2" t="n">
        <v>1</v>
      </c>
      <c r="CP11" s="2" t="n">
        <v>0</v>
      </c>
      <c r="CQ11" s="2" t="n">
        <v>0</v>
      </c>
      <c r="CR11" s="2" t="n">
        <v>0</v>
      </c>
      <c r="CS11" s="2" t="n">
        <v>0</v>
      </c>
      <c r="CT11" s="2"/>
      <c r="CU11" s="2" t="n">
        <v>1</v>
      </c>
      <c r="CV11" s="2"/>
      <c r="CW11" s="2" t="n">
        <v>26</v>
      </c>
      <c r="CX11" s="2" t="n">
        <v>2</v>
      </c>
      <c r="CY11" s="2"/>
      <c r="CZ11" s="2"/>
      <c r="DA11" s="2"/>
      <c r="DB11" s="2"/>
      <c r="DC11" s="2"/>
      <c r="DD11" s="2"/>
      <c r="DE11" s="2"/>
      <c r="DF11" s="2"/>
      <c r="DG11" s="2"/>
      <c r="DH11" s="2"/>
      <c r="DI11" s="2"/>
      <c r="DJ11" s="2"/>
      <c r="DK11" s="2"/>
      <c r="DL11" s="2"/>
      <c r="DM11" s="2"/>
      <c r="DN11" s="2"/>
      <c r="DO11" s="2" t="n">
        <v>1</v>
      </c>
      <c r="DP11" s="2" t="n">
        <v>175</v>
      </c>
      <c r="DQ11" s="2" t="n">
        <v>0</v>
      </c>
      <c r="DR11" s="2"/>
      <c r="DS11" s="2"/>
      <c r="DT11" s="2" t="n">
        <v>97</v>
      </c>
      <c r="DU11" s="2"/>
      <c r="DV11" s="2" t="n">
        <v>7</v>
      </c>
      <c r="DW11" s="2"/>
      <c r="DX11" s="2" t="n">
        <v>5</v>
      </c>
      <c r="DY11" s="2"/>
      <c r="DZ11" s="2" t="n">
        <v>1000000</v>
      </c>
      <c r="EA11" s="2"/>
      <c r="EB11" s="2" t="n">
        <v>0</v>
      </c>
      <c r="EC11" s="2" t="n">
        <v>1</v>
      </c>
      <c r="ED11" s="2"/>
      <c r="EE11" s="2"/>
      <c r="EF11" s="2"/>
      <c r="EG11" s="2"/>
      <c r="EH11" s="2"/>
      <c r="EI11" s="2"/>
      <c r="EJ11" s="2"/>
      <c r="EK11" s="2"/>
      <c r="EL11" s="2"/>
      <c r="EM11" s="2"/>
      <c r="EN11" s="2" t="n">
        <v>2</v>
      </c>
      <c r="EO11" s="2"/>
      <c r="EP11" s="2"/>
      <c r="EQ11" s="2"/>
      <c r="ER11" s="2"/>
      <c r="ES11" s="2"/>
      <c r="ET11" s="2"/>
      <c r="EU11" s="2" t="s">
        <v>261</v>
      </c>
      <c r="EV11" s="2"/>
      <c r="EW11" s="2"/>
      <c r="EX11" s="2"/>
      <c r="EY11" s="2"/>
      <c r="EZ11" s="2"/>
      <c r="FA11" s="2"/>
      <c r="FB11" s="2"/>
      <c r="FC11" s="2"/>
      <c r="FD11" s="2" t="n">
        <v>1</v>
      </c>
      <c r="FE11" s="2" t="n">
        <v>175</v>
      </c>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t="n">
        <v>2</v>
      </c>
      <c r="GP11" s="2"/>
      <c r="GQ11" s="2" t="n">
        <v>2</v>
      </c>
      <c r="GR11" s="2"/>
      <c r="GS11" s="2"/>
      <c r="GT11" s="2" t="n">
        <v>2</v>
      </c>
      <c r="GU11" s="2"/>
      <c r="GV11" s="2"/>
      <c r="GW11" s="2"/>
      <c r="GX11" s="2"/>
      <c r="GY11" s="2"/>
      <c r="GZ11" s="2"/>
      <c r="HA11" s="2"/>
      <c r="HB11" s="2"/>
      <c r="HC11" s="2"/>
      <c r="HD11" s="2"/>
      <c r="HE11" s="2"/>
    </row>
    <row r="12" customFormat="false" ht="15" hidden="false" customHeight="false" outlineLevel="0" collapsed="false">
      <c r="A12" s="2" t="s">
        <v>262</v>
      </c>
      <c r="B12" s="2" t="n">
        <v>1946</v>
      </c>
      <c r="C12" s="2" t="n">
        <v>3</v>
      </c>
      <c r="D12" s="2" t="n">
        <v>1</v>
      </c>
      <c r="E12" s="2" t="n">
        <v>1</v>
      </c>
      <c r="F12" s="2"/>
      <c r="G12" s="2" t="n">
        <v>1</v>
      </c>
      <c r="H12" s="2" t="n">
        <v>1</v>
      </c>
      <c r="I12" s="2" t="n">
        <v>1</v>
      </c>
      <c r="J12" s="2" t="n">
        <v>1</v>
      </c>
      <c r="K12" s="2" t="n">
        <v>1</v>
      </c>
      <c r="L12" s="2" t="n">
        <v>1</v>
      </c>
      <c r="M12" s="2" t="n">
        <v>1</v>
      </c>
      <c r="N12" s="2" t="n">
        <v>1</v>
      </c>
      <c r="O12" s="2" t="n">
        <v>1</v>
      </c>
      <c r="P12" s="2" t="n">
        <v>1</v>
      </c>
      <c r="Q12" s="2" t="n">
        <v>0</v>
      </c>
      <c r="R12" s="2" t="n">
        <v>1</v>
      </c>
      <c r="S12" s="2" t="n">
        <v>0</v>
      </c>
      <c r="T12" s="2"/>
      <c r="U12" s="2"/>
      <c r="V12" s="2"/>
      <c r="W12" s="2" t="n">
        <v>15</v>
      </c>
      <c r="X12" s="2"/>
      <c r="Y12" s="2"/>
      <c r="Z12" s="2" t="n">
        <v>30</v>
      </c>
      <c r="AA12" s="2"/>
      <c r="AB12" s="2" t="n">
        <v>60</v>
      </c>
      <c r="AC12" s="2" t="n">
        <v>2</v>
      </c>
      <c r="AD12" s="2"/>
      <c r="AE12" s="2" t="n">
        <v>3</v>
      </c>
      <c r="AF12" s="2" t="n">
        <v>3</v>
      </c>
      <c r="AG12" s="2"/>
      <c r="AH12" s="2" t="s">
        <v>263</v>
      </c>
      <c r="AI12" s="2" t="s">
        <v>264</v>
      </c>
      <c r="AJ12" s="2"/>
      <c r="AK12" s="2"/>
      <c r="AL12" s="2"/>
      <c r="AM12" s="2"/>
      <c r="AN12" s="2"/>
      <c r="AO12" s="2"/>
      <c r="AP12" s="2"/>
      <c r="AQ12" s="2"/>
      <c r="AR12" s="2"/>
      <c r="AS12" s="2"/>
      <c r="AT12" s="2" t="s">
        <v>265</v>
      </c>
      <c r="AU12" s="2"/>
      <c r="AV12" s="2"/>
      <c r="AW12" s="2" t="s">
        <v>265</v>
      </c>
      <c r="AX12" s="2"/>
      <c r="AY12" s="2" t="n">
        <v>2</v>
      </c>
      <c r="AZ12" s="2" t="n">
        <v>4</v>
      </c>
      <c r="BA12" s="2"/>
      <c r="BB12" s="2" t="s">
        <v>266</v>
      </c>
      <c r="BC12" s="2" t="n">
        <v>0</v>
      </c>
      <c r="BD12" s="2" t="n">
        <v>0</v>
      </c>
      <c r="BE12" s="2" t="n">
        <v>0</v>
      </c>
      <c r="BF12" s="2" t="n">
        <v>0</v>
      </c>
      <c r="BG12" s="2" t="n">
        <v>1</v>
      </c>
      <c r="BH12" s="2" t="n">
        <v>0</v>
      </c>
      <c r="BI12" s="2"/>
      <c r="BJ12" s="2" t="n">
        <v>2</v>
      </c>
      <c r="BK12" s="2"/>
      <c r="BL12" s="2"/>
      <c r="BM12" s="2"/>
      <c r="BN12" s="2"/>
      <c r="BO12" s="2"/>
      <c r="BP12" s="2"/>
      <c r="BQ12" s="2"/>
      <c r="BR12" s="2"/>
      <c r="BS12" s="2" t="n">
        <v>2</v>
      </c>
      <c r="BT12" s="2" t="n">
        <v>2</v>
      </c>
      <c r="BU12" s="2"/>
      <c r="BV12" s="2" t="n">
        <v>1</v>
      </c>
      <c r="BW12" s="2" t="n">
        <v>2025</v>
      </c>
      <c r="BX12" s="2" t="n">
        <v>1</v>
      </c>
      <c r="BY12" s="2" t="n">
        <v>15</v>
      </c>
      <c r="BZ12" s="2" t="n">
        <v>1</v>
      </c>
      <c r="CA12" s="2" t="n">
        <v>0</v>
      </c>
      <c r="CB12" s="2" t="n">
        <v>1</v>
      </c>
      <c r="CC12" s="2" t="n">
        <v>0</v>
      </c>
      <c r="CD12" s="2" t="n">
        <v>0</v>
      </c>
      <c r="CE12" s="2" t="n">
        <v>1</v>
      </c>
      <c r="CF12" s="2"/>
      <c r="CG12" s="2" t="n">
        <v>1</v>
      </c>
      <c r="CH12" s="2"/>
      <c r="CI12" s="2" t="n">
        <v>67.94</v>
      </c>
      <c r="CJ12" s="2" t="n">
        <v>1</v>
      </c>
      <c r="CK12" s="2" t="n">
        <v>2025</v>
      </c>
      <c r="CL12" s="2" t="n">
        <v>1</v>
      </c>
      <c r="CM12" s="2" t="n">
        <v>5</v>
      </c>
      <c r="CN12" s="2" t="n">
        <v>1</v>
      </c>
      <c r="CO12" s="2" t="n">
        <v>0</v>
      </c>
      <c r="CP12" s="2" t="n">
        <v>1</v>
      </c>
      <c r="CQ12" s="2" t="n">
        <v>0</v>
      </c>
      <c r="CR12" s="2" t="n">
        <v>0</v>
      </c>
      <c r="CS12" s="2" t="n">
        <v>1</v>
      </c>
      <c r="CT12" s="2"/>
      <c r="CU12" s="2" t="n">
        <v>4</v>
      </c>
      <c r="CV12" s="2" t="s">
        <v>267</v>
      </c>
      <c r="CW12" s="2" t="n">
        <v>56.78</v>
      </c>
      <c r="CX12" s="2" t="n">
        <v>2</v>
      </c>
      <c r="CY12" s="2"/>
      <c r="CZ12" s="2"/>
      <c r="DA12" s="2"/>
      <c r="DB12" s="2"/>
      <c r="DC12" s="2"/>
      <c r="DD12" s="2"/>
      <c r="DE12" s="2"/>
      <c r="DF12" s="2"/>
      <c r="DG12" s="2"/>
      <c r="DH12" s="2"/>
      <c r="DI12" s="2"/>
      <c r="DJ12" s="2"/>
      <c r="DK12" s="2"/>
      <c r="DL12" s="2"/>
      <c r="DM12" s="2"/>
      <c r="DN12" s="2"/>
      <c r="DO12" s="2" t="n">
        <v>1</v>
      </c>
      <c r="DP12" s="2" t="n">
        <v>1946</v>
      </c>
      <c r="DQ12" s="2"/>
      <c r="DR12" s="2"/>
      <c r="DS12" s="2"/>
      <c r="DT12" s="2" t="n">
        <v>827</v>
      </c>
      <c r="DU12" s="2" t="n">
        <v>9</v>
      </c>
      <c r="DV12" s="2" t="n">
        <v>19</v>
      </c>
      <c r="DW12" s="2"/>
      <c r="DX12" s="2" t="n">
        <v>15</v>
      </c>
      <c r="DY12" s="2"/>
      <c r="DZ12" s="2"/>
      <c r="EA12" s="2" t="n">
        <v>13.7</v>
      </c>
      <c r="EB12" s="2" t="n">
        <v>8</v>
      </c>
      <c r="EC12" s="2" t="n">
        <v>5</v>
      </c>
      <c r="ED12" s="2" t="n">
        <v>0</v>
      </c>
      <c r="EE12" s="2" t="n">
        <v>1936</v>
      </c>
      <c r="EF12" s="2" t="n">
        <v>2019</v>
      </c>
      <c r="EG12" s="2" t="n">
        <v>216000</v>
      </c>
      <c r="EH12" s="2" t="n">
        <v>0.72</v>
      </c>
      <c r="EI12" s="2"/>
      <c r="EJ12" s="2"/>
      <c r="EK12" s="2"/>
      <c r="EL12" s="2"/>
      <c r="EM12" s="2" t="n">
        <v>1.4</v>
      </c>
      <c r="EN12" s="2"/>
      <c r="EO12" s="2"/>
      <c r="EP12" s="2"/>
      <c r="EQ12" s="2"/>
      <c r="ER12" s="2"/>
      <c r="ES12" s="2"/>
      <c r="ET12" s="2"/>
      <c r="EU12" s="2" t="s">
        <v>268</v>
      </c>
      <c r="EV12" s="2" t="n">
        <v>1</v>
      </c>
      <c r="EW12" s="2" t="n">
        <v>1</v>
      </c>
      <c r="EX12" s="2" t="n">
        <v>1</v>
      </c>
      <c r="EY12" s="2"/>
      <c r="EZ12" s="2" t="n">
        <v>100</v>
      </c>
      <c r="FA12" s="2"/>
      <c r="FB12" s="2"/>
      <c r="FC12" s="2"/>
      <c r="FD12" s="2" t="n">
        <v>1</v>
      </c>
      <c r="FE12" s="2" t="n">
        <v>1946</v>
      </c>
      <c r="FF12" s="2"/>
      <c r="FG12" s="2"/>
      <c r="FH12" s="2"/>
      <c r="FI12" s="2"/>
      <c r="FJ12" s="2"/>
      <c r="FK12" s="2"/>
      <c r="FL12" s="2"/>
      <c r="FM12" s="2"/>
      <c r="FN12" s="2"/>
      <c r="FO12" s="2"/>
      <c r="FP12" s="2" t="n">
        <v>17.7</v>
      </c>
      <c r="FQ12" s="2" t="n">
        <v>12</v>
      </c>
      <c r="FR12" s="2" t="n">
        <v>1</v>
      </c>
      <c r="FS12" s="2" t="n">
        <v>2</v>
      </c>
      <c r="FT12" s="2" t="n">
        <v>0</v>
      </c>
      <c r="FU12" s="2" t="n">
        <v>0</v>
      </c>
      <c r="FV12" s="2" t="n">
        <v>1</v>
      </c>
      <c r="FW12" s="2" t="n">
        <v>0</v>
      </c>
      <c r="FX12" s="2" t="n">
        <v>0</v>
      </c>
      <c r="FY12" s="2" t="n">
        <v>0</v>
      </c>
      <c r="FZ12" s="2" t="s">
        <v>269</v>
      </c>
      <c r="GA12" s="2"/>
      <c r="GB12" s="2"/>
      <c r="GC12" s="2"/>
      <c r="GD12" s="2"/>
      <c r="GE12" s="2"/>
      <c r="GF12" s="2"/>
      <c r="GG12" s="2"/>
      <c r="GH12" s="2"/>
      <c r="GI12" s="2"/>
      <c r="GJ12" s="2"/>
      <c r="GK12" s="2"/>
      <c r="GL12" s="2"/>
      <c r="GM12" s="2"/>
      <c r="GN12" s="2"/>
      <c r="GO12" s="2" t="n">
        <v>2</v>
      </c>
      <c r="GP12" s="2"/>
      <c r="GQ12" s="2" t="n">
        <v>2</v>
      </c>
      <c r="GR12" s="2"/>
      <c r="GS12" s="2"/>
      <c r="GT12" s="2" t="n">
        <v>2</v>
      </c>
      <c r="GU12" s="2"/>
      <c r="GV12" s="2"/>
      <c r="GW12" s="2"/>
      <c r="GX12" s="2"/>
      <c r="GY12" s="2"/>
      <c r="GZ12" s="2"/>
      <c r="HA12" s="2"/>
      <c r="HB12" s="2"/>
      <c r="HC12" s="2"/>
      <c r="HD12" s="2"/>
      <c r="HE12" s="2"/>
    </row>
    <row r="13" customFormat="false" ht="15" hidden="false" customHeight="false" outlineLevel="0" collapsed="false">
      <c r="A13" s="2" t="s">
        <v>270</v>
      </c>
      <c r="B13" s="2" t="n">
        <v>7268</v>
      </c>
      <c r="C13" s="2" t="n">
        <v>4</v>
      </c>
      <c r="D13" s="2" t="n">
        <v>1</v>
      </c>
      <c r="E13" s="2" t="n">
        <v>2</v>
      </c>
      <c r="F13" s="2"/>
      <c r="G13" s="2" t="n">
        <v>1</v>
      </c>
      <c r="H13" s="2" t="n">
        <v>1</v>
      </c>
      <c r="I13" s="2" t="n">
        <v>1</v>
      </c>
      <c r="J13" s="2" t="n">
        <v>1</v>
      </c>
      <c r="K13" s="2" t="n">
        <v>0</v>
      </c>
      <c r="L13" s="2" t="n">
        <v>1</v>
      </c>
      <c r="M13" s="2" t="n">
        <v>1</v>
      </c>
      <c r="N13" s="2" t="n">
        <v>0</v>
      </c>
      <c r="O13" s="2" t="n">
        <v>1</v>
      </c>
      <c r="P13" s="2" t="n">
        <v>1</v>
      </c>
      <c r="Q13" s="2" t="n">
        <v>0</v>
      </c>
      <c r="R13" s="2" t="n">
        <v>1</v>
      </c>
      <c r="S13" s="2" t="n">
        <v>0</v>
      </c>
      <c r="T13" s="2"/>
      <c r="U13" s="2" t="n">
        <v>0.1</v>
      </c>
      <c r="V13" s="2"/>
      <c r="W13" s="2" t="n">
        <v>40</v>
      </c>
      <c r="X13" s="2"/>
      <c r="Y13" s="2"/>
      <c r="Z13" s="2" t="n">
        <v>86</v>
      </c>
      <c r="AA13" s="2"/>
      <c r="AB13" s="2"/>
      <c r="AC13" s="2" t="n">
        <v>1</v>
      </c>
      <c r="AD13" s="2" t="s">
        <v>271</v>
      </c>
      <c r="AE13" s="2" t="n">
        <v>3</v>
      </c>
      <c r="AF13" s="2" t="n">
        <v>3</v>
      </c>
      <c r="AG13" s="2"/>
      <c r="AH13" s="2" t="s">
        <v>272</v>
      </c>
      <c r="AI13" s="2" t="s">
        <v>273</v>
      </c>
      <c r="AJ13" s="2" t="n">
        <v>33.3</v>
      </c>
      <c r="AK13" s="2" t="n">
        <v>18.5</v>
      </c>
      <c r="AL13" s="2"/>
      <c r="AM13" s="2"/>
      <c r="AN13" s="2"/>
      <c r="AO13" s="2" t="n">
        <v>1</v>
      </c>
      <c r="AP13" s="2" t="n">
        <v>1</v>
      </c>
      <c r="AQ13" s="2" t="n">
        <v>1</v>
      </c>
      <c r="AR13" s="2"/>
      <c r="AS13" s="2"/>
      <c r="AT13" s="2" t="s">
        <v>252</v>
      </c>
      <c r="AU13" s="2" t="s">
        <v>250</v>
      </c>
      <c r="AV13" s="2"/>
      <c r="AW13" s="2" t="s">
        <v>252</v>
      </c>
      <c r="AX13" s="2" t="s">
        <v>250</v>
      </c>
      <c r="AY13" s="2" t="n">
        <v>1</v>
      </c>
      <c r="AZ13" s="2" t="n">
        <v>4</v>
      </c>
      <c r="BA13" s="2"/>
      <c r="BB13" s="2" t="s">
        <v>274</v>
      </c>
      <c r="BC13" s="2" t="n">
        <v>0</v>
      </c>
      <c r="BD13" s="2" t="n">
        <v>0</v>
      </c>
      <c r="BE13" s="2" t="n">
        <v>0</v>
      </c>
      <c r="BF13" s="2" t="n">
        <v>0</v>
      </c>
      <c r="BG13" s="2" t="n">
        <v>1</v>
      </c>
      <c r="BH13" s="2" t="n">
        <v>1</v>
      </c>
      <c r="BI13" s="2"/>
      <c r="BJ13" s="2" t="n">
        <v>2</v>
      </c>
      <c r="BK13" s="2"/>
      <c r="BL13" s="2"/>
      <c r="BM13" s="2"/>
      <c r="BN13" s="2"/>
      <c r="BO13" s="2"/>
      <c r="BP13" s="2"/>
      <c r="BQ13" s="2"/>
      <c r="BR13" s="2"/>
      <c r="BS13" s="2" t="n">
        <v>2</v>
      </c>
      <c r="BT13" s="2" t="n">
        <v>2</v>
      </c>
      <c r="BU13" s="2"/>
      <c r="BV13" s="2" t="n">
        <v>2</v>
      </c>
      <c r="BW13" s="2"/>
      <c r="BX13" s="2"/>
      <c r="BY13" s="2"/>
      <c r="BZ13" s="2"/>
      <c r="CA13" s="2"/>
      <c r="CB13" s="2"/>
      <c r="CC13" s="2"/>
      <c r="CD13" s="2"/>
      <c r="CE13" s="2"/>
      <c r="CF13" s="2"/>
      <c r="CG13" s="2"/>
      <c r="CH13" s="2"/>
      <c r="CI13" s="2"/>
      <c r="CJ13" s="2" t="n">
        <v>1</v>
      </c>
      <c r="CK13" s="2" t="n">
        <v>2025</v>
      </c>
      <c r="CL13" s="2" t="n">
        <v>1</v>
      </c>
      <c r="CM13" s="2" t="n">
        <v>4.1</v>
      </c>
      <c r="CN13" s="2" t="n">
        <v>1</v>
      </c>
      <c r="CO13" s="2" t="n">
        <v>1</v>
      </c>
      <c r="CP13" s="2" t="n">
        <v>1</v>
      </c>
      <c r="CQ13" s="2" t="n">
        <v>0</v>
      </c>
      <c r="CR13" s="2" t="n">
        <v>0</v>
      </c>
      <c r="CS13" s="2" t="n">
        <v>1</v>
      </c>
      <c r="CT13" s="2"/>
      <c r="CU13" s="2" t="n">
        <v>4</v>
      </c>
      <c r="CV13" s="2" t="s">
        <v>275</v>
      </c>
      <c r="CW13" s="2" t="n">
        <v>77.29</v>
      </c>
      <c r="CX13" s="2" t="n">
        <v>2</v>
      </c>
      <c r="CY13" s="2"/>
      <c r="CZ13" s="2"/>
      <c r="DA13" s="2"/>
      <c r="DB13" s="2"/>
      <c r="DC13" s="2"/>
      <c r="DD13" s="2"/>
      <c r="DE13" s="2"/>
      <c r="DF13" s="2"/>
      <c r="DG13" s="2"/>
      <c r="DH13" s="2"/>
      <c r="DI13" s="2"/>
      <c r="DJ13" s="2"/>
      <c r="DK13" s="2"/>
      <c r="DL13" s="2"/>
      <c r="DM13" s="2"/>
      <c r="DN13" s="2"/>
      <c r="DO13" s="2" t="n">
        <v>2</v>
      </c>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t="n">
        <v>1</v>
      </c>
      <c r="FE13" s="2" t="n">
        <v>7500</v>
      </c>
      <c r="FF13" s="2" t="n">
        <v>1000</v>
      </c>
      <c r="FG13" s="2" t="n">
        <v>35000</v>
      </c>
      <c r="FH13" s="2" t="n">
        <v>1500</v>
      </c>
      <c r="FI13" s="2" t="n">
        <v>2964</v>
      </c>
      <c r="FJ13" s="2" t="n">
        <v>8</v>
      </c>
      <c r="FK13" s="2" t="n">
        <v>710</v>
      </c>
      <c r="FL13" s="2"/>
      <c r="FM13" s="2"/>
      <c r="FN13" s="2"/>
      <c r="FO13" s="2" t="n">
        <v>3920445</v>
      </c>
      <c r="FP13" s="2"/>
      <c r="FQ13" s="2" t="n">
        <v>26</v>
      </c>
      <c r="FR13" s="2" t="n">
        <v>6</v>
      </c>
      <c r="FS13" s="2" t="n">
        <v>8</v>
      </c>
      <c r="FT13" s="2" t="n">
        <v>0</v>
      </c>
      <c r="FU13" s="2" t="n">
        <v>0</v>
      </c>
      <c r="FV13" s="2" t="n">
        <v>0</v>
      </c>
      <c r="FW13" s="2" t="n">
        <v>0</v>
      </c>
      <c r="FX13" s="2" t="n">
        <v>1</v>
      </c>
      <c r="FY13" s="2" t="n">
        <v>0</v>
      </c>
      <c r="FZ13" s="2"/>
      <c r="GA13" s="2" t="n">
        <v>1986</v>
      </c>
      <c r="GB13" s="2" t="n">
        <v>2001</v>
      </c>
      <c r="GC13" s="2" t="n">
        <v>2.25</v>
      </c>
      <c r="GD13" s="2" t="n">
        <v>6.75</v>
      </c>
      <c r="GE13" s="2" t="n">
        <v>1095</v>
      </c>
      <c r="GF13" s="2" t="n">
        <v>4</v>
      </c>
      <c r="GG13" s="2" t="n">
        <v>4</v>
      </c>
      <c r="GH13" s="2"/>
      <c r="GI13" s="2" t="s">
        <v>252</v>
      </c>
      <c r="GJ13" s="2" t="s">
        <v>252</v>
      </c>
      <c r="GK13" s="2" t="n">
        <v>2</v>
      </c>
      <c r="GL13" s="2" t="n">
        <v>2</v>
      </c>
      <c r="GM13" s="2" t="s">
        <v>247</v>
      </c>
      <c r="GN13" s="2"/>
      <c r="GO13" s="2" t="n">
        <v>1</v>
      </c>
      <c r="GP13" s="2" t="s">
        <v>276</v>
      </c>
      <c r="GQ13" s="2" t="n">
        <v>2</v>
      </c>
      <c r="GR13" s="2"/>
      <c r="GS13" s="2"/>
      <c r="GT13" s="2" t="n">
        <v>2</v>
      </c>
      <c r="GU13" s="2"/>
      <c r="GV13" s="2"/>
      <c r="GW13" s="2"/>
      <c r="GX13" s="2"/>
      <c r="GY13" s="2"/>
      <c r="GZ13" s="2"/>
      <c r="HA13" s="2"/>
      <c r="HB13" s="2"/>
      <c r="HC13" s="2"/>
      <c r="HD13" s="2"/>
      <c r="HE13" s="2"/>
    </row>
    <row r="14" customFormat="false" ht="15" hidden="false" customHeight="false" outlineLevel="0" collapsed="false">
      <c r="A14" s="2" t="s">
        <v>277</v>
      </c>
      <c r="B14" s="2" t="n">
        <v>428</v>
      </c>
      <c r="C14" s="2" t="n">
        <v>1</v>
      </c>
      <c r="D14" s="2" t="n">
        <v>1</v>
      </c>
      <c r="E14" s="2" t="n">
        <v>2</v>
      </c>
      <c r="F14" s="2"/>
      <c r="G14" s="2" t="n">
        <v>1</v>
      </c>
      <c r="H14" s="2" t="n">
        <v>1</v>
      </c>
      <c r="I14" s="2" t="n">
        <v>0</v>
      </c>
      <c r="J14" s="2" t="n">
        <v>0</v>
      </c>
      <c r="K14" s="2" t="n">
        <v>0</v>
      </c>
      <c r="L14" s="2" t="n">
        <v>0</v>
      </c>
      <c r="M14" s="2" t="n">
        <v>2</v>
      </c>
      <c r="N14" s="2" t="n">
        <v>0</v>
      </c>
      <c r="O14" s="2" t="n">
        <v>1</v>
      </c>
      <c r="P14" s="2" t="n">
        <v>1</v>
      </c>
      <c r="Q14" s="2" t="n">
        <v>1</v>
      </c>
      <c r="R14" s="2" t="n">
        <v>1</v>
      </c>
      <c r="S14" s="2" t="n">
        <v>1</v>
      </c>
      <c r="T14" s="2" t="s">
        <v>278</v>
      </c>
      <c r="U14" s="2" t="n">
        <v>0.015</v>
      </c>
      <c r="V14" s="2" t="n">
        <v>0.015</v>
      </c>
      <c r="W14" s="2" t="n">
        <v>0</v>
      </c>
      <c r="X14" s="2"/>
      <c r="Y14" s="2" t="n">
        <v>0.015</v>
      </c>
      <c r="Z14" s="2" t="n">
        <v>105</v>
      </c>
      <c r="AA14" s="2"/>
      <c r="AB14" s="2"/>
      <c r="AC14" s="2" t="n">
        <v>1</v>
      </c>
      <c r="AD14" s="2" t="s">
        <v>279</v>
      </c>
      <c r="AE14" s="2" t="n">
        <v>3</v>
      </c>
      <c r="AF14" s="2" t="n">
        <v>2</v>
      </c>
      <c r="AG14" s="2"/>
      <c r="AH14" s="2"/>
      <c r="AI14" s="2"/>
      <c r="AJ14" s="2" t="n">
        <v>0.075</v>
      </c>
      <c r="AK14" s="2"/>
      <c r="AL14" s="2"/>
      <c r="AM14" s="2"/>
      <c r="AN14" s="2" t="n">
        <v>1</v>
      </c>
      <c r="AO14" s="2" t="n">
        <v>1</v>
      </c>
      <c r="AP14" s="2" t="n">
        <v>1</v>
      </c>
      <c r="AQ14" s="2"/>
      <c r="AR14" s="2" t="n">
        <v>1</v>
      </c>
      <c r="AS14" s="2" t="n">
        <v>2023</v>
      </c>
      <c r="AT14" s="2" t="s">
        <v>221</v>
      </c>
      <c r="AU14" s="2" t="s">
        <v>280</v>
      </c>
      <c r="AV14" s="2" t="n">
        <v>2023</v>
      </c>
      <c r="AW14" s="2" t="s">
        <v>221</v>
      </c>
      <c r="AX14" s="2" t="s">
        <v>280</v>
      </c>
      <c r="AY14" s="2" t="n">
        <v>2</v>
      </c>
      <c r="AZ14" s="2" t="n">
        <v>3</v>
      </c>
      <c r="BA14" s="2"/>
      <c r="BB14" s="2"/>
      <c r="BC14" s="2" t="n">
        <v>0</v>
      </c>
      <c r="BD14" s="2" t="n">
        <v>0</v>
      </c>
      <c r="BE14" s="2" t="n">
        <v>0</v>
      </c>
      <c r="BF14" s="2" t="n">
        <v>0</v>
      </c>
      <c r="BG14" s="2" t="n">
        <v>1</v>
      </c>
      <c r="BH14" s="2" t="n">
        <v>0</v>
      </c>
      <c r="BI14" s="2"/>
      <c r="BJ14" s="2" t="n">
        <v>1</v>
      </c>
      <c r="BK14" s="2" t="n">
        <v>0</v>
      </c>
      <c r="BL14" s="2" t="n">
        <v>0</v>
      </c>
      <c r="BM14" s="2" t="n">
        <v>1</v>
      </c>
      <c r="BN14" s="2" t="n">
        <v>0</v>
      </c>
      <c r="BO14" s="2" t="n">
        <v>0</v>
      </c>
      <c r="BP14" s="2" t="n">
        <v>0</v>
      </c>
      <c r="BQ14" s="2" t="n">
        <v>0</v>
      </c>
      <c r="BR14" s="2" t="s">
        <v>281</v>
      </c>
      <c r="BS14" s="2" t="n">
        <v>2</v>
      </c>
      <c r="BT14" s="2"/>
      <c r="BU14" s="2" t="n">
        <v>2</v>
      </c>
      <c r="BV14" s="2" t="n">
        <v>2</v>
      </c>
      <c r="BW14" s="2"/>
      <c r="BX14" s="2"/>
      <c r="BY14" s="2"/>
      <c r="BZ14" s="2"/>
      <c r="CA14" s="2"/>
      <c r="CB14" s="2"/>
      <c r="CC14" s="2"/>
      <c r="CD14" s="2"/>
      <c r="CE14" s="2"/>
      <c r="CF14" s="2"/>
      <c r="CG14" s="2"/>
      <c r="CH14" s="2"/>
      <c r="CI14" s="2"/>
      <c r="CJ14" s="2" t="n">
        <v>2</v>
      </c>
      <c r="CK14" s="2"/>
      <c r="CL14" s="2"/>
      <c r="CM14" s="2"/>
      <c r="CN14" s="2"/>
      <c r="CO14" s="2"/>
      <c r="CP14" s="2"/>
      <c r="CQ14" s="2"/>
      <c r="CR14" s="2"/>
      <c r="CS14" s="2"/>
      <c r="CT14" s="2"/>
      <c r="CU14" s="2"/>
      <c r="CV14" s="2"/>
      <c r="CW14" s="2"/>
      <c r="CX14" s="2" t="n">
        <v>1</v>
      </c>
      <c r="CY14" s="2" t="n">
        <v>3</v>
      </c>
      <c r="CZ14" s="2" t="n">
        <v>1</v>
      </c>
      <c r="DA14" s="2" t="n">
        <v>0.4</v>
      </c>
      <c r="DB14" s="2" t="n">
        <v>3</v>
      </c>
      <c r="DC14" s="2" t="n">
        <v>0</v>
      </c>
      <c r="DD14" s="2" t="n">
        <v>1</v>
      </c>
      <c r="DE14" s="2" t="n">
        <v>0</v>
      </c>
      <c r="DF14" s="2" t="n">
        <v>0</v>
      </c>
      <c r="DG14" s="2" t="n">
        <v>0</v>
      </c>
      <c r="DH14" s="2" t="n">
        <v>0</v>
      </c>
      <c r="DI14" s="2"/>
      <c r="DJ14" s="2" t="n">
        <v>1</v>
      </c>
      <c r="DK14" s="2"/>
      <c r="DL14" s="2" t="n">
        <v>2</v>
      </c>
      <c r="DM14" s="2"/>
      <c r="DN14" s="2" t="n">
        <v>5</v>
      </c>
      <c r="DO14" s="2" t="n">
        <v>1</v>
      </c>
      <c r="DP14" s="2" t="n">
        <v>259</v>
      </c>
      <c r="DQ14" s="2" t="n">
        <v>0</v>
      </c>
      <c r="DR14" s="2" t="n">
        <v>259</v>
      </c>
      <c r="DS14" s="2" t="n">
        <v>0</v>
      </c>
      <c r="DT14" s="2" t="n">
        <v>223</v>
      </c>
      <c r="DU14" s="2" t="n">
        <v>0</v>
      </c>
      <c r="DV14" s="2" t="n">
        <v>30</v>
      </c>
      <c r="DW14" s="2" t="n">
        <v>1</v>
      </c>
      <c r="DX14" s="2" t="n">
        <v>6</v>
      </c>
      <c r="DY14" s="2" t="n">
        <v>1</v>
      </c>
      <c r="DZ14" s="2" t="n">
        <v>62517</v>
      </c>
      <c r="EA14" s="2" t="n">
        <v>4</v>
      </c>
      <c r="EB14" s="2" t="n">
        <v>2</v>
      </c>
      <c r="EC14" s="2" t="n">
        <v>1</v>
      </c>
      <c r="ED14" s="2" t="n">
        <v>2</v>
      </c>
      <c r="EE14" s="2"/>
      <c r="EF14" s="2" t="n">
        <v>2016</v>
      </c>
      <c r="EG14" s="2"/>
      <c r="EH14" s="2"/>
      <c r="EI14" s="2"/>
      <c r="EJ14" s="2" t="n">
        <v>0.61</v>
      </c>
      <c r="EK14" s="2"/>
      <c r="EL14" s="2" t="n">
        <v>1</v>
      </c>
      <c r="EM14" s="2" t="n">
        <v>52</v>
      </c>
      <c r="EN14" s="2" t="n">
        <v>1</v>
      </c>
      <c r="EO14" s="2" t="n">
        <v>1</v>
      </c>
      <c r="EP14" s="2" t="n">
        <v>1</v>
      </c>
      <c r="EQ14" s="2" t="n">
        <v>1</v>
      </c>
      <c r="ER14" s="2"/>
      <c r="ES14" s="2"/>
      <c r="ET14" s="2"/>
      <c r="EU14" s="2" t="s">
        <v>282</v>
      </c>
      <c r="EV14" s="2" t="n">
        <v>2</v>
      </c>
      <c r="EW14" s="2" t="n">
        <v>1</v>
      </c>
      <c r="EX14" s="2" t="n">
        <v>1</v>
      </c>
      <c r="EY14" s="2"/>
      <c r="EZ14" s="2" t="n">
        <v>100</v>
      </c>
      <c r="FA14" s="2"/>
      <c r="FB14" s="2"/>
      <c r="FC14" s="2"/>
      <c r="FD14" s="2" t="n">
        <v>2</v>
      </c>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t="n">
        <v>1</v>
      </c>
      <c r="GU14" s="2" t="n">
        <v>223</v>
      </c>
      <c r="GV14" s="2" t="n">
        <v>1</v>
      </c>
      <c r="GW14" s="2" t="n">
        <v>30</v>
      </c>
      <c r="GX14" s="2" t="n">
        <v>1</v>
      </c>
      <c r="GY14" s="2" t="n">
        <v>6</v>
      </c>
      <c r="GZ14" s="2" t="n">
        <v>1</v>
      </c>
      <c r="HA14" s="2" t="n">
        <v>4</v>
      </c>
      <c r="HB14" s="2"/>
      <c r="HC14" s="2"/>
      <c r="HD14" s="2"/>
      <c r="HE14" s="2"/>
    </row>
    <row r="15" customFormat="false" ht="15" hidden="false" customHeight="false" outlineLevel="0" collapsed="false">
      <c r="A15" s="2" t="s">
        <v>283</v>
      </c>
      <c r="B15" s="2" t="n">
        <v>10473</v>
      </c>
      <c r="C15" s="2" t="n">
        <v>4</v>
      </c>
      <c r="D15" s="2" t="n">
        <v>2</v>
      </c>
      <c r="E15" s="2" t="n">
        <v>4</v>
      </c>
      <c r="F15" s="2" t="s">
        <v>284</v>
      </c>
      <c r="G15" s="2" t="n">
        <v>0</v>
      </c>
      <c r="H15" s="2" t="n">
        <v>1</v>
      </c>
      <c r="I15" s="2" t="n">
        <v>1</v>
      </c>
      <c r="J15" s="2" t="n">
        <v>1</v>
      </c>
      <c r="K15" s="2" t="n">
        <v>1</v>
      </c>
      <c r="L15" s="2" t="n">
        <v>1</v>
      </c>
      <c r="M15" s="2" t="n">
        <v>2</v>
      </c>
      <c r="N15" s="2" t="n">
        <v>1</v>
      </c>
      <c r="O15" s="2" t="n">
        <v>1</v>
      </c>
      <c r="P15" s="2" t="n">
        <v>1</v>
      </c>
      <c r="Q15" s="2" t="n">
        <v>0</v>
      </c>
      <c r="R15" s="2" t="n">
        <v>1</v>
      </c>
      <c r="S15" s="2" t="n">
        <v>0</v>
      </c>
      <c r="T15" s="2"/>
      <c r="U15" s="2" t="n">
        <v>0.05</v>
      </c>
      <c r="V15" s="2"/>
      <c r="W15" s="2" t="n">
        <v>10</v>
      </c>
      <c r="X15" s="2"/>
      <c r="Y15" s="2"/>
      <c r="Z15" s="2" t="n">
        <v>10</v>
      </c>
      <c r="AA15" s="2"/>
      <c r="AB15" s="2"/>
      <c r="AC15" s="2" t="n">
        <v>1</v>
      </c>
      <c r="AD15" s="2" t="s">
        <v>285</v>
      </c>
      <c r="AE15" s="2" t="n">
        <v>3</v>
      </c>
      <c r="AF15" s="2" t="n">
        <v>2</v>
      </c>
      <c r="AG15" s="2"/>
      <c r="AH15" s="2"/>
      <c r="AI15" s="2"/>
      <c r="AJ15" s="2"/>
      <c r="AK15" s="2"/>
      <c r="AL15" s="2"/>
      <c r="AM15" s="2"/>
      <c r="AN15" s="2"/>
      <c r="AO15" s="2"/>
      <c r="AP15" s="2" t="n">
        <v>2</v>
      </c>
      <c r="AQ15" s="2" t="n">
        <v>2</v>
      </c>
      <c r="AR15" s="2" t="n">
        <v>2</v>
      </c>
      <c r="AS15" s="2" t="n">
        <v>2021</v>
      </c>
      <c r="AT15" s="2" t="s">
        <v>286</v>
      </c>
      <c r="AU15" s="2" t="s">
        <v>286</v>
      </c>
      <c r="AV15" s="2" t="n">
        <v>2025</v>
      </c>
      <c r="AW15" s="2" t="s">
        <v>287</v>
      </c>
      <c r="AX15" s="2" t="s">
        <v>287</v>
      </c>
      <c r="AY15" s="2" t="n">
        <v>1</v>
      </c>
      <c r="AZ15" s="2"/>
      <c r="BA15" s="2"/>
      <c r="BB15" s="2"/>
      <c r="BC15" s="2" t="n">
        <v>0</v>
      </c>
      <c r="BD15" s="2" t="n">
        <v>0</v>
      </c>
      <c r="BE15" s="2" t="n">
        <v>0</v>
      </c>
      <c r="BF15" s="2" t="n">
        <v>0</v>
      </c>
      <c r="BG15" s="2" t="n">
        <v>1</v>
      </c>
      <c r="BH15" s="2" t="n">
        <v>1</v>
      </c>
      <c r="BI15" s="2"/>
      <c r="BJ15" s="2" t="n">
        <v>1</v>
      </c>
      <c r="BK15" s="2" t="n">
        <v>1</v>
      </c>
      <c r="BL15" s="2" t="n">
        <v>0</v>
      </c>
      <c r="BM15" s="2" t="n">
        <v>1</v>
      </c>
      <c r="BN15" s="2" t="n">
        <v>0</v>
      </c>
      <c r="BO15" s="2" t="n">
        <v>1</v>
      </c>
      <c r="BP15" s="2" t="n">
        <v>0</v>
      </c>
      <c r="BQ15" s="2" t="n">
        <v>0</v>
      </c>
      <c r="BR15" s="2" t="s">
        <v>288</v>
      </c>
      <c r="BS15" s="2" t="n">
        <v>2</v>
      </c>
      <c r="BT15" s="2" t="n">
        <v>2</v>
      </c>
      <c r="BU15" s="2" t="n">
        <v>2</v>
      </c>
      <c r="BV15" s="2" t="n">
        <v>1</v>
      </c>
      <c r="BW15" s="2" t="n">
        <v>2025</v>
      </c>
      <c r="BX15" s="2" t="n">
        <v>1</v>
      </c>
      <c r="BY15" s="2" t="n">
        <v>8</v>
      </c>
      <c r="BZ15" s="2" t="n">
        <v>0</v>
      </c>
      <c r="CA15" s="2" t="n">
        <v>1</v>
      </c>
      <c r="CB15" s="2" t="n">
        <v>0</v>
      </c>
      <c r="CC15" s="2" t="n">
        <v>0</v>
      </c>
      <c r="CD15" s="2" t="n">
        <v>0</v>
      </c>
      <c r="CE15" s="2" t="n">
        <v>0</v>
      </c>
      <c r="CF15" s="2"/>
      <c r="CG15" s="2" t="n">
        <v>1</v>
      </c>
      <c r="CH15" s="2"/>
      <c r="CI15" s="2" t="n">
        <v>36.19</v>
      </c>
      <c r="CJ15" s="2" t="n">
        <v>1</v>
      </c>
      <c r="CK15" s="2" t="n">
        <v>2025</v>
      </c>
      <c r="CL15" s="2" t="n">
        <v>1</v>
      </c>
      <c r="CM15" s="2" t="n">
        <v>8</v>
      </c>
      <c r="CN15" s="2" t="n">
        <v>0</v>
      </c>
      <c r="CO15" s="2" t="n">
        <v>1</v>
      </c>
      <c r="CP15" s="2" t="n">
        <v>0</v>
      </c>
      <c r="CQ15" s="2" t="n">
        <v>0</v>
      </c>
      <c r="CR15" s="2" t="n">
        <v>0</v>
      </c>
      <c r="CS15" s="2" t="n">
        <v>0</v>
      </c>
      <c r="CT15" s="2"/>
      <c r="CU15" s="2" t="n">
        <v>1</v>
      </c>
      <c r="CV15" s="2"/>
      <c r="CW15" s="2" t="n">
        <v>37.36</v>
      </c>
      <c r="CX15" s="2" t="n">
        <v>1</v>
      </c>
      <c r="CY15" s="2" t="n">
        <v>7</v>
      </c>
      <c r="CZ15" s="2" t="n">
        <v>1</v>
      </c>
      <c r="DA15" s="2" t="n">
        <v>8</v>
      </c>
      <c r="DB15" s="2" t="n">
        <v>3</v>
      </c>
      <c r="DC15" s="2" t="n">
        <v>0</v>
      </c>
      <c r="DD15" s="2" t="n">
        <v>1</v>
      </c>
      <c r="DE15" s="2" t="n">
        <v>0</v>
      </c>
      <c r="DF15" s="2" t="n">
        <v>0</v>
      </c>
      <c r="DG15" s="2" t="n">
        <v>0</v>
      </c>
      <c r="DH15" s="2" t="n">
        <v>0</v>
      </c>
      <c r="DI15" s="2"/>
      <c r="DJ15" s="2" t="n">
        <v>1</v>
      </c>
      <c r="DK15" s="2"/>
      <c r="DL15" s="2" t="n">
        <v>1</v>
      </c>
      <c r="DM15" s="2" t="s">
        <v>289</v>
      </c>
      <c r="DN15" s="2" t="n">
        <v>13.29</v>
      </c>
      <c r="DO15" s="2" t="n">
        <v>1</v>
      </c>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t="n">
        <v>1</v>
      </c>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t="n">
        <v>2</v>
      </c>
      <c r="GP15" s="2"/>
      <c r="GQ15" s="2"/>
      <c r="GR15" s="2"/>
      <c r="GS15" s="2"/>
      <c r="GT15" s="2" t="n">
        <v>1</v>
      </c>
      <c r="GU15" s="2"/>
      <c r="GV15" s="2"/>
      <c r="GW15" s="2"/>
      <c r="GX15" s="2"/>
      <c r="GY15" s="2"/>
      <c r="GZ15" s="2"/>
      <c r="HA15" s="2"/>
      <c r="HB15" s="2"/>
      <c r="HC15" s="2"/>
      <c r="HD15" s="2"/>
      <c r="HE15" s="2"/>
    </row>
    <row r="16" customFormat="false" ht="15" hidden="false" customHeight="false" outlineLevel="0" collapsed="false">
      <c r="A16" s="2" t="s">
        <v>290</v>
      </c>
      <c r="B16" s="2" t="n">
        <v>1598</v>
      </c>
      <c r="C16" s="2" t="n">
        <v>3</v>
      </c>
      <c r="D16" s="2" t="n">
        <v>1</v>
      </c>
      <c r="E16" s="2" t="n">
        <v>1</v>
      </c>
      <c r="F16" s="2"/>
      <c r="G16" s="2" t="n">
        <v>1</v>
      </c>
      <c r="H16" s="2" t="n">
        <v>1</v>
      </c>
      <c r="I16" s="2" t="n">
        <v>1</v>
      </c>
      <c r="J16" s="2" t="n">
        <v>1</v>
      </c>
      <c r="K16" s="2" t="n">
        <v>1</v>
      </c>
      <c r="L16" s="2" t="n">
        <v>1</v>
      </c>
      <c r="M16" s="2" t="n">
        <v>1</v>
      </c>
      <c r="N16" s="2" t="n">
        <v>0</v>
      </c>
      <c r="O16" s="2" t="n">
        <v>1</v>
      </c>
      <c r="P16" s="2" t="n">
        <v>1</v>
      </c>
      <c r="Q16" s="2" t="n">
        <v>0</v>
      </c>
      <c r="R16" s="2" t="n">
        <v>1</v>
      </c>
      <c r="S16" s="2" t="n">
        <v>0</v>
      </c>
      <c r="T16" s="2"/>
      <c r="U16" s="2" t="n">
        <v>0.1</v>
      </c>
      <c r="V16" s="2"/>
      <c r="W16" s="2" t="n">
        <v>2</v>
      </c>
      <c r="X16" s="2"/>
      <c r="Y16" s="2"/>
      <c r="Z16" s="2" t="n">
        <v>90</v>
      </c>
      <c r="AA16" s="2"/>
      <c r="AB16" s="2"/>
      <c r="AC16" s="2" t="n">
        <v>1</v>
      </c>
      <c r="AD16" s="2" t="s">
        <v>291</v>
      </c>
      <c r="AE16" s="2" t="n">
        <v>3</v>
      </c>
      <c r="AF16" s="2" t="n">
        <v>3</v>
      </c>
      <c r="AG16" s="2" t="n">
        <v>60</v>
      </c>
      <c r="AH16" s="2"/>
      <c r="AI16" s="2" t="s">
        <v>292</v>
      </c>
      <c r="AJ16" s="2"/>
      <c r="AK16" s="2"/>
      <c r="AL16" s="2"/>
      <c r="AM16" s="2"/>
      <c r="AN16" s="2"/>
      <c r="AO16" s="2" t="n">
        <v>1</v>
      </c>
      <c r="AP16" s="2" t="n">
        <v>2</v>
      </c>
      <c r="AQ16" s="2" t="n">
        <v>2</v>
      </c>
      <c r="AR16" s="2"/>
      <c r="AS16" s="2" t="n">
        <v>2024</v>
      </c>
      <c r="AT16" s="2" t="s">
        <v>293</v>
      </c>
      <c r="AU16" s="2" t="s">
        <v>268</v>
      </c>
      <c r="AV16" s="2" t="n">
        <v>2024</v>
      </c>
      <c r="AW16" s="2" t="s">
        <v>294</v>
      </c>
      <c r="AX16" s="2" t="s">
        <v>250</v>
      </c>
      <c r="AY16" s="2" t="n">
        <v>2</v>
      </c>
      <c r="AZ16" s="2" t="n">
        <v>4</v>
      </c>
      <c r="BA16" s="2"/>
      <c r="BB16" s="2" t="s">
        <v>295</v>
      </c>
      <c r="BC16" s="2" t="n">
        <v>0</v>
      </c>
      <c r="BD16" s="2" t="n">
        <v>1</v>
      </c>
      <c r="BE16" s="2" t="n">
        <v>0</v>
      </c>
      <c r="BF16" s="2" t="n">
        <v>0</v>
      </c>
      <c r="BG16" s="2" t="n">
        <v>1</v>
      </c>
      <c r="BH16" s="2" t="n">
        <v>0</v>
      </c>
      <c r="BI16" s="2"/>
      <c r="BJ16" s="2" t="n">
        <v>2</v>
      </c>
      <c r="BK16" s="2" t="n">
        <v>0</v>
      </c>
      <c r="BL16" s="2" t="n">
        <v>0</v>
      </c>
      <c r="BM16" s="2" t="n">
        <v>0</v>
      </c>
      <c r="BN16" s="2" t="n">
        <v>0</v>
      </c>
      <c r="BO16" s="2" t="n">
        <v>0</v>
      </c>
      <c r="BP16" s="2" t="n">
        <v>1</v>
      </c>
      <c r="BQ16" s="2" t="n">
        <v>0</v>
      </c>
      <c r="BR16" s="2"/>
      <c r="BS16" s="2" t="n">
        <v>1</v>
      </c>
      <c r="BT16" s="2" t="n">
        <v>1</v>
      </c>
      <c r="BU16" s="2"/>
      <c r="BV16" s="2" t="n">
        <v>1</v>
      </c>
      <c r="BW16" s="2" t="n">
        <v>2025</v>
      </c>
      <c r="BX16" s="2" t="n">
        <v>1</v>
      </c>
      <c r="BY16" s="2" t="n">
        <v>30</v>
      </c>
      <c r="BZ16" s="2" t="n">
        <v>1</v>
      </c>
      <c r="CA16" s="2" t="n">
        <v>1</v>
      </c>
      <c r="CB16" s="2" t="n">
        <v>1</v>
      </c>
      <c r="CC16" s="2" t="n">
        <v>0</v>
      </c>
      <c r="CD16" s="2" t="n">
        <v>0</v>
      </c>
      <c r="CE16" s="2" t="n">
        <v>1</v>
      </c>
      <c r="CF16" s="2"/>
      <c r="CG16" s="2" t="n">
        <v>1</v>
      </c>
      <c r="CH16" s="2"/>
      <c r="CI16" s="2" t="n">
        <v>56</v>
      </c>
      <c r="CJ16" s="2" t="n">
        <v>1</v>
      </c>
      <c r="CK16" s="2" t="n">
        <v>2025</v>
      </c>
      <c r="CL16" s="2" t="n">
        <v>1</v>
      </c>
      <c r="CM16" s="2" t="n">
        <v>3</v>
      </c>
      <c r="CN16" s="2" t="n">
        <v>0</v>
      </c>
      <c r="CO16" s="2" t="n">
        <v>1</v>
      </c>
      <c r="CP16" s="2" t="n">
        <v>0</v>
      </c>
      <c r="CQ16" s="2" t="n">
        <v>0</v>
      </c>
      <c r="CR16" s="2" t="n">
        <v>0</v>
      </c>
      <c r="CS16" s="2" t="n">
        <v>0</v>
      </c>
      <c r="CT16" s="2"/>
      <c r="CU16" s="2" t="n">
        <v>4</v>
      </c>
      <c r="CV16" s="2" t="s">
        <v>296</v>
      </c>
      <c r="CW16" s="2" t="n">
        <v>54.57</v>
      </c>
      <c r="CX16" s="2" t="n">
        <v>2</v>
      </c>
      <c r="CY16" s="2"/>
      <c r="CZ16" s="2"/>
      <c r="DA16" s="2"/>
      <c r="DB16" s="2"/>
      <c r="DC16" s="2"/>
      <c r="DD16" s="2"/>
      <c r="DE16" s="2"/>
      <c r="DF16" s="2"/>
      <c r="DG16" s="2"/>
      <c r="DH16" s="2"/>
      <c r="DI16" s="2"/>
      <c r="DJ16" s="2"/>
      <c r="DK16" s="2"/>
      <c r="DL16" s="2"/>
      <c r="DM16" s="2"/>
      <c r="DN16" s="2"/>
      <c r="DO16" s="2" t="n">
        <v>1</v>
      </c>
      <c r="DP16" s="2" t="n">
        <v>1600</v>
      </c>
      <c r="DQ16" s="2" t="n">
        <v>60</v>
      </c>
      <c r="DR16" s="2"/>
      <c r="DS16" s="2"/>
      <c r="DT16" s="2" t="n">
        <v>800</v>
      </c>
      <c r="DU16" s="2" t="n">
        <v>50</v>
      </c>
      <c r="DV16" s="2" t="n">
        <v>4</v>
      </c>
      <c r="DW16" s="2" t="n">
        <v>2</v>
      </c>
      <c r="DX16" s="2"/>
      <c r="DY16" s="2"/>
      <c r="DZ16" s="2" t="n">
        <v>55000</v>
      </c>
      <c r="EA16" s="2" t="n">
        <v>8</v>
      </c>
      <c r="EB16" s="2" t="n">
        <v>1</v>
      </c>
      <c r="EC16" s="2" t="n">
        <v>2</v>
      </c>
      <c r="ED16" s="2" t="n">
        <v>8</v>
      </c>
      <c r="EE16" s="2" t="n">
        <v>1981</v>
      </c>
      <c r="EF16" s="2" t="n">
        <v>2024</v>
      </c>
      <c r="EG16" s="2" t="n">
        <v>500000000</v>
      </c>
      <c r="EH16" s="2" t="n">
        <v>2.2</v>
      </c>
      <c r="EI16" s="2" t="n">
        <v>0.8</v>
      </c>
      <c r="EJ16" s="2" t="n">
        <v>0.67</v>
      </c>
      <c r="EK16" s="2" t="n">
        <v>1.1</v>
      </c>
      <c r="EL16" s="2"/>
      <c r="EM16" s="2" t="n">
        <v>1.3</v>
      </c>
      <c r="EN16" s="2"/>
      <c r="EO16" s="2"/>
      <c r="EP16" s="2"/>
      <c r="EQ16" s="2"/>
      <c r="ER16" s="2"/>
      <c r="ES16" s="2"/>
      <c r="ET16" s="2"/>
      <c r="EU16" s="2" t="s">
        <v>297</v>
      </c>
      <c r="EV16" s="2" t="n">
        <v>1</v>
      </c>
      <c r="EW16" s="2" t="n">
        <v>1</v>
      </c>
      <c r="EX16" s="2" t="n">
        <v>1</v>
      </c>
      <c r="EY16" s="2"/>
      <c r="EZ16" s="2" t="n">
        <v>95</v>
      </c>
      <c r="FA16" s="2"/>
      <c r="FB16" s="2" t="n">
        <v>5</v>
      </c>
      <c r="FC16" s="2"/>
      <c r="FD16" s="2" t="n">
        <v>1</v>
      </c>
      <c r="FE16" s="2" t="n">
        <v>1650</v>
      </c>
      <c r="FF16" s="2"/>
      <c r="FG16" s="2"/>
      <c r="FH16" s="2"/>
      <c r="FI16" s="2" t="n">
        <v>823</v>
      </c>
      <c r="FJ16" s="2"/>
      <c r="FK16" s="2" t="n">
        <v>4</v>
      </c>
      <c r="FL16" s="2"/>
      <c r="FM16" s="2"/>
      <c r="FN16" s="2"/>
      <c r="FO16" s="2" t="n">
        <v>55000</v>
      </c>
      <c r="FP16" s="2" t="n">
        <v>8</v>
      </c>
      <c r="FQ16" s="2" t="n">
        <v>2</v>
      </c>
      <c r="FR16" s="2" t="n">
        <v>2</v>
      </c>
      <c r="FS16" s="2" t="n">
        <v>2</v>
      </c>
      <c r="FT16" s="2" t="n">
        <v>0</v>
      </c>
      <c r="FU16" s="2" t="n">
        <v>0</v>
      </c>
      <c r="FV16" s="2" t="n">
        <v>0</v>
      </c>
      <c r="FW16" s="2" t="n">
        <v>0</v>
      </c>
      <c r="FX16" s="2" t="n">
        <v>1</v>
      </c>
      <c r="FY16" s="2" t="n">
        <v>0</v>
      </c>
      <c r="FZ16" s="2"/>
      <c r="GA16" s="2" t="n">
        <v>1983</v>
      </c>
      <c r="GB16" s="2" t="n">
        <v>2023</v>
      </c>
      <c r="GC16" s="2" t="n">
        <v>1.4</v>
      </c>
      <c r="GD16" s="2" t="n">
        <v>1.4</v>
      </c>
      <c r="GE16" s="2" t="n">
        <v>90</v>
      </c>
      <c r="GF16" s="2" t="n">
        <v>1.4</v>
      </c>
      <c r="GG16" s="2" t="n">
        <v>0.4</v>
      </c>
      <c r="GH16" s="2" t="n">
        <v>65</v>
      </c>
      <c r="GI16" s="2" t="s">
        <v>298</v>
      </c>
      <c r="GJ16" s="2" t="s">
        <v>298</v>
      </c>
      <c r="GK16" s="2" t="n">
        <v>1</v>
      </c>
      <c r="GL16" s="2" t="n">
        <v>2</v>
      </c>
      <c r="GM16" s="2"/>
      <c r="GN16" s="2"/>
      <c r="GO16" s="2" t="n">
        <v>2</v>
      </c>
      <c r="GP16" s="2"/>
      <c r="GQ16" s="2" t="n">
        <v>2</v>
      </c>
      <c r="GR16" s="2"/>
      <c r="GS16" s="2"/>
      <c r="GT16" s="2" t="n">
        <v>2</v>
      </c>
      <c r="GU16" s="2"/>
      <c r="GV16" s="2"/>
      <c r="GW16" s="2"/>
      <c r="GX16" s="2"/>
      <c r="GY16" s="2"/>
      <c r="GZ16" s="2"/>
      <c r="HA16" s="2"/>
      <c r="HB16" s="2"/>
      <c r="HC16" s="2"/>
      <c r="HD16" s="2"/>
      <c r="HE16" s="2"/>
    </row>
    <row r="17" customFormat="false" ht="15" hidden="false" customHeight="false" outlineLevel="0" collapsed="false">
      <c r="A17" s="2" t="s">
        <v>299</v>
      </c>
      <c r="B17" s="2" t="n">
        <v>3214</v>
      </c>
      <c r="C17" s="2" t="n">
        <v>3</v>
      </c>
      <c r="D17" s="2" t="n">
        <v>4</v>
      </c>
      <c r="E17" s="2" t="n">
        <v>2</v>
      </c>
      <c r="F17" s="2"/>
      <c r="G17" s="2" t="n">
        <v>1</v>
      </c>
      <c r="H17" s="2" t="n">
        <v>1</v>
      </c>
      <c r="I17" s="2" t="n">
        <v>1</v>
      </c>
      <c r="J17" s="2" t="n">
        <v>0</v>
      </c>
      <c r="K17" s="2" t="n">
        <v>0</v>
      </c>
      <c r="L17" s="2" t="n">
        <v>0</v>
      </c>
      <c r="M17" s="2" t="n">
        <v>1</v>
      </c>
      <c r="N17" s="2" t="n">
        <v>1</v>
      </c>
      <c r="O17" s="2" t="n">
        <v>1</v>
      </c>
      <c r="P17" s="2" t="n">
        <v>0</v>
      </c>
      <c r="Q17" s="2" t="n">
        <v>1</v>
      </c>
      <c r="R17" s="2" t="n">
        <v>0</v>
      </c>
      <c r="S17" s="2" t="n">
        <v>0</v>
      </c>
      <c r="T17" s="2"/>
      <c r="U17" s="2" t="n">
        <v>0</v>
      </c>
      <c r="V17" s="2" t="n">
        <v>0.09</v>
      </c>
      <c r="W17" s="2"/>
      <c r="X17" s="2" t="n">
        <v>0</v>
      </c>
      <c r="Y17" s="2" t="n">
        <v>0.09</v>
      </c>
      <c r="Z17" s="2" t="n">
        <v>49</v>
      </c>
      <c r="AA17" s="2"/>
      <c r="AB17" s="2"/>
      <c r="AC17" s="2" t="n">
        <v>2</v>
      </c>
      <c r="AD17" s="2"/>
      <c r="AE17" s="2" t="n">
        <v>3</v>
      </c>
      <c r="AF17" s="2" t="n">
        <v>3</v>
      </c>
      <c r="AG17" s="2"/>
      <c r="AH17" s="2" t="s">
        <v>300</v>
      </c>
      <c r="AI17" s="2" t="s">
        <v>301</v>
      </c>
      <c r="AJ17" s="2"/>
      <c r="AK17" s="2" t="n">
        <v>25</v>
      </c>
      <c r="AL17" s="2"/>
      <c r="AM17" s="2" t="n">
        <v>1</v>
      </c>
      <c r="AN17" s="2"/>
      <c r="AO17" s="2" t="n">
        <v>1</v>
      </c>
      <c r="AP17" s="2" t="n">
        <v>1</v>
      </c>
      <c r="AQ17" s="2" t="n">
        <v>1</v>
      </c>
      <c r="AR17" s="2" t="n">
        <v>1</v>
      </c>
      <c r="AS17" s="2" t="n">
        <v>2021</v>
      </c>
      <c r="AT17" s="2" t="s">
        <v>286</v>
      </c>
      <c r="AU17" s="2" t="s">
        <v>218</v>
      </c>
      <c r="AV17" s="2" t="n">
        <v>2020</v>
      </c>
      <c r="AW17" s="2" t="s">
        <v>242</v>
      </c>
      <c r="AX17" s="2" t="s">
        <v>242</v>
      </c>
      <c r="AY17" s="2" t="n">
        <v>1</v>
      </c>
      <c r="AZ17" s="2" t="n">
        <v>2</v>
      </c>
      <c r="BA17" s="2"/>
      <c r="BB17" s="2"/>
      <c r="BC17" s="2" t="n">
        <v>0</v>
      </c>
      <c r="BD17" s="2" t="n">
        <v>1</v>
      </c>
      <c r="BE17" s="2" t="n">
        <v>0</v>
      </c>
      <c r="BF17" s="2" t="n">
        <v>0</v>
      </c>
      <c r="BG17" s="2" t="n">
        <v>0</v>
      </c>
      <c r="BH17" s="2" t="n">
        <v>0</v>
      </c>
      <c r="BI17" s="2"/>
      <c r="BJ17" s="2" t="n">
        <v>2</v>
      </c>
      <c r="BK17" s="2" t="n">
        <v>0</v>
      </c>
      <c r="BL17" s="2" t="n">
        <v>0</v>
      </c>
      <c r="BM17" s="2" t="n">
        <v>1</v>
      </c>
      <c r="BN17" s="2" t="n">
        <v>0</v>
      </c>
      <c r="BO17" s="2" t="n">
        <v>0</v>
      </c>
      <c r="BP17" s="2" t="n">
        <v>0</v>
      </c>
      <c r="BQ17" s="2" t="n">
        <v>0</v>
      </c>
      <c r="BR17" s="2" t="s">
        <v>207</v>
      </c>
      <c r="BS17" s="2" t="n">
        <v>2</v>
      </c>
      <c r="BT17" s="2" t="n">
        <v>2</v>
      </c>
      <c r="BU17" s="2"/>
      <c r="BV17" s="2" t="n">
        <v>1</v>
      </c>
      <c r="BW17" s="2" t="n">
        <v>2025</v>
      </c>
      <c r="BX17" s="2" t="n">
        <v>1</v>
      </c>
      <c r="BY17" s="2" t="n">
        <v>0.03</v>
      </c>
      <c r="BZ17" s="2" t="n">
        <v>0</v>
      </c>
      <c r="CA17" s="2" t="n">
        <v>0</v>
      </c>
      <c r="CB17" s="2" t="n">
        <v>0</v>
      </c>
      <c r="CC17" s="2" t="n">
        <v>1</v>
      </c>
      <c r="CD17" s="2" t="n">
        <v>0</v>
      </c>
      <c r="CE17" s="2" t="n">
        <v>0</v>
      </c>
      <c r="CF17" s="2" t="s">
        <v>302</v>
      </c>
      <c r="CG17" s="2" t="n">
        <v>5</v>
      </c>
      <c r="CH17" s="2" t="s">
        <v>303</v>
      </c>
      <c r="CI17" s="2" t="n">
        <v>33.36</v>
      </c>
      <c r="CJ17" s="2" t="n">
        <v>1</v>
      </c>
      <c r="CK17" s="2" t="n">
        <v>2025</v>
      </c>
      <c r="CL17" s="2" t="n">
        <v>1</v>
      </c>
      <c r="CM17" s="2" t="n">
        <v>0.075</v>
      </c>
      <c r="CN17" s="2" t="n">
        <v>0</v>
      </c>
      <c r="CO17" s="2" t="n">
        <v>0</v>
      </c>
      <c r="CP17" s="2" t="n">
        <v>0</v>
      </c>
      <c r="CQ17" s="2" t="n">
        <v>1</v>
      </c>
      <c r="CR17" s="2" t="n">
        <v>0</v>
      </c>
      <c r="CS17" s="2" t="n">
        <v>0</v>
      </c>
      <c r="CT17" s="2" t="s">
        <v>304</v>
      </c>
      <c r="CU17" s="2" t="n">
        <v>4</v>
      </c>
      <c r="CV17" s="2" t="s">
        <v>305</v>
      </c>
      <c r="CW17" s="2" t="n">
        <v>76.22</v>
      </c>
      <c r="CX17" s="2" t="n">
        <v>2</v>
      </c>
      <c r="CY17" s="2"/>
      <c r="CZ17" s="2"/>
      <c r="DA17" s="2"/>
      <c r="DB17" s="2"/>
      <c r="DC17" s="2"/>
      <c r="DD17" s="2"/>
      <c r="DE17" s="2"/>
      <c r="DF17" s="2"/>
      <c r="DG17" s="2"/>
      <c r="DH17" s="2"/>
      <c r="DI17" s="2"/>
      <c r="DJ17" s="2"/>
      <c r="DK17" s="2"/>
      <c r="DL17" s="2"/>
      <c r="DM17" s="2"/>
      <c r="DN17" s="2"/>
      <c r="DO17" s="2" t="n">
        <v>1</v>
      </c>
      <c r="DP17" s="2" t="n">
        <v>3214</v>
      </c>
      <c r="DQ17" s="2" t="n">
        <v>0</v>
      </c>
      <c r="DR17" s="2" t="n">
        <v>3214</v>
      </c>
      <c r="DS17" s="2" t="n">
        <v>0</v>
      </c>
      <c r="DT17" s="2" t="n">
        <v>1276</v>
      </c>
      <c r="DU17" s="2" t="n">
        <v>0</v>
      </c>
      <c r="DV17" s="2" t="n">
        <v>105</v>
      </c>
      <c r="DW17" s="2" t="n">
        <v>1</v>
      </c>
      <c r="DX17" s="2" t="n">
        <v>0</v>
      </c>
      <c r="DY17" s="2" t="n">
        <v>1</v>
      </c>
      <c r="DZ17" s="2" t="n">
        <v>116000000</v>
      </c>
      <c r="EA17" s="2"/>
      <c r="EB17" s="2" t="n">
        <v>0</v>
      </c>
      <c r="EC17" s="2" t="n">
        <v>1</v>
      </c>
      <c r="ED17" s="2" t="n">
        <v>2.5</v>
      </c>
      <c r="EE17" s="2" t="n">
        <v>2006</v>
      </c>
      <c r="EF17" s="2"/>
      <c r="EG17" s="2" t="n">
        <v>46</v>
      </c>
      <c r="EH17" s="2" t="n">
        <v>12</v>
      </c>
      <c r="EI17" s="2"/>
      <c r="EJ17" s="2"/>
      <c r="EK17" s="2"/>
      <c r="EL17" s="2" t="n">
        <v>1</v>
      </c>
      <c r="EM17" s="2" t="n">
        <v>5.7</v>
      </c>
      <c r="EN17" s="2" t="n">
        <v>1</v>
      </c>
      <c r="EO17" s="2" t="n">
        <v>1</v>
      </c>
      <c r="EP17" s="2" t="n">
        <v>1</v>
      </c>
      <c r="EQ17" s="2" t="n">
        <v>1</v>
      </c>
      <c r="ER17" s="2"/>
      <c r="ES17" s="2"/>
      <c r="ET17" s="2"/>
      <c r="EU17" s="2" t="s">
        <v>306</v>
      </c>
      <c r="EV17" s="2" t="n">
        <v>1</v>
      </c>
      <c r="EW17" s="2" t="n">
        <v>1</v>
      </c>
      <c r="EX17" s="2" t="n">
        <v>1</v>
      </c>
      <c r="EY17" s="2"/>
      <c r="EZ17" s="2"/>
      <c r="FA17" s="2" t="n">
        <v>100</v>
      </c>
      <c r="FB17" s="2"/>
      <c r="FC17" s="2" t="s">
        <v>306</v>
      </c>
      <c r="FD17" s="2" t="n">
        <v>1</v>
      </c>
      <c r="FE17" s="2" t="n">
        <v>3214</v>
      </c>
      <c r="FF17" s="2" t="n">
        <v>0</v>
      </c>
      <c r="FG17" s="2" t="n">
        <v>3214</v>
      </c>
      <c r="FH17" s="2" t="n">
        <v>0</v>
      </c>
      <c r="FI17" s="2" t="n">
        <v>1276</v>
      </c>
      <c r="FJ17" s="2" t="n">
        <v>1</v>
      </c>
      <c r="FK17" s="2" t="n">
        <v>105</v>
      </c>
      <c r="FL17" s="2" t="n">
        <v>1</v>
      </c>
      <c r="FM17" s="2" t="n">
        <v>0</v>
      </c>
      <c r="FN17" s="2" t="n">
        <v>1</v>
      </c>
      <c r="FO17" s="2"/>
      <c r="FP17" s="2"/>
      <c r="FQ17" s="2" t="n">
        <v>4</v>
      </c>
      <c r="FR17" s="2" t="n">
        <v>2</v>
      </c>
      <c r="FS17" s="2" t="n">
        <v>2</v>
      </c>
      <c r="FT17" s="2" t="n">
        <v>0</v>
      </c>
      <c r="FU17" s="2" t="n">
        <v>0</v>
      </c>
      <c r="FV17" s="2" t="n">
        <v>1</v>
      </c>
      <c r="FW17" s="2" t="n">
        <v>0</v>
      </c>
      <c r="FX17" s="2" t="n">
        <v>1</v>
      </c>
      <c r="FY17" s="2" t="n">
        <v>1</v>
      </c>
      <c r="FZ17" s="2" t="s">
        <v>307</v>
      </c>
      <c r="GA17" s="2"/>
      <c r="GB17" s="2"/>
      <c r="GC17" s="2"/>
      <c r="GD17" s="2"/>
      <c r="GE17" s="2"/>
      <c r="GF17" s="2"/>
      <c r="GG17" s="2"/>
      <c r="GH17" s="2"/>
      <c r="GI17" s="2"/>
      <c r="GJ17" s="2"/>
      <c r="GK17" s="2" t="n">
        <v>1</v>
      </c>
      <c r="GL17" s="2" t="n">
        <v>2</v>
      </c>
      <c r="GM17" s="2" t="s">
        <v>246</v>
      </c>
      <c r="GN17" s="2"/>
      <c r="GO17" s="2" t="n">
        <v>2</v>
      </c>
      <c r="GP17" s="2"/>
      <c r="GQ17" s="2" t="n">
        <v>1</v>
      </c>
      <c r="GR17" s="2" t="n">
        <v>3</v>
      </c>
      <c r="GS17" s="2"/>
      <c r="GT17" s="2" t="n">
        <v>1</v>
      </c>
      <c r="GU17" s="2"/>
      <c r="GV17" s="2" t="n">
        <v>6</v>
      </c>
      <c r="GW17" s="2"/>
      <c r="GX17" s="2" t="n">
        <v>4</v>
      </c>
      <c r="GY17" s="2"/>
      <c r="GZ17" s="2" t="n">
        <v>3</v>
      </c>
      <c r="HA17" s="2"/>
      <c r="HB17" s="2"/>
      <c r="HC17" s="2" t="n">
        <v>4200</v>
      </c>
      <c r="HD17" s="2"/>
      <c r="HE17" s="2"/>
    </row>
    <row r="18" customFormat="false" ht="15" hidden="false" customHeight="false" outlineLevel="0" collapsed="false">
      <c r="A18" s="2" t="s">
        <v>308</v>
      </c>
      <c r="B18" s="2" t="n">
        <v>165</v>
      </c>
      <c r="C18" s="2" t="n">
        <v>1</v>
      </c>
      <c r="D18" s="2" t="n">
        <v>12</v>
      </c>
      <c r="E18" s="2" t="n">
        <v>1</v>
      </c>
      <c r="F18" s="2"/>
      <c r="G18" s="2" t="n">
        <v>1</v>
      </c>
      <c r="H18" s="2" t="n">
        <v>1</v>
      </c>
      <c r="I18" s="2" t="n">
        <v>1</v>
      </c>
      <c r="J18" s="2" t="n">
        <v>0</v>
      </c>
      <c r="K18" s="2" t="n">
        <v>1</v>
      </c>
      <c r="L18" s="2" t="n">
        <v>1</v>
      </c>
      <c r="M18" s="2" t="n">
        <v>2</v>
      </c>
      <c r="N18" s="2" t="n">
        <v>0</v>
      </c>
      <c r="O18" s="2" t="n">
        <v>1</v>
      </c>
      <c r="P18" s="2" t="n">
        <v>1</v>
      </c>
      <c r="Q18" s="2" t="n">
        <v>0</v>
      </c>
      <c r="R18" s="2" t="n">
        <v>0</v>
      </c>
      <c r="S18" s="2" t="n">
        <v>0</v>
      </c>
      <c r="T18" s="2"/>
      <c r="U18" s="2" t="n">
        <v>15</v>
      </c>
      <c r="V18" s="2"/>
      <c r="W18" s="2" t="n">
        <v>30</v>
      </c>
      <c r="X18" s="2"/>
      <c r="Y18" s="2"/>
      <c r="Z18" s="2" t="n">
        <v>2</v>
      </c>
      <c r="AA18" s="2"/>
      <c r="AB18" s="2"/>
      <c r="AC18" s="2" t="n">
        <v>2</v>
      </c>
      <c r="AD18" s="2"/>
      <c r="AE18" s="2" t="n">
        <v>3</v>
      </c>
      <c r="AF18" s="2" t="n">
        <v>2</v>
      </c>
      <c r="AG18" s="2" t="n">
        <v>30</v>
      </c>
      <c r="AH18" s="2" t="s">
        <v>309</v>
      </c>
      <c r="AI18" s="2"/>
      <c r="AJ18" s="2"/>
      <c r="AK18" s="2"/>
      <c r="AL18" s="2"/>
      <c r="AM18" s="2"/>
      <c r="AN18" s="2"/>
      <c r="AO18" s="2" t="n">
        <v>1</v>
      </c>
      <c r="AP18" s="2"/>
      <c r="AQ18" s="2"/>
      <c r="AR18" s="2"/>
      <c r="AS18" s="2" t="n">
        <v>2022</v>
      </c>
      <c r="AT18" s="2"/>
      <c r="AU18" s="2"/>
      <c r="AV18" s="2"/>
      <c r="AW18" s="2"/>
      <c r="AX18" s="2"/>
      <c r="AY18" s="2" t="n">
        <v>2</v>
      </c>
      <c r="AZ18" s="2" t="n">
        <v>2</v>
      </c>
      <c r="BA18" s="2"/>
      <c r="BB18" s="2"/>
      <c r="BC18" s="2" t="n">
        <v>1</v>
      </c>
      <c r="BD18" s="2" t="n">
        <v>1</v>
      </c>
      <c r="BE18" s="2" t="n">
        <v>0</v>
      </c>
      <c r="BF18" s="2" t="n">
        <v>0</v>
      </c>
      <c r="BG18" s="2" t="n">
        <v>0</v>
      </c>
      <c r="BH18" s="2" t="n">
        <v>0</v>
      </c>
      <c r="BI18" s="2"/>
      <c r="BJ18" s="2" t="n">
        <v>2</v>
      </c>
      <c r="BK18" s="2"/>
      <c r="BL18" s="2"/>
      <c r="BM18" s="2"/>
      <c r="BN18" s="2"/>
      <c r="BO18" s="2"/>
      <c r="BP18" s="2"/>
      <c r="BQ18" s="2"/>
      <c r="BR18" s="2"/>
      <c r="BS18" s="2"/>
      <c r="BT18" s="2"/>
      <c r="BU18" s="2"/>
      <c r="BV18" s="2" t="n">
        <v>1</v>
      </c>
      <c r="BW18" s="2" t="n">
        <v>2025</v>
      </c>
      <c r="BX18" s="2" t="n">
        <v>1</v>
      </c>
      <c r="BY18" s="2" t="n">
        <v>3</v>
      </c>
      <c r="BZ18" s="2" t="n">
        <v>0</v>
      </c>
      <c r="CA18" s="2" t="n">
        <v>0</v>
      </c>
      <c r="CB18" s="2" t="n">
        <v>0</v>
      </c>
      <c r="CC18" s="2" t="n">
        <v>0</v>
      </c>
      <c r="CD18" s="2" t="n">
        <v>0</v>
      </c>
      <c r="CE18" s="2" t="n">
        <v>1</v>
      </c>
      <c r="CF18" s="2"/>
      <c r="CG18" s="2" t="n">
        <v>5</v>
      </c>
      <c r="CH18" s="2" t="s">
        <v>310</v>
      </c>
      <c r="CI18" s="2" t="n">
        <v>48.5</v>
      </c>
      <c r="CJ18" s="2" t="n">
        <v>1</v>
      </c>
      <c r="CK18" s="2"/>
      <c r="CL18" s="2"/>
      <c r="CM18" s="2"/>
      <c r="CN18" s="2"/>
      <c r="CO18" s="2"/>
      <c r="CP18" s="2"/>
      <c r="CQ18" s="2"/>
      <c r="CR18" s="2"/>
      <c r="CS18" s="2"/>
      <c r="CT18" s="2"/>
      <c r="CU18" s="2" t="n">
        <v>1</v>
      </c>
      <c r="CV18" s="2"/>
      <c r="CW18" s="2" t="n">
        <v>32.5</v>
      </c>
      <c r="CX18" s="2" t="n">
        <v>2</v>
      </c>
      <c r="CY18" s="2"/>
      <c r="CZ18" s="2"/>
      <c r="DA18" s="2"/>
      <c r="DB18" s="2"/>
      <c r="DC18" s="2"/>
      <c r="DD18" s="2"/>
      <c r="DE18" s="2"/>
      <c r="DF18" s="2"/>
      <c r="DG18" s="2"/>
      <c r="DH18" s="2"/>
      <c r="DI18" s="2"/>
      <c r="DJ18" s="2"/>
      <c r="DK18" s="2"/>
      <c r="DL18" s="2"/>
      <c r="DM18" s="2"/>
      <c r="DN18" s="2"/>
      <c r="DO18" s="2" t="n">
        <v>1</v>
      </c>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row>
    <row r="19" customFormat="false" ht="15" hidden="false" customHeight="false" outlineLevel="0" collapsed="false">
      <c r="A19" s="2" t="s">
        <v>311</v>
      </c>
      <c r="B19" s="2" t="n">
        <v>459</v>
      </c>
      <c r="C19" s="2" t="n">
        <v>1</v>
      </c>
      <c r="D19" s="2" t="n">
        <v>3</v>
      </c>
      <c r="E19" s="2" t="n">
        <v>4</v>
      </c>
      <c r="F19" s="2" t="s">
        <v>312</v>
      </c>
      <c r="G19" s="2" t="n">
        <v>1</v>
      </c>
      <c r="H19" s="2" t="n">
        <v>1</v>
      </c>
      <c r="I19" s="2" t="n">
        <v>1</v>
      </c>
      <c r="J19" s="2" t="n">
        <v>0</v>
      </c>
      <c r="K19" s="2" t="n">
        <v>1</v>
      </c>
      <c r="L19" s="2" t="n">
        <v>0</v>
      </c>
      <c r="M19" s="2" t="n">
        <v>2</v>
      </c>
      <c r="N19" s="2" t="n">
        <v>1</v>
      </c>
      <c r="O19" s="2" t="n">
        <v>1</v>
      </c>
      <c r="P19" s="2" t="n">
        <v>1</v>
      </c>
      <c r="Q19" s="2" t="n">
        <v>0</v>
      </c>
      <c r="R19" s="2" t="n">
        <v>1</v>
      </c>
      <c r="S19" s="2" t="n">
        <v>0</v>
      </c>
      <c r="T19" s="2"/>
      <c r="U19" s="2" t="n">
        <v>30</v>
      </c>
      <c r="V19" s="2"/>
      <c r="W19" s="2" t="n">
        <v>3</v>
      </c>
      <c r="X19" s="2"/>
      <c r="Y19" s="2"/>
      <c r="Z19" s="2" t="n">
        <v>15</v>
      </c>
      <c r="AA19" s="2" t="n">
        <v>400</v>
      </c>
      <c r="AB19" s="2" t="n">
        <v>30</v>
      </c>
      <c r="AC19" s="2" t="n">
        <v>2</v>
      </c>
      <c r="AD19" s="2"/>
      <c r="AE19" s="2" t="n">
        <v>3</v>
      </c>
      <c r="AF19" s="2" t="n">
        <v>2</v>
      </c>
      <c r="AG19" s="2"/>
      <c r="AH19" s="2" t="s">
        <v>313</v>
      </c>
      <c r="AI19" s="2"/>
      <c r="AJ19" s="2" t="n">
        <v>100</v>
      </c>
      <c r="AK19" s="2"/>
      <c r="AL19" s="2"/>
      <c r="AM19" s="2"/>
      <c r="AN19" s="2" t="n">
        <v>1</v>
      </c>
      <c r="AO19" s="2"/>
      <c r="AP19" s="2" t="n">
        <v>1</v>
      </c>
      <c r="AQ19" s="2"/>
      <c r="AR19" s="2" t="n">
        <v>1</v>
      </c>
      <c r="AS19" s="2"/>
      <c r="AT19" s="2"/>
      <c r="AU19" s="2"/>
      <c r="AV19" s="2"/>
      <c r="AW19" s="2"/>
      <c r="AX19" s="2"/>
      <c r="AY19" s="2" t="n">
        <v>2</v>
      </c>
      <c r="AZ19" s="2" t="n">
        <v>2</v>
      </c>
      <c r="BA19" s="2"/>
      <c r="BB19" s="2"/>
      <c r="BC19" s="2"/>
      <c r="BD19" s="2"/>
      <c r="BE19" s="2"/>
      <c r="BF19" s="2"/>
      <c r="BG19" s="2"/>
      <c r="BH19" s="2"/>
      <c r="BI19" s="2"/>
      <c r="BJ19" s="2" t="n">
        <v>2</v>
      </c>
      <c r="BK19" s="2"/>
      <c r="BL19" s="2"/>
      <c r="BM19" s="2"/>
      <c r="BN19" s="2"/>
      <c r="BO19" s="2"/>
      <c r="BP19" s="2"/>
      <c r="BQ19" s="2"/>
      <c r="BR19" s="2"/>
      <c r="BS19" s="2"/>
      <c r="BT19" s="2"/>
      <c r="BU19" s="2"/>
      <c r="BV19" s="2" t="n">
        <v>1</v>
      </c>
      <c r="BW19" s="2" t="n">
        <v>2025</v>
      </c>
      <c r="BX19" s="2" t="n">
        <v>1</v>
      </c>
      <c r="BY19" s="2" t="n">
        <v>0.5</v>
      </c>
      <c r="BZ19" s="2" t="n">
        <v>1</v>
      </c>
      <c r="CA19" s="2" t="n">
        <v>0</v>
      </c>
      <c r="CB19" s="2" t="n">
        <v>0</v>
      </c>
      <c r="CC19" s="2" t="n">
        <v>0</v>
      </c>
      <c r="CD19" s="2" t="n">
        <v>0</v>
      </c>
      <c r="CE19" s="2" t="n">
        <v>0</v>
      </c>
      <c r="CF19" s="2"/>
      <c r="CG19" s="2" t="n">
        <v>1</v>
      </c>
      <c r="CH19" s="2"/>
      <c r="CI19" s="2" t="n">
        <v>167.68</v>
      </c>
      <c r="CJ19" s="2" t="n">
        <v>2</v>
      </c>
      <c r="CK19" s="2"/>
      <c r="CL19" s="2"/>
      <c r="CM19" s="2"/>
      <c r="CN19" s="2"/>
      <c r="CO19" s="2"/>
      <c r="CP19" s="2"/>
      <c r="CQ19" s="2"/>
      <c r="CR19" s="2"/>
      <c r="CS19" s="2"/>
      <c r="CT19" s="2"/>
      <c r="CU19" s="2"/>
      <c r="CV19" s="2"/>
      <c r="CW19" s="2"/>
      <c r="CX19" s="2" t="n">
        <v>2</v>
      </c>
      <c r="CY19" s="2"/>
      <c r="CZ19" s="2"/>
      <c r="DA19" s="2"/>
      <c r="DB19" s="2"/>
      <c r="DC19" s="2"/>
      <c r="DD19" s="2"/>
      <c r="DE19" s="2"/>
      <c r="DF19" s="2"/>
      <c r="DG19" s="2"/>
      <c r="DH19" s="2"/>
      <c r="DI19" s="2"/>
      <c r="DJ19" s="2"/>
      <c r="DK19" s="2"/>
      <c r="DL19" s="2"/>
      <c r="DM19" s="2"/>
      <c r="DN19" s="2"/>
      <c r="DO19" s="2" t="n">
        <v>1</v>
      </c>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row>
    <row r="20" customFormat="false" ht="15" hidden="false" customHeight="false" outlineLevel="0" collapsed="false">
      <c r="A20" s="2" t="s">
        <v>314</v>
      </c>
      <c r="B20" s="2" t="n">
        <v>1822</v>
      </c>
      <c r="C20" s="2" t="n">
        <v>3</v>
      </c>
      <c r="D20" s="2" t="n">
        <v>11</v>
      </c>
      <c r="E20" s="2" t="n">
        <v>1</v>
      </c>
      <c r="F20" s="2"/>
      <c r="G20" s="2" t="n">
        <v>1</v>
      </c>
      <c r="H20" s="2" t="n">
        <v>1</v>
      </c>
      <c r="I20" s="2" t="n">
        <v>1</v>
      </c>
      <c r="J20" s="2" t="n">
        <v>0</v>
      </c>
      <c r="K20" s="2" t="n">
        <v>1</v>
      </c>
      <c r="L20" s="2" t="n">
        <v>0</v>
      </c>
      <c r="M20" s="2" t="n">
        <v>1</v>
      </c>
      <c r="N20" s="2" t="n">
        <v>1</v>
      </c>
      <c r="O20" s="2" t="n">
        <v>1</v>
      </c>
      <c r="P20" s="2" t="n">
        <v>1</v>
      </c>
      <c r="Q20" s="2" t="n">
        <v>0</v>
      </c>
      <c r="R20" s="2" t="n">
        <v>1</v>
      </c>
      <c r="S20" s="2" t="n">
        <v>0</v>
      </c>
      <c r="T20" s="2"/>
      <c r="U20" s="2"/>
      <c r="V20" s="2"/>
      <c r="W20" s="2" t="n">
        <v>30</v>
      </c>
      <c r="X20" s="2"/>
      <c r="Y20" s="2"/>
      <c r="Z20" s="2" t="n">
        <v>30</v>
      </c>
      <c r="AA20" s="2"/>
      <c r="AB20" s="2" t="n">
        <v>30</v>
      </c>
      <c r="AC20" s="2" t="n">
        <v>1</v>
      </c>
      <c r="AD20" s="2" t="s">
        <v>315</v>
      </c>
      <c r="AE20" s="2" t="n">
        <v>2</v>
      </c>
      <c r="AF20" s="2"/>
      <c r="AG20" s="2" t="n">
        <v>0</v>
      </c>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row>
    <row r="21" customFormat="false" ht="15" hidden="false" customHeight="false" outlineLevel="0" collapsed="false">
      <c r="A21" s="2" t="s">
        <v>316</v>
      </c>
      <c r="B21" s="2" t="n">
        <v>1643</v>
      </c>
      <c r="C21" s="2" t="n">
        <v>3</v>
      </c>
      <c r="D21" s="2" t="n">
        <v>7</v>
      </c>
      <c r="E21" s="2" t="n">
        <v>1</v>
      </c>
      <c r="F21" s="2"/>
      <c r="G21" s="2" t="n">
        <v>1</v>
      </c>
      <c r="H21" s="2" t="n">
        <v>1</v>
      </c>
      <c r="I21" s="2" t="n">
        <v>1</v>
      </c>
      <c r="J21" s="2" t="n">
        <v>0</v>
      </c>
      <c r="K21" s="2" t="n">
        <v>0</v>
      </c>
      <c r="L21" s="2" t="n">
        <v>0</v>
      </c>
      <c r="M21" s="2" t="n">
        <v>1</v>
      </c>
      <c r="N21" s="2" t="n">
        <v>1</v>
      </c>
      <c r="O21" s="2" t="n">
        <v>1</v>
      </c>
      <c r="P21" s="2" t="n">
        <v>1</v>
      </c>
      <c r="Q21" s="2" t="n">
        <v>0</v>
      </c>
      <c r="R21" s="2" t="n">
        <v>1</v>
      </c>
      <c r="S21" s="2" t="n">
        <v>0</v>
      </c>
      <c r="T21" s="2"/>
      <c r="U21" s="2" t="n">
        <v>10</v>
      </c>
      <c r="V21" s="2"/>
      <c r="W21" s="2" t="n">
        <v>30</v>
      </c>
      <c r="X21" s="2"/>
      <c r="Y21" s="2"/>
      <c r="Z21" s="2"/>
      <c r="AA21" s="2" t="n">
        <v>50</v>
      </c>
      <c r="AB21" s="2"/>
      <c r="AC21" s="2" t="n">
        <v>1</v>
      </c>
      <c r="AD21" s="2" t="s">
        <v>317</v>
      </c>
      <c r="AE21" s="2" t="n">
        <v>3</v>
      </c>
      <c r="AF21" s="2" t="n">
        <v>1</v>
      </c>
      <c r="AG21" s="2"/>
      <c r="AH21" s="2" t="s">
        <v>318</v>
      </c>
      <c r="AI21" s="2" t="s">
        <v>319</v>
      </c>
      <c r="AJ21" s="2" t="n">
        <v>0</v>
      </c>
      <c r="AK21" s="2" t="n">
        <v>23</v>
      </c>
      <c r="AL21" s="2" t="n">
        <v>0</v>
      </c>
      <c r="AM21" s="2"/>
      <c r="AN21" s="2"/>
      <c r="AO21" s="2"/>
      <c r="AP21" s="2" t="n">
        <v>1</v>
      </c>
      <c r="AQ21" s="2" t="n">
        <v>1</v>
      </c>
      <c r="AR21" s="2" t="n">
        <v>1</v>
      </c>
      <c r="AS21" s="2" t="n">
        <v>2023</v>
      </c>
      <c r="AT21" s="2" t="s">
        <v>320</v>
      </c>
      <c r="AU21" s="2"/>
      <c r="AV21" s="2" t="n">
        <v>2015</v>
      </c>
      <c r="AW21" s="2" t="s">
        <v>320</v>
      </c>
      <c r="AX21" s="2"/>
      <c r="AY21" s="2" t="n">
        <v>2</v>
      </c>
      <c r="AZ21" s="2" t="n">
        <v>4</v>
      </c>
      <c r="BA21" s="2"/>
      <c r="BB21" s="2" t="s">
        <v>321</v>
      </c>
      <c r="BC21" s="2" t="n">
        <v>0</v>
      </c>
      <c r="BD21" s="2" t="n">
        <v>0</v>
      </c>
      <c r="BE21" s="2" t="n">
        <v>0</v>
      </c>
      <c r="BF21" s="2" t="n">
        <v>1</v>
      </c>
      <c r="BG21" s="2" t="n">
        <v>0</v>
      </c>
      <c r="BH21" s="2" t="n">
        <v>0</v>
      </c>
      <c r="BI21" s="2" t="s">
        <v>322</v>
      </c>
      <c r="BJ21" s="2" t="n">
        <v>2</v>
      </c>
      <c r="BK21" s="2" t="n">
        <v>0</v>
      </c>
      <c r="BL21" s="2" t="n">
        <v>0</v>
      </c>
      <c r="BM21" s="2" t="n">
        <v>1</v>
      </c>
      <c r="BN21" s="2" t="n">
        <v>0</v>
      </c>
      <c r="BO21" s="2" t="n">
        <v>0</v>
      </c>
      <c r="BP21" s="2" t="n">
        <v>0</v>
      </c>
      <c r="BQ21" s="2" t="n">
        <v>0</v>
      </c>
      <c r="BR21" s="2" t="s">
        <v>254</v>
      </c>
      <c r="BS21" s="2" t="n">
        <v>2</v>
      </c>
      <c r="BT21" s="2" t="n">
        <v>2</v>
      </c>
      <c r="BU21" s="2" t="n">
        <v>2</v>
      </c>
      <c r="BV21" s="2" t="n">
        <v>1</v>
      </c>
      <c r="BW21" s="2" t="n">
        <v>2024</v>
      </c>
      <c r="BX21" s="2" t="n">
        <v>1</v>
      </c>
      <c r="BY21" s="2" t="n">
        <v>12.5</v>
      </c>
      <c r="BZ21" s="2" t="n">
        <v>1</v>
      </c>
      <c r="CA21" s="2" t="n">
        <v>0</v>
      </c>
      <c r="CB21" s="2" t="n">
        <v>0</v>
      </c>
      <c r="CC21" s="2" t="n">
        <v>0</v>
      </c>
      <c r="CD21" s="2" t="n">
        <v>0</v>
      </c>
      <c r="CE21" s="2" t="n">
        <v>0</v>
      </c>
      <c r="CF21" s="2"/>
      <c r="CG21" s="2" t="n">
        <v>5</v>
      </c>
      <c r="CH21" s="2" t="s">
        <v>323</v>
      </c>
      <c r="CI21" s="2" t="n">
        <v>25.05</v>
      </c>
      <c r="CJ21" s="2" t="n">
        <v>1</v>
      </c>
      <c r="CK21" s="2" t="n">
        <v>2017</v>
      </c>
      <c r="CL21" s="2" t="n">
        <v>1</v>
      </c>
      <c r="CM21" s="2" t="n">
        <v>0.0959</v>
      </c>
      <c r="CN21" s="2" t="n">
        <v>1</v>
      </c>
      <c r="CO21" s="2" t="n">
        <v>0</v>
      </c>
      <c r="CP21" s="2" t="n">
        <v>0</v>
      </c>
      <c r="CQ21" s="2" t="n">
        <v>0</v>
      </c>
      <c r="CR21" s="2" t="n">
        <v>0</v>
      </c>
      <c r="CS21" s="2" t="n">
        <v>0</v>
      </c>
      <c r="CT21" s="2"/>
      <c r="CU21" s="2" t="n">
        <v>4</v>
      </c>
      <c r="CV21" s="2" t="s">
        <v>324</v>
      </c>
      <c r="CW21" s="2" t="n">
        <v>44.56</v>
      </c>
      <c r="CX21" s="2" t="n">
        <v>2</v>
      </c>
      <c r="CY21" s="2"/>
      <c r="CZ21" s="2"/>
      <c r="DA21" s="2"/>
      <c r="DB21" s="2"/>
      <c r="DC21" s="2"/>
      <c r="DD21" s="2"/>
      <c r="DE21" s="2"/>
      <c r="DF21" s="2"/>
      <c r="DG21" s="2"/>
      <c r="DH21" s="2"/>
      <c r="DI21" s="2"/>
      <c r="DJ21" s="2"/>
      <c r="DK21" s="2"/>
      <c r="DL21" s="2"/>
      <c r="DM21" s="2"/>
      <c r="DN21" s="2"/>
      <c r="DO21" s="2" t="n">
        <v>1</v>
      </c>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row>
    <row r="22" customFormat="false" ht="15" hidden="false" customHeight="false" outlineLevel="0" collapsed="false">
      <c r="A22" s="2" t="s">
        <v>325</v>
      </c>
      <c r="B22" s="2" t="n">
        <v>10116</v>
      </c>
      <c r="C22" s="2" t="n">
        <v>4</v>
      </c>
      <c r="D22" s="2" t="n">
        <v>4</v>
      </c>
      <c r="E22" s="2" t="n">
        <v>1</v>
      </c>
      <c r="F22" s="2"/>
      <c r="G22" s="2" t="n">
        <v>1</v>
      </c>
      <c r="H22" s="2" t="n">
        <v>1</v>
      </c>
      <c r="I22" s="2" t="n">
        <v>1</v>
      </c>
      <c r="J22" s="2" t="n">
        <v>1</v>
      </c>
      <c r="K22" s="2" t="n">
        <v>1</v>
      </c>
      <c r="L22" s="2" t="n">
        <v>1</v>
      </c>
      <c r="M22" s="2" t="n">
        <v>1</v>
      </c>
      <c r="N22" s="2" t="n">
        <v>0</v>
      </c>
      <c r="O22" s="2" t="n">
        <v>1</v>
      </c>
      <c r="P22" s="2" t="n">
        <v>0</v>
      </c>
      <c r="Q22" s="2" t="n">
        <v>1</v>
      </c>
      <c r="R22" s="2" t="n">
        <v>1</v>
      </c>
      <c r="S22" s="2" t="n">
        <v>0</v>
      </c>
      <c r="T22" s="2"/>
      <c r="U22" s="2" t="n">
        <v>5</v>
      </c>
      <c r="V22" s="2"/>
      <c r="W22" s="2"/>
      <c r="X22" s="2" t="n">
        <v>5</v>
      </c>
      <c r="Y22" s="2"/>
      <c r="Z22" s="2"/>
      <c r="AA22" s="2"/>
      <c r="AB22" s="2"/>
      <c r="AC22" s="2" t="n">
        <v>1</v>
      </c>
      <c r="AD22" s="2" t="s">
        <v>326</v>
      </c>
      <c r="AE22" s="2" t="n">
        <v>3</v>
      </c>
      <c r="AF22" s="2" t="n">
        <v>3</v>
      </c>
      <c r="AG22" s="2"/>
      <c r="AH22" s="2" t="s">
        <v>327</v>
      </c>
      <c r="AI22" s="2" t="s">
        <v>328</v>
      </c>
      <c r="AJ22" s="2" t="n">
        <v>26</v>
      </c>
      <c r="AK22" s="2" t="n">
        <v>17</v>
      </c>
      <c r="AL22" s="2" t="n">
        <v>0</v>
      </c>
      <c r="AM22" s="2"/>
      <c r="AN22" s="2"/>
      <c r="AO22" s="2"/>
      <c r="AP22" s="2" t="n">
        <v>1</v>
      </c>
      <c r="AQ22" s="2" t="n">
        <v>1</v>
      </c>
      <c r="AR22" s="2" t="n">
        <v>1</v>
      </c>
      <c r="AS22" s="2" t="n">
        <v>2023</v>
      </c>
      <c r="AT22" s="2" t="s">
        <v>231</v>
      </c>
      <c r="AU22" s="2" t="s">
        <v>231</v>
      </c>
      <c r="AV22" s="2" t="n">
        <v>2023</v>
      </c>
      <c r="AW22" s="2" t="s">
        <v>231</v>
      </c>
      <c r="AX22" s="2" t="s">
        <v>231</v>
      </c>
      <c r="AY22" s="2" t="n">
        <v>2</v>
      </c>
      <c r="AZ22" s="2" t="n">
        <v>2</v>
      </c>
      <c r="BA22" s="2"/>
      <c r="BB22" s="2"/>
      <c r="BC22" s="2" t="n">
        <v>0</v>
      </c>
      <c r="BD22" s="2" t="n">
        <v>0</v>
      </c>
      <c r="BE22" s="2" t="n">
        <v>0</v>
      </c>
      <c r="BF22" s="2" t="n">
        <v>0</v>
      </c>
      <c r="BG22" s="2" t="n">
        <v>0</v>
      </c>
      <c r="BH22" s="2" t="n">
        <v>1</v>
      </c>
      <c r="BI22" s="2"/>
      <c r="BJ22" s="2" t="n">
        <v>1</v>
      </c>
      <c r="BK22" s="2" t="n">
        <v>0</v>
      </c>
      <c r="BL22" s="2" t="n">
        <v>0</v>
      </c>
      <c r="BM22" s="2" t="n">
        <v>1</v>
      </c>
      <c r="BN22" s="2" t="n">
        <v>0</v>
      </c>
      <c r="BO22" s="2" t="n">
        <v>0</v>
      </c>
      <c r="BP22" s="2" t="n">
        <v>0</v>
      </c>
      <c r="BQ22" s="2" t="n">
        <v>0</v>
      </c>
      <c r="BR22" s="2" t="s">
        <v>254</v>
      </c>
      <c r="BS22" s="2" t="n">
        <v>2</v>
      </c>
      <c r="BT22" s="2" t="n">
        <v>2</v>
      </c>
      <c r="BU22" s="2" t="n">
        <v>2</v>
      </c>
      <c r="BV22" s="2" t="n">
        <v>1</v>
      </c>
      <c r="BW22" s="2" t="n">
        <v>2023</v>
      </c>
      <c r="BX22" s="2" t="n">
        <v>1</v>
      </c>
      <c r="BY22" s="2" t="n">
        <v>3</v>
      </c>
      <c r="BZ22" s="2" t="n">
        <v>0</v>
      </c>
      <c r="CA22" s="2" t="n">
        <v>1</v>
      </c>
      <c r="CB22" s="2" t="n">
        <v>1</v>
      </c>
      <c r="CC22" s="2" t="n">
        <v>0</v>
      </c>
      <c r="CD22" s="2" t="n">
        <v>0</v>
      </c>
      <c r="CE22" s="2" t="n">
        <v>1</v>
      </c>
      <c r="CF22" s="2"/>
      <c r="CG22" s="2" t="n">
        <v>1</v>
      </c>
      <c r="CH22" s="2"/>
      <c r="CI22" s="2" t="n">
        <v>52.8</v>
      </c>
      <c r="CJ22" s="2" t="n">
        <v>1</v>
      </c>
      <c r="CK22" s="2" t="n">
        <v>2023</v>
      </c>
      <c r="CL22" s="2" t="n">
        <v>1</v>
      </c>
      <c r="CM22" s="2" t="n">
        <v>3</v>
      </c>
      <c r="CN22" s="2" t="n">
        <v>1</v>
      </c>
      <c r="CO22" s="2" t="n">
        <v>1</v>
      </c>
      <c r="CP22" s="2" t="n">
        <v>1</v>
      </c>
      <c r="CQ22" s="2" t="n">
        <v>0</v>
      </c>
      <c r="CR22" s="2" t="n">
        <v>0</v>
      </c>
      <c r="CS22" s="2" t="n">
        <v>1</v>
      </c>
      <c r="CT22" s="2"/>
      <c r="CU22" s="2" t="n">
        <v>3</v>
      </c>
      <c r="CV22" s="2"/>
      <c r="CW22" s="2" t="n">
        <v>79.15</v>
      </c>
      <c r="CX22" s="2" t="n">
        <v>1</v>
      </c>
      <c r="CY22" s="2" t="n">
        <v>6</v>
      </c>
      <c r="CZ22" s="2" t="n">
        <v>1</v>
      </c>
      <c r="DA22" s="2" t="n">
        <v>3</v>
      </c>
      <c r="DB22" s="2" t="n">
        <v>2</v>
      </c>
      <c r="DC22" s="2" t="n">
        <v>1</v>
      </c>
      <c r="DD22" s="2" t="n">
        <v>0</v>
      </c>
      <c r="DE22" s="2" t="n">
        <v>1</v>
      </c>
      <c r="DF22" s="2" t="n">
        <v>0</v>
      </c>
      <c r="DG22" s="2" t="n">
        <v>0</v>
      </c>
      <c r="DH22" s="2" t="n">
        <v>1</v>
      </c>
      <c r="DI22" s="2"/>
      <c r="DJ22" s="2" t="n">
        <v>1</v>
      </c>
      <c r="DK22" s="2"/>
      <c r="DL22" s="2" t="n">
        <v>2</v>
      </c>
      <c r="DM22" s="2"/>
      <c r="DN22" s="2" t="n">
        <v>4</v>
      </c>
      <c r="DO22" s="2" t="n">
        <v>1</v>
      </c>
      <c r="DP22" s="2" t="n">
        <v>10097</v>
      </c>
      <c r="DQ22" s="2"/>
      <c r="DR22" s="2"/>
      <c r="DS22" s="2"/>
      <c r="DT22" s="2" t="n">
        <v>3050</v>
      </c>
      <c r="DU22" s="2" t="n">
        <v>14</v>
      </c>
      <c r="DV22" s="2" t="n">
        <v>265</v>
      </c>
      <c r="DW22" s="2" t="n">
        <v>2</v>
      </c>
      <c r="DX22" s="2"/>
      <c r="DY22" s="2"/>
      <c r="DZ22" s="2" t="n">
        <v>3740</v>
      </c>
      <c r="EA22" s="2" t="n">
        <v>56.72</v>
      </c>
      <c r="EB22" s="2" t="n">
        <v>2</v>
      </c>
      <c r="EC22" s="2" t="n">
        <v>3</v>
      </c>
      <c r="ED22" s="2"/>
      <c r="EE22" s="2" t="n">
        <v>2010</v>
      </c>
      <c r="EF22" s="2"/>
      <c r="EG22" s="2"/>
      <c r="EH22" s="2" t="n">
        <v>6</v>
      </c>
      <c r="EI22" s="2" t="n">
        <v>1.106</v>
      </c>
      <c r="EJ22" s="2" t="n">
        <v>800000</v>
      </c>
      <c r="EK22" s="2" t="n">
        <v>1800</v>
      </c>
      <c r="EL22" s="2"/>
      <c r="EM22" s="2"/>
      <c r="EN22" s="2"/>
      <c r="EO22" s="2" t="n">
        <v>6</v>
      </c>
      <c r="EP22" s="2"/>
      <c r="EQ22" s="2"/>
      <c r="ER22" s="2"/>
      <c r="ES22" s="2"/>
      <c r="ET22" s="2"/>
      <c r="EU22" s="2" t="s">
        <v>329</v>
      </c>
      <c r="EV22" s="2" t="n">
        <v>1</v>
      </c>
      <c r="EW22" s="2" t="n">
        <v>1</v>
      </c>
      <c r="EX22" s="2"/>
      <c r="EY22" s="2"/>
      <c r="EZ22" s="2" t="n">
        <v>99.985</v>
      </c>
      <c r="FA22" s="2" t="n">
        <v>0.015</v>
      </c>
      <c r="FB22" s="2"/>
      <c r="FC22" s="2"/>
      <c r="FD22" s="2" t="n">
        <v>1</v>
      </c>
      <c r="FE22" s="2" t="n">
        <v>10097</v>
      </c>
      <c r="FF22" s="2"/>
      <c r="FG22" s="2"/>
      <c r="FH22" s="2"/>
      <c r="FI22" s="2" t="n">
        <v>3326</v>
      </c>
      <c r="FJ22" s="2"/>
      <c r="FK22" s="2" t="n">
        <v>15</v>
      </c>
      <c r="FL22" s="2"/>
      <c r="FM22" s="2"/>
      <c r="FN22" s="2"/>
      <c r="FO22" s="2" t="n">
        <v>55.56</v>
      </c>
      <c r="FP22" s="2" t="n">
        <v>50.24</v>
      </c>
      <c r="FQ22" s="2" t="n">
        <v>0</v>
      </c>
      <c r="FR22" s="2" t="n">
        <v>2</v>
      </c>
      <c r="FS22" s="2" t="n">
        <v>2</v>
      </c>
      <c r="FT22" s="2" t="n">
        <v>1</v>
      </c>
      <c r="FU22" s="2" t="n">
        <v>0</v>
      </c>
      <c r="FV22" s="2" t="n">
        <v>0</v>
      </c>
      <c r="FW22" s="2" t="n">
        <v>0</v>
      </c>
      <c r="FX22" s="2" t="n">
        <v>0</v>
      </c>
      <c r="FY22" s="2" t="n">
        <v>1</v>
      </c>
      <c r="FZ22" s="2"/>
      <c r="GA22" s="2" t="n">
        <v>1947</v>
      </c>
      <c r="GB22" s="2" t="n">
        <v>2023</v>
      </c>
      <c r="GC22" s="2" t="n">
        <v>1.38</v>
      </c>
      <c r="GD22" s="2" t="n">
        <v>7</v>
      </c>
      <c r="GE22" s="2" t="n">
        <v>747.7</v>
      </c>
      <c r="GF22" s="2" t="n">
        <v>7</v>
      </c>
      <c r="GG22" s="2" t="n">
        <v>2.102</v>
      </c>
      <c r="GH22" s="2" t="n">
        <v>100</v>
      </c>
      <c r="GI22" s="2" t="s">
        <v>330</v>
      </c>
      <c r="GJ22" s="2" t="s">
        <v>330</v>
      </c>
      <c r="GK22" s="2" t="n">
        <v>2</v>
      </c>
      <c r="GL22" s="2" t="n">
        <v>2</v>
      </c>
      <c r="GM22" s="2" t="s">
        <v>250</v>
      </c>
      <c r="GN22" s="2"/>
      <c r="GO22" s="2" t="n">
        <v>2</v>
      </c>
      <c r="GP22" s="2"/>
      <c r="GQ22" s="2" t="n">
        <v>1</v>
      </c>
      <c r="GR22" s="2" t="n">
        <v>1</v>
      </c>
      <c r="GS22" s="2"/>
      <c r="GT22" s="2" t="n">
        <v>1</v>
      </c>
      <c r="GU22" s="2" t="n">
        <v>3326</v>
      </c>
      <c r="GV22" s="2"/>
      <c r="GW22" s="2" t="n">
        <v>15</v>
      </c>
      <c r="GX22" s="2"/>
      <c r="GY22" s="2"/>
      <c r="GZ22" s="2"/>
      <c r="HA22" s="2" t="n">
        <v>30.86</v>
      </c>
      <c r="HB22" s="2" t="s">
        <v>331</v>
      </c>
      <c r="HC22" s="2" t="n">
        <v>3200</v>
      </c>
      <c r="HD22" s="2"/>
      <c r="HE22" s="2"/>
    </row>
    <row r="23" customFormat="false" ht="15" hidden="false" customHeight="false" outlineLevel="0" collapsed="false">
      <c r="A23" s="2" t="s">
        <v>332</v>
      </c>
      <c r="B23" s="2" t="n">
        <v>830</v>
      </c>
      <c r="C23" s="2" t="n">
        <v>2</v>
      </c>
      <c r="D23" s="2" t="n">
        <v>2</v>
      </c>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row>
    <row r="24" customFormat="false" ht="15" hidden="false" customHeight="false" outlineLevel="0" collapsed="false">
      <c r="A24" s="2" t="s">
        <v>333</v>
      </c>
      <c r="B24" s="2" t="n">
        <v>3167</v>
      </c>
      <c r="C24" s="2" t="n">
        <v>3</v>
      </c>
      <c r="D24" s="2" t="n">
        <v>4</v>
      </c>
      <c r="E24" s="2" t="n">
        <v>1</v>
      </c>
      <c r="F24" s="2"/>
      <c r="G24" s="2" t="n">
        <v>1</v>
      </c>
      <c r="H24" s="2" t="n">
        <v>1</v>
      </c>
      <c r="I24" s="2" t="n">
        <v>1</v>
      </c>
      <c r="J24" s="2" t="n">
        <v>1</v>
      </c>
      <c r="K24" s="2" t="n">
        <v>1</v>
      </c>
      <c r="L24" s="2" t="n">
        <v>1</v>
      </c>
      <c r="M24" s="2" t="n">
        <v>1</v>
      </c>
      <c r="N24" s="2" t="n">
        <v>1</v>
      </c>
      <c r="O24" s="2" t="n">
        <v>1</v>
      </c>
      <c r="P24" s="2" t="n">
        <v>1</v>
      </c>
      <c r="Q24" s="2" t="n">
        <v>0</v>
      </c>
      <c r="R24" s="2" t="n">
        <v>1</v>
      </c>
      <c r="S24" s="2" t="n">
        <v>0</v>
      </c>
      <c r="T24" s="2"/>
      <c r="U24" s="2" t="n">
        <v>0.1</v>
      </c>
      <c r="V24" s="2"/>
      <c r="W24" s="2"/>
      <c r="X24" s="2"/>
      <c r="Y24" s="2"/>
      <c r="Z24" s="2" t="n">
        <v>65</v>
      </c>
      <c r="AA24" s="2" t="n">
        <v>20</v>
      </c>
      <c r="AB24" s="2" t="n">
        <v>60</v>
      </c>
      <c r="AC24" s="2" t="n">
        <v>2</v>
      </c>
      <c r="AD24" s="2"/>
      <c r="AE24" s="2" t="n">
        <v>3</v>
      </c>
      <c r="AF24" s="2" t="n">
        <v>2</v>
      </c>
      <c r="AG24" s="2" t="n">
        <v>60</v>
      </c>
      <c r="AH24" s="2"/>
      <c r="AI24" s="2"/>
      <c r="AJ24" s="2"/>
      <c r="AK24" s="2"/>
      <c r="AL24" s="2"/>
      <c r="AM24" s="2" t="n">
        <v>1</v>
      </c>
      <c r="AN24" s="2" t="n">
        <v>1</v>
      </c>
      <c r="AO24" s="2" t="n">
        <v>1</v>
      </c>
      <c r="AP24" s="2" t="n">
        <v>2</v>
      </c>
      <c r="AQ24" s="2" t="n">
        <v>2</v>
      </c>
      <c r="AR24" s="2" t="n">
        <v>2</v>
      </c>
      <c r="AS24" s="2"/>
      <c r="AT24" s="2" t="s">
        <v>230</v>
      </c>
      <c r="AU24" s="2" t="s">
        <v>230</v>
      </c>
      <c r="AV24" s="2"/>
      <c r="AW24" s="2" t="s">
        <v>230</v>
      </c>
      <c r="AX24" s="2" t="s">
        <v>230</v>
      </c>
      <c r="AY24" s="2" t="n">
        <v>2</v>
      </c>
      <c r="AZ24" s="2" t="n">
        <v>2</v>
      </c>
      <c r="BA24" s="2"/>
      <c r="BB24" s="2"/>
      <c r="BC24" s="2" t="n">
        <v>0</v>
      </c>
      <c r="BD24" s="2" t="n">
        <v>0</v>
      </c>
      <c r="BE24" s="2" t="n">
        <v>0</v>
      </c>
      <c r="BF24" s="2" t="n">
        <v>1</v>
      </c>
      <c r="BG24" s="2" t="n">
        <v>0</v>
      </c>
      <c r="BH24" s="2" t="n">
        <v>0</v>
      </c>
      <c r="BI24" s="2" t="s">
        <v>334</v>
      </c>
      <c r="BJ24" s="2" t="n">
        <v>1</v>
      </c>
      <c r="BK24" s="2" t="n">
        <v>0</v>
      </c>
      <c r="BL24" s="2" t="n">
        <v>0</v>
      </c>
      <c r="BM24" s="2" t="n">
        <v>1</v>
      </c>
      <c r="BN24" s="2" t="n">
        <v>0</v>
      </c>
      <c r="BO24" s="2" t="n">
        <v>0</v>
      </c>
      <c r="BP24" s="2" t="n">
        <v>0</v>
      </c>
      <c r="BQ24" s="2" t="n">
        <v>0</v>
      </c>
      <c r="BR24" s="2" t="s">
        <v>334</v>
      </c>
      <c r="BS24" s="2" t="n">
        <v>1</v>
      </c>
      <c r="BT24" s="2" t="n">
        <v>1</v>
      </c>
      <c r="BU24" s="2" t="n">
        <v>1</v>
      </c>
      <c r="BV24" s="2" t="n">
        <v>1</v>
      </c>
      <c r="BW24" s="2"/>
      <c r="BX24" s="2" t="n">
        <v>1</v>
      </c>
      <c r="BY24" s="2" t="n">
        <v>0.03</v>
      </c>
      <c r="BZ24" s="2" t="n">
        <v>0</v>
      </c>
      <c r="CA24" s="2" t="n">
        <v>1</v>
      </c>
      <c r="CB24" s="2" t="n">
        <v>0</v>
      </c>
      <c r="CC24" s="2" t="n">
        <v>0</v>
      </c>
      <c r="CD24" s="2" t="n">
        <v>0</v>
      </c>
      <c r="CE24" s="2" t="n">
        <v>0</v>
      </c>
      <c r="CF24" s="2"/>
      <c r="CG24" s="2" t="n">
        <v>4</v>
      </c>
      <c r="CH24" s="2"/>
      <c r="CI24" s="2" t="n">
        <v>114.31</v>
      </c>
      <c r="CJ24" s="2" t="n">
        <v>1</v>
      </c>
      <c r="CK24" s="2"/>
      <c r="CL24" s="2" t="n">
        <v>1</v>
      </c>
      <c r="CM24" s="2" t="n">
        <v>3</v>
      </c>
      <c r="CN24" s="2" t="n">
        <v>0</v>
      </c>
      <c r="CO24" s="2" t="n">
        <v>1</v>
      </c>
      <c r="CP24" s="2" t="n">
        <v>0</v>
      </c>
      <c r="CQ24" s="2" t="n">
        <v>0</v>
      </c>
      <c r="CR24" s="2" t="n">
        <v>0</v>
      </c>
      <c r="CS24" s="2" t="n">
        <v>0</v>
      </c>
      <c r="CT24" s="2"/>
      <c r="CU24" s="2" t="n">
        <v>1</v>
      </c>
      <c r="CV24" s="2"/>
      <c r="CW24" s="2" t="n">
        <v>114.31</v>
      </c>
      <c r="CX24" s="2" t="n">
        <v>1</v>
      </c>
      <c r="CY24" s="2" t="n">
        <v>9</v>
      </c>
      <c r="CZ24" s="2" t="n">
        <v>1</v>
      </c>
      <c r="DA24" s="2" t="n">
        <v>0.03</v>
      </c>
      <c r="DB24" s="2" t="n">
        <v>3</v>
      </c>
      <c r="DC24" s="2" t="n">
        <v>0</v>
      </c>
      <c r="DD24" s="2" t="n">
        <v>1</v>
      </c>
      <c r="DE24" s="2" t="n">
        <v>0</v>
      </c>
      <c r="DF24" s="2" t="n">
        <v>0</v>
      </c>
      <c r="DG24" s="2" t="n">
        <v>0</v>
      </c>
      <c r="DH24" s="2" t="n">
        <v>0</v>
      </c>
      <c r="DI24" s="2"/>
      <c r="DJ24" s="2" t="n">
        <v>1</v>
      </c>
      <c r="DK24" s="2"/>
      <c r="DL24" s="2" t="n">
        <v>2</v>
      </c>
      <c r="DM24" s="2"/>
      <c r="DN24" s="2" t="n">
        <v>6.66</v>
      </c>
      <c r="DO24" s="2" t="n">
        <v>1</v>
      </c>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row>
    <row r="25" customFormat="false" ht="15" hidden="false" customHeight="false" outlineLevel="0" collapsed="false">
      <c r="A25" s="2" t="s">
        <v>335</v>
      </c>
      <c r="B25" s="2" t="n">
        <v>1167</v>
      </c>
      <c r="C25" s="2" t="n">
        <v>2</v>
      </c>
      <c r="D25" s="2" t="n">
        <v>6</v>
      </c>
      <c r="E25" s="2" t="n">
        <v>1</v>
      </c>
      <c r="F25" s="2"/>
      <c r="G25" s="2" t="n">
        <v>1</v>
      </c>
      <c r="H25" s="2" t="n">
        <v>1</v>
      </c>
      <c r="I25" s="2" t="n">
        <v>1</v>
      </c>
      <c r="J25" s="2" t="n">
        <v>1</v>
      </c>
      <c r="K25" s="2" t="n">
        <v>1</v>
      </c>
      <c r="L25" s="2" t="n">
        <v>0</v>
      </c>
      <c r="M25" s="2" t="n">
        <v>2</v>
      </c>
      <c r="N25" s="2" t="n">
        <v>0</v>
      </c>
      <c r="O25" s="2" t="n">
        <v>1</v>
      </c>
      <c r="P25" s="2" t="n">
        <v>1</v>
      </c>
      <c r="Q25" s="2" t="n">
        <v>0</v>
      </c>
      <c r="R25" s="2" t="n">
        <v>1</v>
      </c>
      <c r="S25" s="2" t="n">
        <v>0</v>
      </c>
      <c r="T25" s="2"/>
      <c r="U25" s="2" t="n">
        <v>15</v>
      </c>
      <c r="V25" s="2"/>
      <c r="W25" s="2" t="n">
        <v>7</v>
      </c>
      <c r="X25" s="2"/>
      <c r="Y25" s="2"/>
      <c r="Z25" s="2" t="n">
        <v>90</v>
      </c>
      <c r="AA25" s="2"/>
      <c r="AB25" s="2"/>
      <c r="AC25" s="2" t="n">
        <v>2</v>
      </c>
      <c r="AD25" s="2"/>
      <c r="AE25" s="2" t="n">
        <v>3</v>
      </c>
      <c r="AF25" s="2" t="n">
        <v>3</v>
      </c>
      <c r="AG25" s="2" t="n">
        <v>90</v>
      </c>
      <c r="AH25" s="2" t="s">
        <v>336</v>
      </c>
      <c r="AI25" s="2" t="s">
        <v>337</v>
      </c>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row>
    <row r="26" customFormat="false" ht="15" hidden="false" customHeight="false" outlineLevel="0" collapsed="false">
      <c r="A26" s="2" t="s">
        <v>338</v>
      </c>
      <c r="B26" s="2" t="n">
        <v>277</v>
      </c>
      <c r="C26" s="2" t="n">
        <v>1</v>
      </c>
      <c r="D26" s="2" t="n">
        <v>8</v>
      </c>
      <c r="E26" s="2" t="n">
        <v>1</v>
      </c>
      <c r="F26" s="2"/>
      <c r="G26" s="2" t="n">
        <v>1</v>
      </c>
      <c r="H26" s="2" t="n">
        <v>1</v>
      </c>
      <c r="I26" s="2" t="n">
        <v>1</v>
      </c>
      <c r="J26" s="2" t="n">
        <v>0</v>
      </c>
      <c r="K26" s="2" t="n">
        <v>1</v>
      </c>
      <c r="L26" s="2" t="n">
        <v>0</v>
      </c>
      <c r="M26" s="2" t="n">
        <v>2</v>
      </c>
      <c r="N26" s="2" t="n">
        <v>0</v>
      </c>
      <c r="O26" s="2" t="n">
        <v>1</v>
      </c>
      <c r="P26" s="2" t="n">
        <v>1</v>
      </c>
      <c r="Q26" s="2" t="n">
        <v>0</v>
      </c>
      <c r="R26" s="2" t="n">
        <v>1</v>
      </c>
      <c r="S26" s="2" t="n">
        <v>1</v>
      </c>
      <c r="T26" s="2" t="s">
        <v>339</v>
      </c>
      <c r="U26" s="2" t="n">
        <v>7.5</v>
      </c>
      <c r="V26" s="2"/>
      <c r="W26" s="2" t="n">
        <v>10</v>
      </c>
      <c r="X26" s="2"/>
      <c r="Y26" s="2"/>
      <c r="Z26" s="2"/>
      <c r="AA26" s="2"/>
      <c r="AB26" s="2"/>
      <c r="AC26" s="2" t="n">
        <v>2</v>
      </c>
      <c r="AD26" s="2"/>
      <c r="AE26" s="2" t="n">
        <v>3</v>
      </c>
      <c r="AF26" s="2" t="n">
        <v>2</v>
      </c>
      <c r="AG26" s="2"/>
      <c r="AH26" s="2" t="s">
        <v>340</v>
      </c>
      <c r="AI26" s="2"/>
      <c r="AJ26" s="2"/>
      <c r="AK26" s="2"/>
      <c r="AL26" s="2"/>
      <c r="AM26" s="2"/>
      <c r="AN26" s="2"/>
      <c r="AO26" s="2"/>
      <c r="AP26" s="2" t="n">
        <v>1</v>
      </c>
      <c r="AQ26" s="2" t="n">
        <v>1</v>
      </c>
      <c r="AR26" s="2"/>
      <c r="AS26" s="2"/>
      <c r="AT26" s="2" t="s">
        <v>341</v>
      </c>
      <c r="AU26" s="2" t="s">
        <v>341</v>
      </c>
      <c r="AV26" s="2"/>
      <c r="AW26" s="2" t="s">
        <v>341</v>
      </c>
      <c r="AX26" s="2" t="s">
        <v>341</v>
      </c>
      <c r="AY26" s="2" t="n">
        <v>2</v>
      </c>
      <c r="AZ26" s="2" t="n">
        <v>4</v>
      </c>
      <c r="BA26" s="2"/>
      <c r="BB26" s="2" t="s">
        <v>342</v>
      </c>
      <c r="BC26" s="2" t="n">
        <v>0</v>
      </c>
      <c r="BD26" s="2" t="n">
        <v>0</v>
      </c>
      <c r="BE26" s="2" t="n">
        <v>0</v>
      </c>
      <c r="BF26" s="2" t="n">
        <v>1</v>
      </c>
      <c r="BG26" s="2" t="n">
        <v>0</v>
      </c>
      <c r="BH26" s="2" t="n">
        <v>0</v>
      </c>
      <c r="BI26" s="2" t="s">
        <v>343</v>
      </c>
      <c r="BJ26" s="2" t="n">
        <v>2</v>
      </c>
      <c r="BK26" s="2"/>
      <c r="BL26" s="2"/>
      <c r="BM26" s="2"/>
      <c r="BN26" s="2"/>
      <c r="BO26" s="2"/>
      <c r="BP26" s="2"/>
      <c r="BQ26" s="2"/>
      <c r="BR26" s="2"/>
      <c r="BS26" s="2" t="n">
        <v>2</v>
      </c>
      <c r="BT26" s="2" t="n">
        <v>2</v>
      </c>
      <c r="BU26" s="2" t="n">
        <v>2</v>
      </c>
      <c r="BV26" s="2" t="n">
        <v>1</v>
      </c>
      <c r="BW26" s="2" t="n">
        <v>2025</v>
      </c>
      <c r="BX26" s="2" t="n">
        <v>1</v>
      </c>
      <c r="BY26" s="2" t="n">
        <v>0.09</v>
      </c>
      <c r="BZ26" s="2" t="n">
        <v>0</v>
      </c>
      <c r="CA26" s="2" t="n">
        <v>1</v>
      </c>
      <c r="CB26" s="2" t="n">
        <v>1</v>
      </c>
      <c r="CC26" s="2" t="n">
        <v>1</v>
      </c>
      <c r="CD26" s="2" t="n">
        <v>1</v>
      </c>
      <c r="CE26" s="2" t="n">
        <v>1</v>
      </c>
      <c r="CF26" s="2" t="s">
        <v>344</v>
      </c>
      <c r="CG26" s="2" t="n">
        <v>5</v>
      </c>
      <c r="CH26" s="2" t="s">
        <v>345</v>
      </c>
      <c r="CI26" s="2"/>
      <c r="CJ26" s="2" t="n">
        <v>1</v>
      </c>
      <c r="CK26" s="2" t="n">
        <v>2025</v>
      </c>
      <c r="CL26" s="2" t="n">
        <v>1</v>
      </c>
      <c r="CM26" s="2" t="n">
        <v>0.1</v>
      </c>
      <c r="CN26" s="2" t="n">
        <v>0</v>
      </c>
      <c r="CO26" s="2" t="n">
        <v>1</v>
      </c>
      <c r="CP26" s="2" t="n">
        <v>1</v>
      </c>
      <c r="CQ26" s="2" t="n">
        <v>0</v>
      </c>
      <c r="CR26" s="2" t="n">
        <v>0</v>
      </c>
      <c r="CS26" s="2" t="n">
        <v>1</v>
      </c>
      <c r="CT26" s="2"/>
      <c r="CU26" s="2" t="n">
        <v>1</v>
      </c>
      <c r="CV26" s="2"/>
      <c r="CW26" s="2" t="n">
        <v>57.5</v>
      </c>
      <c r="CX26" s="2" t="n">
        <v>2</v>
      </c>
      <c r="CY26" s="2"/>
      <c r="CZ26" s="2"/>
      <c r="DA26" s="2"/>
      <c r="DB26" s="2"/>
      <c r="DC26" s="2"/>
      <c r="DD26" s="2"/>
      <c r="DE26" s="2"/>
      <c r="DF26" s="2"/>
      <c r="DG26" s="2"/>
      <c r="DH26" s="2"/>
      <c r="DI26" s="2"/>
      <c r="DJ26" s="2"/>
      <c r="DK26" s="2"/>
      <c r="DL26" s="2"/>
      <c r="DM26" s="2"/>
      <c r="DN26" s="2"/>
      <c r="DO26" s="2" t="n">
        <v>1</v>
      </c>
      <c r="DP26" s="2" t="n">
        <v>277</v>
      </c>
      <c r="DQ26" s="2" t="n">
        <v>1</v>
      </c>
      <c r="DR26" s="2"/>
      <c r="DS26" s="2"/>
      <c r="DT26" s="2" t="n">
        <v>140</v>
      </c>
      <c r="DU26" s="2"/>
      <c r="DV26" s="2" t="n">
        <v>17</v>
      </c>
      <c r="DW26" s="2" t="n">
        <v>2</v>
      </c>
      <c r="DX26" s="2"/>
      <c r="DY26" s="2"/>
      <c r="DZ26" s="2" t="n">
        <v>36000</v>
      </c>
      <c r="EA26" s="2" t="n">
        <v>2.21</v>
      </c>
      <c r="EB26" s="2" t="n">
        <v>6</v>
      </c>
      <c r="EC26" s="2" t="n">
        <v>2</v>
      </c>
      <c r="ED26" s="2" t="n">
        <v>0</v>
      </c>
      <c r="EE26" s="2" t="n">
        <v>1948</v>
      </c>
      <c r="EF26" s="2" t="n">
        <v>2001</v>
      </c>
      <c r="EG26" s="2" t="n">
        <v>0.8</v>
      </c>
      <c r="EH26" s="2" t="n">
        <v>0.6</v>
      </c>
      <c r="EI26" s="2" t="n">
        <v>22.4</v>
      </c>
      <c r="EJ26" s="2" t="n">
        <v>60000</v>
      </c>
      <c r="EK26" s="2" t="n">
        <v>140000</v>
      </c>
      <c r="EL26" s="2" t="n">
        <v>8</v>
      </c>
      <c r="EM26" s="2" t="n">
        <v>0.8</v>
      </c>
      <c r="EN26" s="2" t="n">
        <v>6</v>
      </c>
      <c r="EO26" s="2" t="n">
        <v>11</v>
      </c>
      <c r="EP26" s="2" t="n">
        <v>8</v>
      </c>
      <c r="EQ26" s="2" t="n">
        <v>7</v>
      </c>
      <c r="ER26" s="2"/>
      <c r="ES26" s="2"/>
      <c r="ET26" s="2"/>
      <c r="EU26" s="2" t="s">
        <v>346</v>
      </c>
      <c r="EV26" s="2" t="n">
        <v>1</v>
      </c>
      <c r="EW26" s="2" t="n">
        <v>1</v>
      </c>
      <c r="EX26" s="2" t="n">
        <v>1</v>
      </c>
      <c r="EY26" s="2"/>
      <c r="EZ26" s="2"/>
      <c r="FA26" s="2"/>
      <c r="FB26" s="2" t="n">
        <v>100</v>
      </c>
      <c r="FC26" s="2"/>
      <c r="FD26" s="2" t="n">
        <v>1</v>
      </c>
      <c r="FE26" s="2" t="n">
        <v>277</v>
      </c>
      <c r="FF26" s="2" t="n">
        <v>1</v>
      </c>
      <c r="FG26" s="2"/>
      <c r="FH26" s="2"/>
      <c r="FI26" s="2" t="n">
        <v>139</v>
      </c>
      <c r="FJ26" s="2"/>
      <c r="FK26" s="2" t="n">
        <v>17</v>
      </c>
      <c r="FL26" s="2" t="n">
        <v>2</v>
      </c>
      <c r="FM26" s="2"/>
      <c r="FN26" s="2"/>
      <c r="FO26" s="2" t="n">
        <v>58000</v>
      </c>
      <c r="FP26" s="2" t="n">
        <v>2.1</v>
      </c>
      <c r="FQ26" s="2" t="n">
        <v>6</v>
      </c>
      <c r="FR26" s="2" t="n">
        <v>2</v>
      </c>
      <c r="FS26" s="2" t="n">
        <v>2</v>
      </c>
      <c r="FT26" s="2" t="n">
        <v>0</v>
      </c>
      <c r="FU26" s="2" t="n">
        <v>0</v>
      </c>
      <c r="FV26" s="2" t="n">
        <v>1</v>
      </c>
      <c r="FW26" s="2" t="n">
        <v>0</v>
      </c>
      <c r="FX26" s="2" t="n">
        <v>0</v>
      </c>
      <c r="FY26" s="2" t="n">
        <v>0</v>
      </c>
      <c r="FZ26" s="2" t="s">
        <v>347</v>
      </c>
      <c r="GA26" s="2" t="n">
        <v>1976</v>
      </c>
      <c r="GB26" s="2" t="n">
        <v>2010</v>
      </c>
      <c r="GC26" s="2"/>
      <c r="GD26" s="2" t="n">
        <v>0.09</v>
      </c>
      <c r="GE26" s="2" t="n">
        <v>9.8</v>
      </c>
      <c r="GF26" s="2" t="n">
        <v>0.036</v>
      </c>
      <c r="GG26" s="2" t="n">
        <v>0.034</v>
      </c>
      <c r="GH26" s="2" t="n">
        <v>0.75</v>
      </c>
      <c r="GI26" s="2" t="s">
        <v>348</v>
      </c>
      <c r="GJ26" s="2" t="s">
        <v>349</v>
      </c>
      <c r="GK26" s="2" t="n">
        <v>1</v>
      </c>
      <c r="GL26" s="2" t="n">
        <v>2</v>
      </c>
      <c r="GM26" s="2" t="s">
        <v>350</v>
      </c>
      <c r="GN26" s="2"/>
      <c r="GO26" s="2" t="n">
        <v>2</v>
      </c>
      <c r="GP26" s="2"/>
      <c r="GQ26" s="2"/>
      <c r="GR26" s="2"/>
      <c r="GS26" s="2" t="s">
        <v>351</v>
      </c>
      <c r="GT26" s="2" t="n">
        <v>2</v>
      </c>
      <c r="GU26" s="2"/>
      <c r="GV26" s="2"/>
      <c r="GW26" s="2"/>
      <c r="GX26" s="2"/>
      <c r="GY26" s="2"/>
      <c r="GZ26" s="2"/>
      <c r="HA26" s="2"/>
      <c r="HB26" s="2"/>
      <c r="HC26" s="2"/>
      <c r="HD26" s="2"/>
      <c r="HE26" s="2"/>
    </row>
    <row r="27" customFormat="false" ht="15" hidden="false" customHeight="false" outlineLevel="0" collapsed="false">
      <c r="A27" s="2" t="s">
        <v>352</v>
      </c>
      <c r="B27" s="2" t="n">
        <v>678</v>
      </c>
      <c r="C27" s="2" t="n">
        <v>2</v>
      </c>
      <c r="D27" s="2" t="n">
        <v>8</v>
      </c>
      <c r="E27" s="2" t="n">
        <v>1</v>
      </c>
      <c r="F27" s="2"/>
      <c r="G27" s="2" t="n">
        <v>1</v>
      </c>
      <c r="H27" s="2" t="n">
        <v>1</v>
      </c>
      <c r="I27" s="2" t="n">
        <v>1</v>
      </c>
      <c r="J27" s="2" t="n">
        <v>0</v>
      </c>
      <c r="K27" s="2" t="n">
        <v>1</v>
      </c>
      <c r="L27" s="2" t="n">
        <v>1</v>
      </c>
      <c r="M27" s="2" t="n">
        <v>1</v>
      </c>
      <c r="N27" s="2" t="n">
        <v>1</v>
      </c>
      <c r="O27" s="2" t="n">
        <v>1</v>
      </c>
      <c r="P27" s="2" t="n">
        <v>1</v>
      </c>
      <c r="Q27" s="2" t="n">
        <v>0</v>
      </c>
      <c r="R27" s="2" t="n">
        <v>0</v>
      </c>
      <c r="S27" s="2" t="n">
        <v>0</v>
      </c>
      <c r="T27" s="2"/>
      <c r="U27" s="2" t="n">
        <v>5</v>
      </c>
      <c r="V27" s="2"/>
      <c r="W27" s="2" t="n">
        <v>30</v>
      </c>
      <c r="X27" s="2"/>
      <c r="Y27" s="2"/>
      <c r="Z27" s="2" t="n">
        <v>90</v>
      </c>
      <c r="AA27" s="2"/>
      <c r="AB27" s="2"/>
      <c r="AC27" s="2" t="n">
        <v>1</v>
      </c>
      <c r="AD27" s="2" t="s">
        <v>353</v>
      </c>
      <c r="AE27" s="2" t="n">
        <v>3</v>
      </c>
      <c r="AF27" s="2" t="n">
        <v>2</v>
      </c>
      <c r="AG27" s="2"/>
      <c r="AH27" s="2" t="s">
        <v>354</v>
      </c>
      <c r="AI27" s="2"/>
      <c r="AJ27" s="2"/>
      <c r="AK27" s="2"/>
      <c r="AL27" s="2"/>
      <c r="AM27" s="2"/>
      <c r="AN27" s="2"/>
      <c r="AO27" s="2"/>
      <c r="AP27" s="2"/>
      <c r="AQ27" s="2"/>
      <c r="AR27" s="2"/>
      <c r="AS27" s="2"/>
      <c r="AT27" s="2"/>
      <c r="AU27" s="2"/>
      <c r="AV27" s="2"/>
      <c r="AW27" s="2"/>
      <c r="AX27" s="2"/>
      <c r="AY27" s="2" t="n">
        <v>2</v>
      </c>
      <c r="AZ27" s="2" t="n">
        <v>1</v>
      </c>
      <c r="BA27" s="2" t="s">
        <v>355</v>
      </c>
      <c r="BB27" s="2"/>
      <c r="BC27" s="2" t="n">
        <v>0</v>
      </c>
      <c r="BD27" s="2" t="n">
        <v>0</v>
      </c>
      <c r="BE27" s="2" t="n">
        <v>0</v>
      </c>
      <c r="BF27" s="2" t="n">
        <v>1</v>
      </c>
      <c r="BG27" s="2" t="n">
        <v>0</v>
      </c>
      <c r="BH27" s="2" t="n">
        <v>0</v>
      </c>
      <c r="BI27" s="2" t="s">
        <v>356</v>
      </c>
      <c r="BJ27" s="2" t="n">
        <v>2</v>
      </c>
      <c r="BK27" s="2"/>
      <c r="BL27" s="2"/>
      <c r="BM27" s="2"/>
      <c r="BN27" s="2"/>
      <c r="BO27" s="2"/>
      <c r="BP27" s="2"/>
      <c r="BQ27" s="2"/>
      <c r="BR27" s="2"/>
      <c r="BS27" s="2" t="n">
        <v>2</v>
      </c>
      <c r="BT27" s="2" t="n">
        <v>2</v>
      </c>
      <c r="BU27" s="2" t="n">
        <v>2</v>
      </c>
      <c r="BV27" s="2" t="n">
        <v>1</v>
      </c>
      <c r="BW27" s="2" t="n">
        <v>2023</v>
      </c>
      <c r="BX27" s="2" t="n">
        <v>1</v>
      </c>
      <c r="BY27" s="2" t="n">
        <v>0.05</v>
      </c>
      <c r="BZ27" s="2" t="n">
        <v>0</v>
      </c>
      <c r="CA27" s="2" t="n">
        <v>1</v>
      </c>
      <c r="CB27" s="2" t="n">
        <v>0</v>
      </c>
      <c r="CC27" s="2" t="n">
        <v>0</v>
      </c>
      <c r="CD27" s="2" t="n">
        <v>0</v>
      </c>
      <c r="CE27" s="2" t="n">
        <v>0</v>
      </c>
      <c r="CF27" s="2"/>
      <c r="CG27" s="2" t="n">
        <v>5</v>
      </c>
      <c r="CH27" s="2" t="s">
        <v>357</v>
      </c>
      <c r="CI27" s="2" t="n">
        <v>42</v>
      </c>
      <c r="CJ27" s="2" t="n">
        <v>1</v>
      </c>
      <c r="CK27" s="2" t="n">
        <v>2023</v>
      </c>
      <c r="CL27" s="2" t="n">
        <v>1</v>
      </c>
      <c r="CM27" s="2" t="n">
        <v>0.05</v>
      </c>
      <c r="CN27" s="2" t="n">
        <v>0</v>
      </c>
      <c r="CO27" s="2" t="n">
        <v>1</v>
      </c>
      <c r="CP27" s="2" t="n">
        <v>0</v>
      </c>
      <c r="CQ27" s="2" t="n">
        <v>0</v>
      </c>
      <c r="CR27" s="2" t="n">
        <v>0</v>
      </c>
      <c r="CS27" s="2" t="n">
        <v>0</v>
      </c>
      <c r="CT27" s="2"/>
      <c r="CU27" s="2" t="n">
        <v>4</v>
      </c>
      <c r="CV27" s="2" t="s">
        <v>358</v>
      </c>
      <c r="CW27" s="2" t="n">
        <v>46</v>
      </c>
      <c r="CX27" s="2" t="n">
        <v>2</v>
      </c>
      <c r="CY27" s="2"/>
      <c r="CZ27" s="2"/>
      <c r="DA27" s="2"/>
      <c r="DB27" s="2"/>
      <c r="DC27" s="2"/>
      <c r="DD27" s="2"/>
      <c r="DE27" s="2"/>
      <c r="DF27" s="2"/>
      <c r="DG27" s="2"/>
      <c r="DH27" s="2"/>
      <c r="DI27" s="2"/>
      <c r="DJ27" s="2"/>
      <c r="DK27" s="2"/>
      <c r="DL27" s="2"/>
      <c r="DM27" s="2"/>
      <c r="DN27" s="2"/>
      <c r="DO27" s="2" t="n">
        <v>1</v>
      </c>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row>
    <row r="28" customFormat="false" ht="15" hidden="false" customHeight="false" outlineLevel="0" collapsed="false">
      <c r="A28" s="2" t="s">
        <v>359</v>
      </c>
      <c r="B28" s="2" t="n">
        <v>975</v>
      </c>
      <c r="C28" s="2" t="n">
        <v>2</v>
      </c>
      <c r="D28" s="2" t="n">
        <v>4</v>
      </c>
      <c r="E28" s="2" t="n">
        <v>1</v>
      </c>
      <c r="F28" s="2"/>
      <c r="G28" s="2" t="n">
        <v>1</v>
      </c>
      <c r="H28" s="2" t="n">
        <v>1</v>
      </c>
      <c r="I28" s="2" t="n">
        <v>1</v>
      </c>
      <c r="J28" s="2" t="n">
        <v>0</v>
      </c>
      <c r="K28" s="2" t="n">
        <v>1</v>
      </c>
      <c r="L28" s="2" t="n">
        <v>0</v>
      </c>
      <c r="M28" s="2" t="n">
        <v>1</v>
      </c>
      <c r="N28" s="2" t="n">
        <v>0</v>
      </c>
      <c r="O28" s="2" t="n">
        <v>1</v>
      </c>
      <c r="P28" s="2" t="n">
        <v>1</v>
      </c>
      <c r="Q28" s="2" t="n">
        <v>0</v>
      </c>
      <c r="R28" s="2" t="n">
        <v>0</v>
      </c>
      <c r="S28" s="2" t="n">
        <v>0</v>
      </c>
      <c r="T28" s="2"/>
      <c r="U28" s="2" t="n">
        <v>5</v>
      </c>
      <c r="V28" s="2"/>
      <c r="W28" s="2"/>
      <c r="X28" s="2"/>
      <c r="Y28" s="2"/>
      <c r="Z28" s="2" t="n">
        <v>3</v>
      </c>
      <c r="AA28" s="2"/>
      <c r="AB28" s="2"/>
      <c r="AC28" s="2" t="n">
        <v>2</v>
      </c>
      <c r="AD28" s="2"/>
      <c r="AE28" s="2" t="n">
        <v>3</v>
      </c>
      <c r="AF28" s="2" t="n">
        <v>3</v>
      </c>
      <c r="AG28" s="2" t="n">
        <v>30</v>
      </c>
      <c r="AH28" s="2" t="s">
        <v>360</v>
      </c>
      <c r="AI28" s="2" t="s">
        <v>361</v>
      </c>
      <c r="AJ28" s="2"/>
      <c r="AK28" s="2"/>
      <c r="AL28" s="2"/>
      <c r="AM28" s="2" t="n">
        <v>1</v>
      </c>
      <c r="AN28" s="2" t="n">
        <v>1</v>
      </c>
      <c r="AO28" s="2" t="n">
        <v>1</v>
      </c>
      <c r="AP28" s="2" t="n">
        <v>1</v>
      </c>
      <c r="AQ28" s="2" t="n">
        <v>1</v>
      </c>
      <c r="AR28" s="2" t="n">
        <v>2</v>
      </c>
      <c r="AS28" s="2"/>
      <c r="AT28" s="2" t="s">
        <v>362</v>
      </c>
      <c r="AU28" s="2" t="s">
        <v>362</v>
      </c>
      <c r="AV28" s="2" t="n">
        <v>2022</v>
      </c>
      <c r="AW28" s="2" t="s">
        <v>218</v>
      </c>
      <c r="AX28" s="2" t="s">
        <v>218</v>
      </c>
      <c r="AY28" s="2" t="n">
        <v>2</v>
      </c>
      <c r="AZ28" s="2" t="n">
        <v>4</v>
      </c>
      <c r="BA28" s="2"/>
      <c r="BB28" s="2" t="s">
        <v>363</v>
      </c>
      <c r="BC28" s="2" t="n">
        <v>1</v>
      </c>
      <c r="BD28" s="2" t="n">
        <v>1</v>
      </c>
      <c r="BE28" s="2" t="n">
        <v>0</v>
      </c>
      <c r="BF28" s="2" t="n">
        <v>1</v>
      </c>
      <c r="BG28" s="2" t="n">
        <v>1</v>
      </c>
      <c r="BH28" s="2" t="n">
        <v>1</v>
      </c>
      <c r="BI28" s="2" t="s">
        <v>364</v>
      </c>
      <c r="BJ28" s="2" t="n">
        <v>1</v>
      </c>
      <c r="BK28" s="2"/>
      <c r="BL28" s="2"/>
      <c r="BM28" s="2"/>
      <c r="BN28" s="2"/>
      <c r="BO28" s="2"/>
      <c r="BP28" s="2"/>
      <c r="BQ28" s="2"/>
      <c r="BR28" s="2"/>
      <c r="BS28" s="2" t="n">
        <v>1</v>
      </c>
      <c r="BT28" s="2" t="n">
        <v>1</v>
      </c>
      <c r="BU28" s="2" t="n">
        <v>2</v>
      </c>
      <c r="BV28" s="2" t="n">
        <v>1</v>
      </c>
      <c r="BW28" s="2" t="n">
        <v>2025</v>
      </c>
      <c r="BX28" s="2" t="n">
        <v>1</v>
      </c>
      <c r="BY28" s="2" t="n">
        <v>2.5</v>
      </c>
      <c r="BZ28" s="2" t="n">
        <v>0</v>
      </c>
      <c r="CA28" s="2" t="n">
        <v>1</v>
      </c>
      <c r="CB28" s="2" t="n">
        <v>1</v>
      </c>
      <c r="CC28" s="2" t="n">
        <v>0</v>
      </c>
      <c r="CD28" s="2" t="n">
        <v>0</v>
      </c>
      <c r="CE28" s="2" t="n">
        <v>1</v>
      </c>
      <c r="CF28" s="2"/>
      <c r="CG28" s="2" t="n">
        <v>1</v>
      </c>
      <c r="CH28" s="2"/>
      <c r="CI28" s="2" t="n">
        <v>53.34</v>
      </c>
      <c r="CJ28" s="2" t="n">
        <v>1</v>
      </c>
      <c r="CK28" s="2" t="n">
        <v>2025</v>
      </c>
      <c r="CL28" s="2" t="n">
        <v>1</v>
      </c>
      <c r="CM28" s="2" t="n">
        <v>2.5</v>
      </c>
      <c r="CN28" s="2" t="n">
        <v>0</v>
      </c>
      <c r="CO28" s="2" t="n">
        <v>1</v>
      </c>
      <c r="CP28" s="2" t="n">
        <v>1</v>
      </c>
      <c r="CQ28" s="2" t="n">
        <v>0</v>
      </c>
      <c r="CR28" s="2" t="n">
        <v>0</v>
      </c>
      <c r="CS28" s="2" t="n">
        <v>1</v>
      </c>
      <c r="CT28" s="2"/>
      <c r="CU28" s="2" t="n">
        <v>4</v>
      </c>
      <c r="CV28" s="2" t="s">
        <v>365</v>
      </c>
      <c r="CW28" s="2" t="n">
        <v>47</v>
      </c>
      <c r="CX28" s="2" t="n">
        <v>1</v>
      </c>
      <c r="CY28" s="2"/>
      <c r="CZ28" s="2"/>
      <c r="DA28" s="2"/>
      <c r="DB28" s="2" t="n">
        <v>3</v>
      </c>
      <c r="DC28" s="2"/>
      <c r="DD28" s="2"/>
      <c r="DE28" s="2"/>
      <c r="DF28" s="2"/>
      <c r="DG28" s="2"/>
      <c r="DH28" s="2"/>
      <c r="DI28" s="2"/>
      <c r="DJ28" s="2" t="n">
        <v>1</v>
      </c>
      <c r="DK28" s="2"/>
      <c r="DL28" s="2" t="n">
        <v>2</v>
      </c>
      <c r="DM28" s="2"/>
      <c r="DN28" s="2" t="n">
        <v>3</v>
      </c>
      <c r="DO28" s="2" t="n">
        <v>1</v>
      </c>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row>
    <row r="29" customFormat="false" ht="15" hidden="false" customHeight="false" outlineLevel="0" collapsed="false">
      <c r="A29" s="2" t="s">
        <v>366</v>
      </c>
      <c r="B29" s="2" t="n">
        <v>549</v>
      </c>
      <c r="C29" s="2" t="n">
        <v>2</v>
      </c>
      <c r="D29" s="2" t="n">
        <v>12</v>
      </c>
      <c r="E29" s="2" t="n">
        <v>1</v>
      </c>
      <c r="F29" s="2"/>
      <c r="G29" s="2" t="n">
        <v>1</v>
      </c>
      <c r="H29" s="2" t="n">
        <v>1</v>
      </c>
      <c r="I29" s="2" t="n">
        <v>1</v>
      </c>
      <c r="J29" s="2" t="n">
        <v>0</v>
      </c>
      <c r="K29" s="2" t="n">
        <v>1</v>
      </c>
      <c r="L29" s="2" t="n">
        <v>1</v>
      </c>
      <c r="M29" s="2" t="n">
        <v>2</v>
      </c>
      <c r="N29" s="2" t="n">
        <v>1</v>
      </c>
      <c r="O29" s="2" t="n">
        <v>1</v>
      </c>
      <c r="P29" s="2" t="n">
        <v>1</v>
      </c>
      <c r="Q29" s="2" t="n">
        <v>0</v>
      </c>
      <c r="R29" s="2" t="n">
        <v>0</v>
      </c>
      <c r="S29" s="2" t="n">
        <v>0</v>
      </c>
      <c r="T29" s="2"/>
      <c r="U29" s="2"/>
      <c r="V29" s="2"/>
      <c r="W29" s="2" t="n">
        <v>15</v>
      </c>
      <c r="X29" s="2"/>
      <c r="Y29" s="2"/>
      <c r="Z29" s="2"/>
      <c r="AA29" s="2"/>
      <c r="AB29" s="2" t="n">
        <v>15</v>
      </c>
      <c r="AC29" s="2" t="n">
        <v>2</v>
      </c>
      <c r="AD29" s="2"/>
      <c r="AE29" s="2" t="n">
        <v>3</v>
      </c>
      <c r="AF29" s="2" t="n">
        <v>2</v>
      </c>
      <c r="AG29" s="2"/>
      <c r="AH29" s="2" t="s">
        <v>367</v>
      </c>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row>
    <row r="30" customFormat="false" ht="15" hidden="false" customHeight="false" outlineLevel="0" collapsed="false">
      <c r="A30" s="2" t="s">
        <v>368</v>
      </c>
      <c r="B30" s="2" t="n">
        <v>23910</v>
      </c>
      <c r="C30" s="2" t="n">
        <v>5</v>
      </c>
      <c r="D30" s="2" t="n">
        <v>7</v>
      </c>
      <c r="E30" s="2" t="n">
        <v>4</v>
      </c>
      <c r="F30" s="2" t="s">
        <v>369</v>
      </c>
      <c r="G30" s="2" t="n">
        <v>1</v>
      </c>
      <c r="H30" s="2" t="n">
        <v>1</v>
      </c>
      <c r="I30" s="2" t="n">
        <v>1</v>
      </c>
      <c r="J30" s="2" t="n">
        <v>1</v>
      </c>
      <c r="K30" s="2" t="n">
        <v>1</v>
      </c>
      <c r="L30" s="2" t="n">
        <v>0</v>
      </c>
      <c r="M30" s="2" t="n">
        <v>1</v>
      </c>
      <c r="N30" s="2" t="n">
        <v>1</v>
      </c>
      <c r="O30" s="2" t="n">
        <v>1</v>
      </c>
      <c r="P30" s="2" t="n">
        <v>1</v>
      </c>
      <c r="Q30" s="2" t="n">
        <v>0</v>
      </c>
      <c r="R30" s="2" t="n">
        <v>0</v>
      </c>
      <c r="S30" s="2" t="n">
        <v>0</v>
      </c>
      <c r="T30" s="2"/>
      <c r="U30" s="2" t="n">
        <v>20</v>
      </c>
      <c r="V30" s="2"/>
      <c r="W30" s="2" t="n">
        <v>30</v>
      </c>
      <c r="X30" s="2"/>
      <c r="Y30" s="2"/>
      <c r="Z30" s="2" t="n">
        <v>45</v>
      </c>
      <c r="AA30" s="2"/>
      <c r="AB30" s="2" t="n">
        <v>75</v>
      </c>
      <c r="AC30" s="2" t="n">
        <v>2</v>
      </c>
      <c r="AD30" s="2"/>
      <c r="AE30" s="2" t="n">
        <v>3</v>
      </c>
      <c r="AF30" s="2" t="n">
        <v>2</v>
      </c>
      <c r="AG30" s="2" t="n">
        <v>1</v>
      </c>
      <c r="AH30" s="2"/>
      <c r="AI30" s="2"/>
      <c r="AJ30" s="2"/>
      <c r="AK30" s="2"/>
      <c r="AL30" s="2"/>
      <c r="AM30" s="2" t="n">
        <v>1</v>
      </c>
      <c r="AN30" s="2" t="n">
        <v>1</v>
      </c>
      <c r="AO30" s="2" t="n">
        <v>1</v>
      </c>
      <c r="AP30" s="2" t="n">
        <v>1</v>
      </c>
      <c r="AQ30" s="2"/>
      <c r="AR30" s="2" t="n">
        <v>1</v>
      </c>
      <c r="AS30" s="2" t="n">
        <v>2015</v>
      </c>
      <c r="AT30" s="2" t="s">
        <v>218</v>
      </c>
      <c r="AU30" s="2" t="s">
        <v>230</v>
      </c>
      <c r="AV30" s="2" t="n">
        <v>2015</v>
      </c>
      <c r="AW30" s="2" t="s">
        <v>218</v>
      </c>
      <c r="AX30" s="2" t="s">
        <v>230</v>
      </c>
      <c r="AY30" s="2" t="n">
        <v>2</v>
      </c>
      <c r="AZ30" s="2" t="n">
        <v>4</v>
      </c>
      <c r="BA30" s="2"/>
      <c r="BB30" s="2" t="s">
        <v>370</v>
      </c>
      <c r="BC30" s="2" t="n">
        <v>0</v>
      </c>
      <c r="BD30" s="2" t="n">
        <v>1</v>
      </c>
      <c r="BE30" s="2" t="n">
        <v>0</v>
      </c>
      <c r="BF30" s="2" t="n">
        <v>0</v>
      </c>
      <c r="BG30" s="2" t="n">
        <v>1</v>
      </c>
      <c r="BH30" s="2" t="n">
        <v>1</v>
      </c>
      <c r="BI30" s="2"/>
      <c r="BJ30" s="2" t="n">
        <v>1</v>
      </c>
      <c r="BK30" s="2"/>
      <c r="BL30" s="2"/>
      <c r="BM30" s="2"/>
      <c r="BN30" s="2"/>
      <c r="BO30" s="2"/>
      <c r="BP30" s="2"/>
      <c r="BQ30" s="2"/>
      <c r="BR30" s="2"/>
      <c r="BS30" s="2" t="n">
        <v>1</v>
      </c>
      <c r="BT30" s="2"/>
      <c r="BU30" s="2" t="n">
        <v>1</v>
      </c>
      <c r="BV30" s="2" t="n">
        <v>1</v>
      </c>
      <c r="BW30" s="2" t="n">
        <v>2025</v>
      </c>
      <c r="BX30" s="2" t="n">
        <v>1</v>
      </c>
      <c r="BY30" s="2" t="n">
        <v>2.2</v>
      </c>
      <c r="BZ30" s="2" t="n">
        <v>0</v>
      </c>
      <c r="CA30" s="2" t="n">
        <v>1</v>
      </c>
      <c r="CB30" s="2" t="n">
        <v>0</v>
      </c>
      <c r="CC30" s="2" t="n">
        <v>0</v>
      </c>
      <c r="CD30" s="2" t="n">
        <v>0</v>
      </c>
      <c r="CE30" s="2" t="n">
        <v>0</v>
      </c>
      <c r="CF30" s="2"/>
      <c r="CG30" s="2" t="n">
        <v>1</v>
      </c>
      <c r="CH30" s="2"/>
      <c r="CI30" s="2" t="n">
        <v>34.21</v>
      </c>
      <c r="CJ30" s="2" t="n">
        <v>2</v>
      </c>
      <c r="CK30" s="2"/>
      <c r="CL30" s="2"/>
      <c r="CM30" s="2"/>
      <c r="CN30" s="2"/>
      <c r="CO30" s="2"/>
      <c r="CP30" s="2"/>
      <c r="CQ30" s="2"/>
      <c r="CR30" s="2"/>
      <c r="CS30" s="2"/>
      <c r="CT30" s="2"/>
      <c r="CU30" s="2"/>
      <c r="CV30" s="2"/>
      <c r="CW30" s="2"/>
      <c r="CX30" s="2" t="n">
        <v>1</v>
      </c>
      <c r="CY30" s="2" t="n">
        <v>7</v>
      </c>
      <c r="CZ30" s="2" t="n">
        <v>1</v>
      </c>
      <c r="DA30" s="2" t="n">
        <v>2.2</v>
      </c>
      <c r="DB30" s="2" t="n">
        <v>2</v>
      </c>
      <c r="DC30" s="2" t="n">
        <v>0</v>
      </c>
      <c r="DD30" s="2" t="n">
        <v>1</v>
      </c>
      <c r="DE30" s="2" t="n">
        <v>0</v>
      </c>
      <c r="DF30" s="2" t="n">
        <v>0</v>
      </c>
      <c r="DG30" s="2" t="n">
        <v>0</v>
      </c>
      <c r="DH30" s="2" t="n">
        <v>0</v>
      </c>
      <c r="DI30" s="2"/>
      <c r="DJ30" s="2" t="n">
        <v>1</v>
      </c>
      <c r="DK30" s="2"/>
      <c r="DL30" s="2" t="n">
        <v>1</v>
      </c>
      <c r="DM30" s="2" t="s">
        <v>371</v>
      </c>
      <c r="DN30" s="2" t="n">
        <v>9.43</v>
      </c>
      <c r="DO30" s="2" t="n">
        <v>1</v>
      </c>
      <c r="DP30" s="2" t="n">
        <v>23795</v>
      </c>
      <c r="DQ30" s="2" t="n">
        <v>6000</v>
      </c>
      <c r="DR30" s="2"/>
      <c r="DS30" s="2"/>
      <c r="DT30" s="2" t="n">
        <v>7498</v>
      </c>
      <c r="DU30" s="2" t="n">
        <v>2466</v>
      </c>
      <c r="DV30" s="2" t="n">
        <v>1388</v>
      </c>
      <c r="DW30" s="2" t="n">
        <v>3</v>
      </c>
      <c r="DX30" s="2" t="n">
        <v>107</v>
      </c>
      <c r="DY30" s="2" t="n">
        <v>3</v>
      </c>
      <c r="DZ30" s="2" t="n">
        <v>120000</v>
      </c>
      <c r="EA30" s="2" t="n">
        <v>195</v>
      </c>
      <c r="EB30" s="2" t="n">
        <v>21</v>
      </c>
      <c r="EC30" s="2" t="n">
        <v>27</v>
      </c>
      <c r="ED30" s="2" t="n">
        <v>5</v>
      </c>
      <c r="EE30" s="2" t="n">
        <v>1935</v>
      </c>
      <c r="EF30" s="2" t="n">
        <v>1992</v>
      </c>
      <c r="EG30" s="2" t="n">
        <v>20</v>
      </c>
      <c r="EH30" s="2" t="n">
        <v>12</v>
      </c>
      <c r="EI30" s="2" t="n">
        <v>5.814</v>
      </c>
      <c r="EJ30" s="2" t="n">
        <v>2.061</v>
      </c>
      <c r="EK30" s="2" t="n">
        <v>8.872</v>
      </c>
      <c r="EL30" s="2" t="n">
        <v>1</v>
      </c>
      <c r="EM30" s="2" t="n">
        <v>11.2</v>
      </c>
      <c r="EN30" s="2" t="n">
        <v>1</v>
      </c>
      <c r="EO30" s="2" t="n">
        <v>1</v>
      </c>
      <c r="EP30" s="2" t="n">
        <v>1</v>
      </c>
      <c r="EQ30" s="2" t="n">
        <v>1</v>
      </c>
      <c r="ER30" s="2" t="s">
        <v>250</v>
      </c>
      <c r="ES30" s="2" t="n">
        <v>0</v>
      </c>
      <c r="ET30" s="2" t="s">
        <v>372</v>
      </c>
      <c r="EU30" s="2" t="s">
        <v>373</v>
      </c>
      <c r="EV30" s="2" t="n">
        <v>1</v>
      </c>
      <c r="EW30" s="2" t="n">
        <v>1</v>
      </c>
      <c r="EX30" s="2" t="n">
        <v>1</v>
      </c>
      <c r="EY30" s="2"/>
      <c r="EZ30" s="2" t="n">
        <v>0</v>
      </c>
      <c r="FA30" s="2" t="n">
        <v>0.5</v>
      </c>
      <c r="FB30" s="2" t="n">
        <v>99.5</v>
      </c>
      <c r="FC30" s="2" t="s">
        <v>207</v>
      </c>
      <c r="FD30" s="2" t="n">
        <v>2</v>
      </c>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t="n">
        <v>1</v>
      </c>
      <c r="GU30" s="2" t="n">
        <v>7498</v>
      </c>
      <c r="GV30" s="2" t="n">
        <v>1</v>
      </c>
      <c r="GW30" s="2" t="n">
        <v>1388</v>
      </c>
      <c r="GX30" s="2" t="n">
        <v>1</v>
      </c>
      <c r="GY30" s="2" t="n">
        <v>107</v>
      </c>
      <c r="GZ30" s="2" t="n">
        <v>1</v>
      </c>
      <c r="HA30" s="2" t="n">
        <v>104</v>
      </c>
      <c r="HB30" s="2" t="s">
        <v>230</v>
      </c>
      <c r="HC30" s="2" t="n">
        <v>3000</v>
      </c>
      <c r="HD30" s="2" t="s">
        <v>207</v>
      </c>
      <c r="HE30" s="2"/>
    </row>
    <row r="31" customFormat="false" ht="15" hidden="false" customHeight="false" outlineLevel="0" collapsed="false">
      <c r="A31" s="2" t="s">
        <v>374</v>
      </c>
      <c r="B31" s="2" t="n">
        <v>342</v>
      </c>
      <c r="C31" s="2" t="n">
        <v>1</v>
      </c>
      <c r="D31" s="2" t="n">
        <v>11</v>
      </c>
      <c r="E31" s="2" t="n">
        <v>1</v>
      </c>
      <c r="F31" s="2"/>
      <c r="G31" s="2" t="n">
        <v>1</v>
      </c>
      <c r="H31" s="2" t="n">
        <v>1</v>
      </c>
      <c r="I31" s="2" t="n">
        <v>1</v>
      </c>
      <c r="J31" s="2" t="n">
        <v>1</v>
      </c>
      <c r="K31" s="2" t="n">
        <v>1</v>
      </c>
      <c r="L31" s="2" t="n">
        <v>0</v>
      </c>
      <c r="M31" s="2" t="n">
        <v>2</v>
      </c>
      <c r="N31" s="2" t="n">
        <v>1</v>
      </c>
      <c r="O31" s="2" t="n">
        <v>1</v>
      </c>
      <c r="P31" s="2" t="n">
        <v>1</v>
      </c>
      <c r="Q31" s="2" t="n">
        <v>0</v>
      </c>
      <c r="R31" s="2" t="n">
        <v>0</v>
      </c>
      <c r="S31" s="2" t="n">
        <v>0</v>
      </c>
      <c r="T31" s="2"/>
      <c r="U31" s="2" t="n">
        <v>25</v>
      </c>
      <c r="V31" s="2"/>
      <c r="W31" s="2" t="n">
        <v>30</v>
      </c>
      <c r="X31" s="2"/>
      <c r="Y31" s="2"/>
      <c r="Z31" s="2" t="n">
        <v>60</v>
      </c>
      <c r="AA31" s="2"/>
      <c r="AB31" s="2" t="n">
        <v>75</v>
      </c>
      <c r="AC31" s="2" t="n">
        <v>2</v>
      </c>
      <c r="AD31" s="2"/>
      <c r="AE31" s="2" t="n">
        <v>3</v>
      </c>
      <c r="AF31" s="2" t="n">
        <v>2</v>
      </c>
      <c r="AG31" s="2" t="n">
        <v>30</v>
      </c>
      <c r="AH31" s="2"/>
      <c r="AI31" s="2"/>
      <c r="AJ31" s="2" t="n">
        <v>75</v>
      </c>
      <c r="AK31" s="2"/>
      <c r="AL31" s="2"/>
      <c r="AM31" s="2"/>
      <c r="AN31" s="2"/>
      <c r="AO31" s="2"/>
      <c r="AP31" s="2" t="n">
        <v>1</v>
      </c>
      <c r="AQ31" s="2"/>
      <c r="AR31" s="2"/>
      <c r="AS31" s="2"/>
      <c r="AT31" s="2"/>
      <c r="AU31" s="2"/>
      <c r="AV31" s="2"/>
      <c r="AW31" s="2"/>
      <c r="AX31" s="2"/>
      <c r="AY31" s="2" t="n">
        <v>2</v>
      </c>
      <c r="AZ31" s="2" t="n">
        <v>2</v>
      </c>
      <c r="BA31" s="2"/>
      <c r="BB31" s="2"/>
      <c r="BC31" s="2" t="n">
        <v>0</v>
      </c>
      <c r="BD31" s="2" t="n">
        <v>0</v>
      </c>
      <c r="BE31" s="2" t="n">
        <v>0</v>
      </c>
      <c r="BF31" s="2" t="n">
        <v>0</v>
      </c>
      <c r="BG31" s="2" t="n">
        <v>1</v>
      </c>
      <c r="BH31" s="2" t="n">
        <v>0</v>
      </c>
      <c r="BI31" s="2"/>
      <c r="BJ31" s="2" t="n">
        <v>2</v>
      </c>
      <c r="BK31" s="2"/>
      <c r="BL31" s="2"/>
      <c r="BM31" s="2"/>
      <c r="BN31" s="2"/>
      <c r="BO31" s="2"/>
      <c r="BP31" s="2"/>
      <c r="BQ31" s="2"/>
      <c r="BR31" s="2"/>
      <c r="BS31" s="2" t="n">
        <v>2</v>
      </c>
      <c r="BT31" s="2"/>
      <c r="BU31" s="2"/>
      <c r="BV31" s="2" t="n">
        <v>1</v>
      </c>
      <c r="BW31" s="2" t="n">
        <v>2021</v>
      </c>
      <c r="BX31" s="2" t="n">
        <v>1</v>
      </c>
      <c r="BY31" s="2" t="n">
        <v>0.02</v>
      </c>
      <c r="BZ31" s="2" t="n">
        <v>0</v>
      </c>
      <c r="CA31" s="2" t="n">
        <v>1</v>
      </c>
      <c r="CB31" s="2" t="n">
        <v>1</v>
      </c>
      <c r="CC31" s="2" t="n">
        <v>0</v>
      </c>
      <c r="CD31" s="2" t="n">
        <v>0</v>
      </c>
      <c r="CE31" s="2" t="n">
        <v>0</v>
      </c>
      <c r="CF31" s="2"/>
      <c r="CG31" s="2" t="n">
        <v>1</v>
      </c>
      <c r="CH31" s="2"/>
      <c r="CI31" s="2" t="n">
        <v>47.85</v>
      </c>
      <c r="CJ31" s="2" t="n">
        <v>2</v>
      </c>
      <c r="CK31" s="2"/>
      <c r="CL31" s="2"/>
      <c r="CM31" s="2"/>
      <c r="CN31" s="2"/>
      <c r="CO31" s="2"/>
      <c r="CP31" s="2"/>
      <c r="CQ31" s="2"/>
      <c r="CR31" s="2"/>
      <c r="CS31" s="2"/>
      <c r="CT31" s="2"/>
      <c r="CU31" s="2"/>
      <c r="CV31" s="2"/>
      <c r="CW31" s="2"/>
      <c r="CX31" s="2" t="n">
        <v>2</v>
      </c>
      <c r="CY31" s="2"/>
      <c r="CZ31" s="2"/>
      <c r="DA31" s="2"/>
      <c r="DB31" s="2"/>
      <c r="DC31" s="2"/>
      <c r="DD31" s="2"/>
      <c r="DE31" s="2"/>
      <c r="DF31" s="2"/>
      <c r="DG31" s="2"/>
      <c r="DH31" s="2"/>
      <c r="DI31" s="2"/>
      <c r="DJ31" s="2"/>
      <c r="DK31" s="2"/>
      <c r="DL31" s="2"/>
      <c r="DM31" s="2"/>
      <c r="DN31" s="2"/>
      <c r="DO31" s="2" t="n">
        <v>1</v>
      </c>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row>
    <row r="32" customFormat="false" ht="15" hidden="false" customHeight="false" outlineLevel="0" collapsed="false">
      <c r="A32" s="2" t="s">
        <v>228</v>
      </c>
      <c r="B32" s="2" t="n">
        <v>1182</v>
      </c>
      <c r="C32" s="2" t="n">
        <v>2</v>
      </c>
      <c r="D32" s="2" t="n">
        <v>11</v>
      </c>
      <c r="E32" s="2" t="n">
        <v>1</v>
      </c>
      <c r="F32" s="2"/>
      <c r="G32" s="2" t="n">
        <v>1</v>
      </c>
      <c r="H32" s="2" t="n">
        <v>1</v>
      </c>
      <c r="I32" s="2" t="n">
        <v>1</v>
      </c>
      <c r="J32" s="2" t="n">
        <v>0</v>
      </c>
      <c r="K32" s="2" t="n">
        <v>1</v>
      </c>
      <c r="L32" s="2" t="n">
        <v>1</v>
      </c>
      <c r="M32" s="2" t="n">
        <v>1</v>
      </c>
      <c r="N32" s="2" t="n">
        <v>1</v>
      </c>
      <c r="O32" s="2" t="n">
        <v>1</v>
      </c>
      <c r="P32" s="2" t="n">
        <v>1</v>
      </c>
      <c r="Q32" s="2" t="n">
        <v>0</v>
      </c>
      <c r="R32" s="2" t="n">
        <v>0</v>
      </c>
      <c r="S32" s="2" t="n">
        <v>0</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row>
    <row r="33" customFormat="false" ht="15" hidden="false" customHeight="false" outlineLevel="0" collapsed="false">
      <c r="A33" s="2" t="s">
        <v>375</v>
      </c>
      <c r="B33" s="2" t="n">
        <v>1309</v>
      </c>
      <c r="C33" s="2" t="n">
        <v>2</v>
      </c>
      <c r="D33" s="2" t="n">
        <v>3</v>
      </c>
      <c r="E33" s="2" t="n">
        <v>1</v>
      </c>
      <c r="F33" s="2"/>
      <c r="G33" s="2" t="n">
        <v>1</v>
      </c>
      <c r="H33" s="2" t="n">
        <v>1</v>
      </c>
      <c r="I33" s="2" t="n">
        <v>1</v>
      </c>
      <c r="J33" s="2" t="n">
        <v>0</v>
      </c>
      <c r="K33" s="2" t="n">
        <v>1</v>
      </c>
      <c r="L33" s="2" t="n">
        <v>1</v>
      </c>
      <c r="M33" s="2" t="n">
        <v>1</v>
      </c>
      <c r="N33" s="2" t="n">
        <v>0</v>
      </c>
      <c r="O33" s="2" t="n">
        <v>1</v>
      </c>
      <c r="P33" s="2" t="n">
        <v>1</v>
      </c>
      <c r="Q33" s="2" t="n">
        <v>0</v>
      </c>
      <c r="R33" s="2" t="n">
        <v>1</v>
      </c>
      <c r="S33" s="2" t="n">
        <v>0</v>
      </c>
      <c r="T33" s="2"/>
      <c r="U33" s="2" t="n">
        <v>5</v>
      </c>
      <c r="V33" s="2"/>
      <c r="W33" s="2" t="n">
        <v>30</v>
      </c>
      <c r="X33" s="2"/>
      <c r="Y33" s="2"/>
      <c r="Z33" s="2" t="n">
        <v>90</v>
      </c>
      <c r="AA33" s="2"/>
      <c r="AB33" s="2"/>
      <c r="AC33" s="2" t="n">
        <v>2</v>
      </c>
      <c r="AD33" s="2"/>
      <c r="AE33" s="2" t="n">
        <v>3</v>
      </c>
      <c r="AF33" s="2" t="n">
        <v>2</v>
      </c>
      <c r="AG33" s="2" t="n">
        <v>30</v>
      </c>
      <c r="AH33" s="2" t="s">
        <v>376</v>
      </c>
      <c r="AI33" s="2"/>
      <c r="AJ33" s="2" t="n">
        <v>18</v>
      </c>
      <c r="AK33" s="2" t="n">
        <v>16</v>
      </c>
      <c r="AL33" s="2"/>
      <c r="AM33" s="2"/>
      <c r="AN33" s="2"/>
      <c r="AO33" s="2" t="n">
        <v>1</v>
      </c>
      <c r="AP33" s="2" t="n">
        <v>2</v>
      </c>
      <c r="AQ33" s="2" t="n">
        <v>2</v>
      </c>
      <c r="AR33" s="2" t="n">
        <v>2</v>
      </c>
      <c r="AS33" s="2" t="n">
        <v>2023</v>
      </c>
      <c r="AT33" s="2" t="s">
        <v>231</v>
      </c>
      <c r="AU33" s="2" t="s">
        <v>250</v>
      </c>
      <c r="AV33" s="2" t="n">
        <v>2023</v>
      </c>
      <c r="AW33" s="2" t="s">
        <v>231</v>
      </c>
      <c r="AX33" s="2"/>
      <c r="AY33" s="2" t="n">
        <v>2</v>
      </c>
      <c r="AZ33" s="2" t="n">
        <v>1</v>
      </c>
      <c r="BA33" s="2" t="s">
        <v>377</v>
      </c>
      <c r="BB33" s="2"/>
      <c r="BC33" s="2" t="n">
        <v>1</v>
      </c>
      <c r="BD33" s="2" t="n">
        <v>1</v>
      </c>
      <c r="BE33" s="2" t="n">
        <v>0</v>
      </c>
      <c r="BF33" s="2" t="n">
        <v>1</v>
      </c>
      <c r="BG33" s="2" t="n">
        <v>1</v>
      </c>
      <c r="BH33" s="2" t="n">
        <v>1</v>
      </c>
      <c r="BI33" s="2" t="s">
        <v>378</v>
      </c>
      <c r="BJ33" s="2" t="n">
        <v>1</v>
      </c>
      <c r="BK33" s="2" t="n">
        <v>0</v>
      </c>
      <c r="BL33" s="2" t="n">
        <v>0</v>
      </c>
      <c r="BM33" s="2" t="n">
        <v>0</v>
      </c>
      <c r="BN33" s="2" t="n">
        <v>0</v>
      </c>
      <c r="BO33" s="2" t="n">
        <v>1</v>
      </c>
      <c r="BP33" s="2" t="n">
        <v>0</v>
      </c>
      <c r="BQ33" s="2" t="n">
        <v>0</v>
      </c>
      <c r="BR33" s="2"/>
      <c r="BS33" s="2" t="n">
        <v>2</v>
      </c>
      <c r="BT33" s="2" t="n">
        <v>2</v>
      </c>
      <c r="BU33" s="2" t="n">
        <v>2</v>
      </c>
      <c r="BV33" s="2" t="n">
        <v>2</v>
      </c>
      <c r="BW33" s="2"/>
      <c r="BX33" s="2"/>
      <c r="BY33" s="2"/>
      <c r="BZ33" s="2"/>
      <c r="CA33" s="2"/>
      <c r="CB33" s="2"/>
      <c r="CC33" s="2"/>
      <c r="CD33" s="2"/>
      <c r="CE33" s="2"/>
      <c r="CF33" s="2"/>
      <c r="CG33" s="2"/>
      <c r="CH33" s="2"/>
      <c r="CI33" s="2"/>
      <c r="CJ33" s="2" t="n">
        <v>2</v>
      </c>
      <c r="CK33" s="2"/>
      <c r="CL33" s="2"/>
      <c r="CM33" s="2"/>
      <c r="CN33" s="2"/>
      <c r="CO33" s="2"/>
      <c r="CP33" s="2"/>
      <c r="CQ33" s="2"/>
      <c r="CR33" s="2"/>
      <c r="CS33" s="2"/>
      <c r="CT33" s="2"/>
      <c r="CU33" s="2"/>
      <c r="CV33" s="2"/>
      <c r="CW33" s="2"/>
      <c r="CX33" s="2" t="n">
        <v>1</v>
      </c>
      <c r="CY33" s="2" t="n">
        <v>4</v>
      </c>
      <c r="CZ33" s="2" t="n">
        <v>1</v>
      </c>
      <c r="DA33" s="2"/>
      <c r="DB33" s="2" t="n">
        <v>3</v>
      </c>
      <c r="DC33" s="2" t="n">
        <v>0</v>
      </c>
      <c r="DD33" s="2" t="n">
        <v>1</v>
      </c>
      <c r="DE33" s="2" t="n">
        <v>0</v>
      </c>
      <c r="DF33" s="2" t="n">
        <v>0</v>
      </c>
      <c r="DG33" s="2" t="n">
        <v>0</v>
      </c>
      <c r="DH33" s="2" t="n">
        <v>0</v>
      </c>
      <c r="DI33" s="2"/>
      <c r="DJ33" s="2" t="n">
        <v>1</v>
      </c>
      <c r="DK33" s="2"/>
      <c r="DL33" s="2" t="n">
        <v>2</v>
      </c>
      <c r="DM33" s="2"/>
      <c r="DN33" s="2" t="n">
        <v>2</v>
      </c>
      <c r="DO33" s="2" t="n">
        <v>1</v>
      </c>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row>
    <row r="34" customFormat="false" ht="15" hidden="false" customHeight="false" outlineLevel="0" collapsed="false">
      <c r="A34" s="2" t="s">
        <v>379</v>
      </c>
      <c r="B34" s="2" t="n">
        <v>253</v>
      </c>
      <c r="C34" s="2" t="n">
        <v>1</v>
      </c>
      <c r="D34" s="2" t="n">
        <v>11</v>
      </c>
      <c r="E34" s="2" t="n">
        <v>1</v>
      </c>
      <c r="F34" s="2"/>
      <c r="G34" s="2" t="n">
        <v>1</v>
      </c>
      <c r="H34" s="2" t="n">
        <v>1</v>
      </c>
      <c r="I34" s="2" t="n">
        <v>0</v>
      </c>
      <c r="J34" s="2" t="n">
        <v>0</v>
      </c>
      <c r="K34" s="2" t="n">
        <v>0</v>
      </c>
      <c r="L34" s="2" t="n">
        <v>0</v>
      </c>
      <c r="M34" s="2" t="n">
        <v>1</v>
      </c>
      <c r="N34" s="2" t="n">
        <v>0</v>
      </c>
      <c r="O34" s="2" t="n">
        <v>1</v>
      </c>
      <c r="P34" s="2" t="n">
        <v>1</v>
      </c>
      <c r="Q34" s="2" t="n">
        <v>0</v>
      </c>
      <c r="R34" s="2" t="n">
        <v>0</v>
      </c>
      <c r="S34" s="2" t="n">
        <v>0</v>
      </c>
      <c r="T34" s="2"/>
      <c r="U34" s="2"/>
      <c r="V34" s="2"/>
      <c r="W34" s="2"/>
      <c r="X34" s="2"/>
      <c r="Y34" s="2"/>
      <c r="Z34" s="2"/>
      <c r="AA34" s="2"/>
      <c r="AB34" s="2"/>
      <c r="AC34" s="2" t="n">
        <v>2</v>
      </c>
      <c r="AD34" s="2"/>
      <c r="AE34" s="2" t="n">
        <v>2</v>
      </c>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row>
    <row r="35" customFormat="false" ht="15" hidden="false" customHeight="false" outlineLevel="0" collapsed="false">
      <c r="A35" s="2" t="s">
        <v>380</v>
      </c>
      <c r="B35" s="2" t="n">
        <v>277</v>
      </c>
      <c r="C35" s="2" t="n">
        <v>1</v>
      </c>
      <c r="D35" s="2" t="n">
        <v>11</v>
      </c>
      <c r="E35" s="2" t="n">
        <v>1</v>
      </c>
      <c r="F35" s="2"/>
      <c r="G35" s="2" t="n">
        <v>1</v>
      </c>
      <c r="H35" s="2" t="n">
        <v>1</v>
      </c>
      <c r="I35" s="2" t="n">
        <v>1</v>
      </c>
      <c r="J35" s="2" t="n">
        <v>1</v>
      </c>
      <c r="K35" s="2" t="n">
        <v>1</v>
      </c>
      <c r="L35" s="2" t="n">
        <v>0</v>
      </c>
      <c r="M35" s="2" t="n">
        <v>2</v>
      </c>
      <c r="N35" s="2" t="n">
        <v>0</v>
      </c>
      <c r="O35" s="2" t="n">
        <v>1</v>
      </c>
      <c r="P35" s="2" t="n">
        <v>1</v>
      </c>
      <c r="Q35" s="2" t="n">
        <v>0</v>
      </c>
      <c r="R35" s="2" t="n">
        <v>1</v>
      </c>
      <c r="S35" s="2" t="n">
        <v>0</v>
      </c>
      <c r="T35" s="2"/>
      <c r="U35" s="2" t="n">
        <v>0.0005</v>
      </c>
      <c r="V35" s="2"/>
      <c r="W35" s="2" t="n">
        <v>60</v>
      </c>
      <c r="X35" s="2"/>
      <c r="Y35" s="2"/>
      <c r="Z35" s="2" t="n">
        <v>30</v>
      </c>
      <c r="AA35" s="2"/>
      <c r="AB35" s="2"/>
      <c r="AC35" s="2" t="n">
        <v>2</v>
      </c>
      <c r="AD35" s="2"/>
      <c r="AE35" s="2" t="n">
        <v>3</v>
      </c>
      <c r="AF35" s="2" t="n">
        <v>2</v>
      </c>
      <c r="AG35" s="2" t="n">
        <v>60</v>
      </c>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row>
    <row r="36" customFormat="false" ht="15" hidden="false" customHeight="false" outlineLevel="0" collapsed="false">
      <c r="A36" s="2" t="s">
        <v>381</v>
      </c>
      <c r="B36" s="2" t="n">
        <v>14552</v>
      </c>
      <c r="C36" s="2" t="n">
        <v>5</v>
      </c>
      <c r="D36" s="2" t="n">
        <v>1</v>
      </c>
      <c r="E36" s="2" t="n">
        <v>1</v>
      </c>
      <c r="F36" s="2"/>
      <c r="G36" s="2" t="n">
        <v>1</v>
      </c>
      <c r="H36" s="2" t="n">
        <v>1</v>
      </c>
      <c r="I36" s="2" t="n">
        <v>1</v>
      </c>
      <c r="J36" s="2" t="n">
        <v>1</v>
      </c>
      <c r="K36" s="2" t="n">
        <v>1</v>
      </c>
      <c r="L36" s="2" t="n">
        <v>1</v>
      </c>
      <c r="M36" s="2" t="n">
        <v>1</v>
      </c>
      <c r="N36" s="2" t="n">
        <v>0</v>
      </c>
      <c r="O36" s="2" t="n">
        <v>1</v>
      </c>
      <c r="P36" s="2" t="n">
        <v>1</v>
      </c>
      <c r="Q36" s="2" t="n">
        <v>0</v>
      </c>
      <c r="R36" s="2" t="n">
        <v>1</v>
      </c>
      <c r="S36" s="2" t="n">
        <v>0</v>
      </c>
      <c r="T36" s="2"/>
      <c r="U36" s="2" t="n">
        <v>25</v>
      </c>
      <c r="V36" s="2"/>
      <c r="W36" s="2" t="n">
        <v>10</v>
      </c>
      <c r="X36" s="2"/>
      <c r="Y36" s="2"/>
      <c r="Z36" s="2" t="n">
        <v>20</v>
      </c>
      <c r="AA36" s="2"/>
      <c r="AB36" s="2"/>
      <c r="AC36" s="2" t="n">
        <v>2</v>
      </c>
      <c r="AD36" s="2"/>
      <c r="AE36" s="2" t="n">
        <v>3</v>
      </c>
      <c r="AF36" s="2" t="n">
        <v>2</v>
      </c>
      <c r="AG36" s="2"/>
      <c r="AH36" s="2" t="s">
        <v>382</v>
      </c>
      <c r="AI36" s="2"/>
      <c r="AJ36" s="2" t="n">
        <v>12</v>
      </c>
      <c r="AK36" s="2" t="n">
        <v>14</v>
      </c>
      <c r="AL36" s="2"/>
      <c r="AM36" s="2"/>
      <c r="AN36" s="2"/>
      <c r="AO36" s="2" t="n">
        <v>1</v>
      </c>
      <c r="AP36" s="2"/>
      <c r="AQ36" s="2"/>
      <c r="AR36" s="2"/>
      <c r="AS36" s="2" t="n">
        <v>2021</v>
      </c>
      <c r="AT36" s="2" t="s">
        <v>286</v>
      </c>
      <c r="AU36" s="2" t="s">
        <v>286</v>
      </c>
      <c r="AV36" s="2"/>
      <c r="AW36" s="2"/>
      <c r="AX36" s="2"/>
      <c r="AY36" s="2" t="n">
        <v>2</v>
      </c>
      <c r="AZ36" s="2" t="n">
        <v>4</v>
      </c>
      <c r="BA36" s="2"/>
      <c r="BB36" s="2" t="s">
        <v>383</v>
      </c>
      <c r="BC36" s="2" t="n">
        <v>0</v>
      </c>
      <c r="BD36" s="2" t="n">
        <v>0</v>
      </c>
      <c r="BE36" s="2" t="n">
        <v>0</v>
      </c>
      <c r="BF36" s="2" t="n">
        <v>0</v>
      </c>
      <c r="BG36" s="2" t="n">
        <v>1</v>
      </c>
      <c r="BH36" s="2" t="n">
        <v>1</v>
      </c>
      <c r="BI36" s="2"/>
      <c r="BJ36" s="2" t="n">
        <v>1</v>
      </c>
      <c r="BK36" s="2" t="n">
        <v>0</v>
      </c>
      <c r="BL36" s="2" t="n">
        <v>0</v>
      </c>
      <c r="BM36" s="2" t="n">
        <v>1</v>
      </c>
      <c r="BN36" s="2" t="n">
        <v>0</v>
      </c>
      <c r="BO36" s="2" t="n">
        <v>0</v>
      </c>
      <c r="BP36" s="2" t="n">
        <v>0</v>
      </c>
      <c r="BQ36" s="2" t="n">
        <v>0</v>
      </c>
      <c r="BR36" s="2" t="s">
        <v>384</v>
      </c>
      <c r="BS36" s="2" t="n">
        <v>2</v>
      </c>
      <c r="BT36" s="2" t="n">
        <v>2</v>
      </c>
      <c r="BU36" s="2" t="n">
        <v>2</v>
      </c>
      <c r="BV36" s="2" t="n">
        <v>1</v>
      </c>
      <c r="BW36" s="2" t="n">
        <v>2025</v>
      </c>
      <c r="BX36" s="2" t="n">
        <v>1</v>
      </c>
      <c r="BY36" s="2" t="n">
        <v>2.99</v>
      </c>
      <c r="BZ36" s="2" t="n">
        <v>1</v>
      </c>
      <c r="CA36" s="2" t="n">
        <v>0</v>
      </c>
      <c r="CB36" s="2" t="n">
        <v>1</v>
      </c>
      <c r="CC36" s="2" t="n">
        <v>0</v>
      </c>
      <c r="CD36" s="2" t="n">
        <v>0</v>
      </c>
      <c r="CE36" s="2" t="n">
        <v>1</v>
      </c>
      <c r="CF36" s="2"/>
      <c r="CG36" s="2" t="n">
        <v>1</v>
      </c>
      <c r="CH36" s="2"/>
      <c r="CI36" s="2" t="n">
        <v>53.64</v>
      </c>
      <c r="CJ36" s="2" t="n">
        <v>1</v>
      </c>
      <c r="CK36" s="2" t="n">
        <v>2025</v>
      </c>
      <c r="CL36" s="2" t="n">
        <v>1</v>
      </c>
      <c r="CM36" s="2" t="n">
        <v>9.26</v>
      </c>
      <c r="CN36" s="2" t="n">
        <v>1</v>
      </c>
      <c r="CO36" s="2" t="n">
        <v>0</v>
      </c>
      <c r="CP36" s="2" t="n">
        <v>1</v>
      </c>
      <c r="CQ36" s="2" t="n">
        <v>0</v>
      </c>
      <c r="CR36" s="2" t="n">
        <v>0</v>
      </c>
      <c r="CS36" s="2" t="n">
        <v>1</v>
      </c>
      <c r="CT36" s="2"/>
      <c r="CU36" s="2" t="n">
        <v>4</v>
      </c>
      <c r="CV36" s="2" t="s">
        <v>385</v>
      </c>
      <c r="CW36" s="2" t="n">
        <v>77.92</v>
      </c>
      <c r="CX36" s="2" t="n">
        <v>1</v>
      </c>
      <c r="CY36" s="2" t="n">
        <v>7</v>
      </c>
      <c r="CZ36" s="2" t="n">
        <v>1</v>
      </c>
      <c r="DA36" s="2" t="n">
        <v>0.99</v>
      </c>
      <c r="DB36" s="2"/>
      <c r="DC36" s="2" t="n">
        <v>1</v>
      </c>
      <c r="DD36" s="2" t="n">
        <v>0</v>
      </c>
      <c r="DE36" s="2" t="n">
        <v>1</v>
      </c>
      <c r="DF36" s="2" t="n">
        <v>0</v>
      </c>
      <c r="DG36" s="2" t="n">
        <v>0</v>
      </c>
      <c r="DH36" s="2" t="n">
        <v>1</v>
      </c>
      <c r="DI36" s="2"/>
      <c r="DJ36" s="2" t="n">
        <v>2</v>
      </c>
      <c r="DK36" s="2" t="s">
        <v>386</v>
      </c>
      <c r="DL36" s="2" t="n">
        <v>2</v>
      </c>
      <c r="DM36" s="2"/>
      <c r="DN36" s="2" t="n">
        <v>19.86</v>
      </c>
      <c r="DO36" s="2" t="n">
        <v>1</v>
      </c>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t="n">
        <v>1</v>
      </c>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t="n">
        <v>2</v>
      </c>
      <c r="GP36" s="2"/>
      <c r="GQ36" s="2" t="n">
        <v>2</v>
      </c>
      <c r="GR36" s="2"/>
      <c r="GS36" s="2" t="s">
        <v>362</v>
      </c>
      <c r="GT36" s="2" t="n">
        <v>1</v>
      </c>
      <c r="GU36" s="2"/>
      <c r="GV36" s="2"/>
      <c r="GW36" s="2"/>
      <c r="GX36" s="2"/>
      <c r="GY36" s="2"/>
      <c r="GZ36" s="2"/>
      <c r="HA36" s="2"/>
      <c r="HB36" s="2"/>
      <c r="HC36" s="2"/>
      <c r="HD36" s="2" t="s">
        <v>362</v>
      </c>
      <c r="HE36" s="2"/>
    </row>
    <row r="37" customFormat="false" ht="15" hidden="false" customHeight="false" outlineLevel="0" collapsed="false">
      <c r="A37" s="2" t="s">
        <v>387</v>
      </c>
      <c r="B37" s="2" t="n">
        <v>1412</v>
      </c>
      <c r="C37" s="2" t="n">
        <v>3</v>
      </c>
      <c r="D37" s="2" t="n">
        <v>8</v>
      </c>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row>
    <row r="38" customFormat="false" ht="15" hidden="false" customHeight="false" outlineLevel="0" collapsed="false">
      <c r="A38" s="2" t="s">
        <v>388</v>
      </c>
      <c r="B38" s="2" t="n">
        <v>260</v>
      </c>
      <c r="C38" s="2" t="n">
        <v>1</v>
      </c>
      <c r="D38" s="2" t="n">
        <v>10</v>
      </c>
      <c r="E38" s="2" t="n">
        <v>1</v>
      </c>
      <c r="F38" s="2"/>
      <c r="G38" s="2" t="n">
        <v>1</v>
      </c>
      <c r="H38" s="2" t="n">
        <v>1</v>
      </c>
      <c r="I38" s="2" t="n">
        <v>1</v>
      </c>
      <c r="J38" s="2" t="n">
        <v>0</v>
      </c>
      <c r="K38" s="2" t="n">
        <v>1</v>
      </c>
      <c r="L38" s="2" t="n">
        <v>0</v>
      </c>
      <c r="M38" s="2" t="n">
        <v>1</v>
      </c>
      <c r="N38" s="2" t="n">
        <v>0</v>
      </c>
      <c r="O38" s="2" t="n">
        <v>1</v>
      </c>
      <c r="P38" s="2" t="n">
        <v>1</v>
      </c>
      <c r="Q38" s="2" t="n">
        <v>0</v>
      </c>
      <c r="R38" s="2" t="n">
        <v>0</v>
      </c>
      <c r="S38" s="2" t="n">
        <v>0</v>
      </c>
      <c r="T38" s="2"/>
      <c r="U38" s="2" t="n">
        <v>0.015</v>
      </c>
      <c r="V38" s="2"/>
      <c r="W38" s="2" t="n">
        <v>1</v>
      </c>
      <c r="X38" s="2"/>
      <c r="Y38" s="2"/>
      <c r="Z38" s="2" t="n">
        <v>90</v>
      </c>
      <c r="AA38" s="2"/>
      <c r="AB38" s="2"/>
      <c r="AC38" s="2" t="n">
        <v>2</v>
      </c>
      <c r="AD38" s="2"/>
      <c r="AE38" s="2" t="n">
        <v>3</v>
      </c>
      <c r="AF38" s="2" t="n">
        <v>2</v>
      </c>
      <c r="AG38" s="2" t="n">
        <v>30</v>
      </c>
      <c r="AH38" s="2" t="s">
        <v>389</v>
      </c>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row>
    <row r="39" customFormat="false" ht="15" hidden="false" customHeight="false" outlineLevel="0" collapsed="false">
      <c r="A39" s="2" t="s">
        <v>390</v>
      </c>
      <c r="B39" s="2" t="n">
        <v>2103</v>
      </c>
      <c r="C39" s="2" t="n">
        <v>3</v>
      </c>
      <c r="D39" s="2" t="n">
        <v>7</v>
      </c>
      <c r="E39" s="2" t="n">
        <v>1</v>
      </c>
      <c r="F39" s="2"/>
      <c r="G39" s="2" t="n">
        <v>1</v>
      </c>
      <c r="H39" s="2" t="n">
        <v>1</v>
      </c>
      <c r="I39" s="2" t="n">
        <v>0</v>
      </c>
      <c r="J39" s="2" t="n">
        <v>0</v>
      </c>
      <c r="K39" s="2" t="n">
        <v>1</v>
      </c>
      <c r="L39" s="2" t="n">
        <v>0</v>
      </c>
      <c r="M39" s="2" t="n">
        <v>2</v>
      </c>
      <c r="N39" s="2" t="n">
        <v>0</v>
      </c>
      <c r="O39" s="2" t="n">
        <v>1</v>
      </c>
      <c r="P39" s="2" t="n">
        <v>1</v>
      </c>
      <c r="Q39" s="2" t="n">
        <v>0</v>
      </c>
      <c r="R39" s="2" t="n">
        <v>0</v>
      </c>
      <c r="S39" s="2" t="n">
        <v>0</v>
      </c>
      <c r="T39" s="2"/>
      <c r="U39" s="2" t="n">
        <v>25</v>
      </c>
      <c r="V39" s="2"/>
      <c r="W39" s="2" t="n">
        <v>30</v>
      </c>
      <c r="X39" s="2"/>
      <c r="Y39" s="2"/>
      <c r="Z39" s="2" t="n">
        <v>43</v>
      </c>
      <c r="AA39" s="2"/>
      <c r="AB39" s="2"/>
      <c r="AC39" s="2" t="n">
        <v>2</v>
      </c>
      <c r="AD39" s="2"/>
      <c r="AE39" s="2" t="n">
        <v>2</v>
      </c>
      <c r="AF39" s="2"/>
      <c r="AG39" s="2" t="n">
        <v>0</v>
      </c>
      <c r="AH39" s="2" t="s">
        <v>391</v>
      </c>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row>
    <row r="40" customFormat="false" ht="15" hidden="false" customHeight="false" outlineLevel="0" collapsed="false">
      <c r="A40" s="2" t="s">
        <v>392</v>
      </c>
      <c r="B40" s="2" t="n">
        <v>736</v>
      </c>
      <c r="C40" s="2" t="n">
        <v>2</v>
      </c>
      <c r="D40" s="2" t="n">
        <v>10</v>
      </c>
      <c r="E40" s="2" t="n">
        <v>2</v>
      </c>
      <c r="F40" s="2"/>
      <c r="G40" s="2" t="n">
        <v>1</v>
      </c>
      <c r="H40" s="2" t="n">
        <v>1</v>
      </c>
      <c r="I40" s="2" t="n">
        <v>1</v>
      </c>
      <c r="J40" s="2" t="n">
        <v>0</v>
      </c>
      <c r="K40" s="2" t="n">
        <v>0</v>
      </c>
      <c r="L40" s="2" t="n">
        <v>0</v>
      </c>
      <c r="M40" s="2" t="n">
        <v>2</v>
      </c>
      <c r="N40" s="2" t="n">
        <v>1</v>
      </c>
      <c r="O40" s="2" t="n">
        <v>1</v>
      </c>
      <c r="P40" s="2" t="n">
        <v>0</v>
      </c>
      <c r="Q40" s="2" t="n">
        <v>1</v>
      </c>
      <c r="R40" s="2" t="n">
        <v>1</v>
      </c>
      <c r="S40" s="2" t="n">
        <v>0</v>
      </c>
      <c r="T40" s="2"/>
      <c r="U40" s="2" t="n">
        <v>0.015</v>
      </c>
      <c r="V40" s="2" t="n">
        <v>0.015</v>
      </c>
      <c r="W40" s="2"/>
      <c r="X40" s="2" t="n">
        <v>0.015</v>
      </c>
      <c r="Y40" s="2" t="n">
        <v>0.015</v>
      </c>
      <c r="Z40" s="2" t="n">
        <v>60</v>
      </c>
      <c r="AA40" s="2"/>
      <c r="AB40" s="2" t="n">
        <v>60</v>
      </c>
      <c r="AC40" s="2" t="n">
        <v>1</v>
      </c>
      <c r="AD40" s="2" t="s">
        <v>393</v>
      </c>
      <c r="AE40" s="2" t="n">
        <v>3</v>
      </c>
      <c r="AF40" s="2" t="n">
        <v>2</v>
      </c>
      <c r="AG40" s="2" t="n">
        <v>30</v>
      </c>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row>
    <row r="41" customFormat="false" ht="15" hidden="false" customHeight="false" outlineLevel="0" collapsed="false">
      <c r="A41" s="2" t="s">
        <v>394</v>
      </c>
      <c r="B41" s="2" t="n">
        <v>2433</v>
      </c>
      <c r="C41" s="2" t="n">
        <v>3</v>
      </c>
      <c r="D41" s="2" t="n">
        <v>1</v>
      </c>
      <c r="E41" s="2" t="n">
        <v>1</v>
      </c>
      <c r="F41" s="2"/>
      <c r="G41" s="2" t="n">
        <v>1</v>
      </c>
      <c r="H41" s="2" t="n">
        <v>1</v>
      </c>
      <c r="I41" s="2" t="n">
        <v>1</v>
      </c>
      <c r="J41" s="2" t="n">
        <v>0</v>
      </c>
      <c r="K41" s="2" t="n">
        <v>1</v>
      </c>
      <c r="L41" s="2" t="n">
        <v>1</v>
      </c>
      <c r="M41" s="2" t="n">
        <v>1</v>
      </c>
      <c r="N41" s="2" t="n">
        <v>1</v>
      </c>
      <c r="O41" s="2" t="n">
        <v>1</v>
      </c>
      <c r="P41" s="2" t="n">
        <v>1</v>
      </c>
      <c r="Q41" s="2" t="n">
        <v>0</v>
      </c>
      <c r="R41" s="2" t="n">
        <v>0</v>
      </c>
      <c r="S41" s="2" t="n">
        <v>0</v>
      </c>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row>
    <row r="42" customFormat="false" ht="15" hidden="false" customHeight="false" outlineLevel="0" collapsed="false">
      <c r="A42" s="2" t="s">
        <v>395</v>
      </c>
      <c r="B42" s="2" t="n">
        <v>27568</v>
      </c>
      <c r="C42" s="2" t="n">
        <v>5</v>
      </c>
      <c r="D42" s="2" t="n">
        <v>2</v>
      </c>
      <c r="E42" s="2" t="n">
        <v>1</v>
      </c>
      <c r="F42" s="2"/>
      <c r="G42" s="2" t="n">
        <v>1</v>
      </c>
      <c r="H42" s="2" t="n">
        <v>1</v>
      </c>
      <c r="I42" s="2" t="n">
        <v>1</v>
      </c>
      <c r="J42" s="2" t="n">
        <v>1</v>
      </c>
      <c r="K42" s="2" t="n">
        <v>1</v>
      </c>
      <c r="L42" s="2" t="n">
        <v>0</v>
      </c>
      <c r="M42" s="2" t="n">
        <v>1</v>
      </c>
      <c r="N42" s="2" t="n">
        <v>1</v>
      </c>
      <c r="O42" s="2" t="n">
        <v>1</v>
      </c>
      <c r="P42" s="2" t="n">
        <v>1</v>
      </c>
      <c r="Q42" s="2" t="n">
        <v>0</v>
      </c>
      <c r="R42" s="2" t="n">
        <v>0</v>
      </c>
      <c r="S42" s="2" t="n">
        <v>0</v>
      </c>
      <c r="T42" s="2"/>
      <c r="U42" s="2" t="n">
        <v>0.02</v>
      </c>
      <c r="V42" s="2"/>
      <c r="W42" s="2" t="n">
        <v>10</v>
      </c>
      <c r="X42" s="2"/>
      <c r="Y42" s="2"/>
      <c r="Z42" s="2"/>
      <c r="AA42" s="2" t="n">
        <v>200</v>
      </c>
      <c r="AB42" s="2" t="n">
        <v>90</v>
      </c>
      <c r="AC42" s="2" t="n">
        <v>1</v>
      </c>
      <c r="AD42" s="2" t="s">
        <v>396</v>
      </c>
      <c r="AE42" s="2" t="n">
        <v>3</v>
      </c>
      <c r="AF42" s="2" t="n">
        <v>3</v>
      </c>
      <c r="AG42" s="2" t="n">
        <v>365</v>
      </c>
      <c r="AH42" s="2" t="s">
        <v>397</v>
      </c>
      <c r="AI42" s="2" t="s">
        <v>398</v>
      </c>
      <c r="AJ42" s="2"/>
      <c r="AK42" s="2"/>
      <c r="AL42" s="2"/>
      <c r="AM42" s="2"/>
      <c r="AN42" s="2"/>
      <c r="AO42" s="2"/>
      <c r="AP42" s="2"/>
      <c r="AQ42" s="2"/>
      <c r="AR42" s="2"/>
      <c r="AS42" s="2"/>
      <c r="AT42" s="2"/>
      <c r="AU42" s="2"/>
      <c r="AV42" s="2"/>
      <c r="AW42" s="2"/>
      <c r="AX42" s="2"/>
      <c r="AY42" s="2" t="n">
        <v>2</v>
      </c>
      <c r="AZ42" s="2" t="n">
        <v>2</v>
      </c>
      <c r="BA42" s="2"/>
      <c r="BB42" s="2"/>
      <c r="BC42" s="2" t="n">
        <v>0</v>
      </c>
      <c r="BD42" s="2" t="n">
        <v>0</v>
      </c>
      <c r="BE42" s="2" t="n">
        <v>0</v>
      </c>
      <c r="BF42" s="2" t="n">
        <v>0</v>
      </c>
      <c r="BG42" s="2" t="n">
        <v>1</v>
      </c>
      <c r="BH42" s="2" t="n">
        <v>0</v>
      </c>
      <c r="BI42" s="2"/>
      <c r="BJ42" s="2" t="n">
        <v>1</v>
      </c>
      <c r="BK42" s="2" t="n">
        <v>0</v>
      </c>
      <c r="BL42" s="2" t="n">
        <v>0</v>
      </c>
      <c r="BM42" s="2" t="n">
        <v>0</v>
      </c>
      <c r="BN42" s="2" t="n">
        <v>1</v>
      </c>
      <c r="BO42" s="2" t="n">
        <v>0</v>
      </c>
      <c r="BP42" s="2" t="n">
        <v>1</v>
      </c>
      <c r="BQ42" s="2" t="n">
        <v>1</v>
      </c>
      <c r="BR42" s="2"/>
      <c r="BS42" s="2"/>
      <c r="BT42" s="2"/>
      <c r="BU42" s="2"/>
      <c r="BV42" s="2" t="n">
        <v>2</v>
      </c>
      <c r="BW42" s="2"/>
      <c r="BX42" s="2"/>
      <c r="BY42" s="2"/>
      <c r="BZ42" s="2"/>
      <c r="CA42" s="2"/>
      <c r="CB42" s="2"/>
      <c r="CC42" s="2"/>
      <c r="CD42" s="2"/>
      <c r="CE42" s="2"/>
      <c r="CF42" s="2"/>
      <c r="CG42" s="2"/>
      <c r="CH42" s="2"/>
      <c r="CI42" s="2"/>
      <c r="CJ42" s="2" t="n">
        <v>1</v>
      </c>
      <c r="CK42" s="2" t="n">
        <v>2025</v>
      </c>
      <c r="CL42" s="2" t="n">
        <v>1</v>
      </c>
      <c r="CM42" s="2" t="n">
        <v>5</v>
      </c>
      <c r="CN42" s="2" t="n">
        <v>0</v>
      </c>
      <c r="CO42" s="2" t="n">
        <v>1</v>
      </c>
      <c r="CP42" s="2" t="n">
        <v>0</v>
      </c>
      <c r="CQ42" s="2" t="n">
        <v>0</v>
      </c>
      <c r="CR42" s="2" t="n">
        <v>0</v>
      </c>
      <c r="CS42" s="2" t="n">
        <v>0</v>
      </c>
      <c r="CT42" s="2"/>
      <c r="CU42" s="2" t="n">
        <v>1</v>
      </c>
      <c r="CV42" s="2"/>
      <c r="CW42" s="2"/>
      <c r="CX42" s="2" t="n">
        <v>1</v>
      </c>
      <c r="CY42" s="2" t="n">
        <v>7</v>
      </c>
      <c r="CZ42" s="2" t="n">
        <v>1</v>
      </c>
      <c r="DA42" s="2" t="n">
        <v>5</v>
      </c>
      <c r="DB42" s="2"/>
      <c r="DC42" s="2" t="n">
        <v>0</v>
      </c>
      <c r="DD42" s="2" t="n">
        <v>1</v>
      </c>
      <c r="DE42" s="2" t="n">
        <v>0</v>
      </c>
      <c r="DF42" s="2" t="n">
        <v>0</v>
      </c>
      <c r="DG42" s="2" t="n">
        <v>0</v>
      </c>
      <c r="DH42" s="2" t="n">
        <v>0</v>
      </c>
      <c r="DI42" s="2"/>
      <c r="DJ42" s="2" t="n">
        <v>1</v>
      </c>
      <c r="DK42" s="2"/>
      <c r="DL42" s="2" t="n">
        <v>1</v>
      </c>
      <c r="DM42" s="2" t="s">
        <v>399</v>
      </c>
      <c r="DN42" s="2"/>
      <c r="DO42" s="2" t="n">
        <v>1</v>
      </c>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t="n">
        <v>1</v>
      </c>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t="n">
        <v>2</v>
      </c>
      <c r="GP42" s="2"/>
      <c r="GQ42" s="2"/>
      <c r="GR42" s="2"/>
      <c r="GS42" s="2"/>
      <c r="GT42" s="2" t="n">
        <v>1</v>
      </c>
      <c r="GU42" s="2"/>
      <c r="GV42" s="2"/>
      <c r="GW42" s="2"/>
      <c r="GX42" s="2"/>
      <c r="GY42" s="2"/>
      <c r="GZ42" s="2"/>
      <c r="HA42" s="2"/>
      <c r="HB42" s="2"/>
      <c r="HC42" s="2"/>
      <c r="HD42" s="2"/>
      <c r="HE42" s="2"/>
    </row>
    <row r="43" customFormat="false" ht="15" hidden="false" customHeight="false" outlineLevel="0" collapsed="false">
      <c r="A43" s="2" t="s">
        <v>400</v>
      </c>
      <c r="B43" s="2" t="n">
        <v>115233</v>
      </c>
      <c r="C43" s="2" t="n">
        <v>5</v>
      </c>
      <c r="D43" s="2" t="n">
        <v>2</v>
      </c>
      <c r="E43" s="2" t="n">
        <v>2</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row>
    <row r="44" customFormat="false" ht="15" hidden="false" customHeight="false" outlineLevel="0" collapsed="false">
      <c r="A44" s="2" t="s">
        <v>401</v>
      </c>
      <c r="B44" s="2" t="n">
        <v>14490</v>
      </c>
      <c r="C44" s="2" t="n">
        <v>5</v>
      </c>
      <c r="D44" s="2" t="n">
        <v>2</v>
      </c>
      <c r="E44" s="2" t="n">
        <v>1</v>
      </c>
      <c r="F44" s="2"/>
      <c r="G44" s="2" t="n">
        <v>1</v>
      </c>
      <c r="H44" s="2" t="n">
        <v>1</v>
      </c>
      <c r="I44" s="2" t="n">
        <v>1</v>
      </c>
      <c r="J44" s="2" t="n">
        <v>1</v>
      </c>
      <c r="K44" s="2" t="n">
        <v>1</v>
      </c>
      <c r="L44" s="2" t="n">
        <v>1</v>
      </c>
      <c r="M44" s="2" t="n">
        <v>1</v>
      </c>
      <c r="N44" s="2" t="n">
        <v>1</v>
      </c>
      <c r="O44" s="2" t="n">
        <v>1</v>
      </c>
      <c r="P44" s="2" t="n">
        <v>0</v>
      </c>
      <c r="Q44" s="2" t="n">
        <v>0</v>
      </c>
      <c r="R44" s="2" t="n">
        <v>0</v>
      </c>
      <c r="S44" s="2" t="n">
        <v>0</v>
      </c>
      <c r="T44" s="2"/>
      <c r="U44" s="2"/>
      <c r="V44" s="2"/>
      <c r="W44" s="2"/>
      <c r="X44" s="2"/>
      <c r="Y44" s="2"/>
      <c r="Z44" s="2"/>
      <c r="AA44" s="2" t="n">
        <v>25</v>
      </c>
      <c r="AB44" s="2" t="n">
        <v>30</v>
      </c>
      <c r="AC44" s="2" t="n">
        <v>1</v>
      </c>
      <c r="AD44" s="2" t="s">
        <v>402</v>
      </c>
      <c r="AE44" s="2" t="n">
        <v>3</v>
      </c>
      <c r="AF44" s="2" t="n">
        <v>3</v>
      </c>
      <c r="AG44" s="2"/>
      <c r="AH44" s="2" t="s">
        <v>403</v>
      </c>
      <c r="AI44" s="2" t="s">
        <v>404</v>
      </c>
      <c r="AJ44" s="2" t="n">
        <v>4</v>
      </c>
      <c r="AK44" s="2"/>
      <c r="AL44" s="2"/>
      <c r="AM44" s="2"/>
      <c r="AN44" s="2" t="n">
        <v>1</v>
      </c>
      <c r="AO44" s="2" t="n">
        <v>1</v>
      </c>
      <c r="AP44" s="2" t="n">
        <v>1</v>
      </c>
      <c r="AQ44" s="2" t="n">
        <v>1</v>
      </c>
      <c r="AR44" s="2" t="n">
        <v>1</v>
      </c>
      <c r="AS44" s="2" t="n">
        <v>2019</v>
      </c>
      <c r="AT44" s="2" t="s">
        <v>243</v>
      </c>
      <c r="AU44" s="2" t="s">
        <v>243</v>
      </c>
      <c r="AV44" s="2" t="n">
        <v>2019</v>
      </c>
      <c r="AW44" s="2" t="s">
        <v>243</v>
      </c>
      <c r="AX44" s="2" t="s">
        <v>243</v>
      </c>
      <c r="AY44" s="2" t="n">
        <v>2</v>
      </c>
      <c r="AZ44" s="2" t="n">
        <v>4</v>
      </c>
      <c r="BA44" s="2"/>
      <c r="BB44" s="2" t="s">
        <v>405</v>
      </c>
      <c r="BC44" s="2" t="n">
        <v>1</v>
      </c>
      <c r="BD44" s="2" t="n">
        <v>1</v>
      </c>
      <c r="BE44" s="2" t="n">
        <v>0</v>
      </c>
      <c r="BF44" s="2" t="n">
        <v>1</v>
      </c>
      <c r="BG44" s="2" t="n">
        <v>1</v>
      </c>
      <c r="BH44" s="2" t="n">
        <v>1</v>
      </c>
      <c r="BI44" s="2" t="s">
        <v>406</v>
      </c>
      <c r="BJ44" s="2" t="n">
        <v>1</v>
      </c>
      <c r="BK44" s="2" t="n">
        <v>0</v>
      </c>
      <c r="BL44" s="2" t="n">
        <v>0</v>
      </c>
      <c r="BM44" s="2" t="n">
        <v>1</v>
      </c>
      <c r="BN44" s="2" t="n">
        <v>0</v>
      </c>
      <c r="BO44" s="2" t="n">
        <v>0</v>
      </c>
      <c r="BP44" s="2" t="n">
        <v>0</v>
      </c>
      <c r="BQ44" s="2" t="n">
        <v>0</v>
      </c>
      <c r="BR44" s="2" t="s">
        <v>407</v>
      </c>
      <c r="BS44" s="2" t="n">
        <v>2</v>
      </c>
      <c r="BT44" s="2" t="n">
        <v>2</v>
      </c>
      <c r="BU44" s="2" t="n">
        <v>2</v>
      </c>
      <c r="BV44" s="2" t="n">
        <v>1</v>
      </c>
      <c r="BW44" s="2" t="n">
        <v>2025</v>
      </c>
      <c r="BX44" s="2" t="n">
        <v>1</v>
      </c>
      <c r="BY44" s="2" t="n">
        <v>0.02</v>
      </c>
      <c r="BZ44" s="2" t="n">
        <v>1</v>
      </c>
      <c r="CA44" s="2" t="n">
        <v>0</v>
      </c>
      <c r="CB44" s="2" t="n">
        <v>1</v>
      </c>
      <c r="CC44" s="2" t="n">
        <v>0</v>
      </c>
      <c r="CD44" s="2" t="n">
        <v>0</v>
      </c>
      <c r="CE44" s="2" t="n">
        <v>1</v>
      </c>
      <c r="CF44" s="2"/>
      <c r="CG44" s="2" t="n">
        <v>1</v>
      </c>
      <c r="CH44" s="2"/>
      <c r="CI44" s="2" t="n">
        <v>48.6</v>
      </c>
      <c r="CJ44" s="2" t="n">
        <v>1</v>
      </c>
      <c r="CK44" s="2" t="n">
        <v>2025</v>
      </c>
      <c r="CL44" s="2" t="n">
        <v>1</v>
      </c>
      <c r="CM44" s="2" t="n">
        <v>0.03</v>
      </c>
      <c r="CN44" s="2" t="n">
        <v>1</v>
      </c>
      <c r="CO44" s="2" t="n">
        <v>0</v>
      </c>
      <c r="CP44" s="2" t="n">
        <v>1</v>
      </c>
      <c r="CQ44" s="2" t="n">
        <v>1</v>
      </c>
      <c r="CR44" s="2" t="n">
        <v>0</v>
      </c>
      <c r="CS44" s="2" t="n">
        <v>1</v>
      </c>
      <c r="CT44" s="2" t="s">
        <v>408</v>
      </c>
      <c r="CU44" s="2" t="n">
        <v>4</v>
      </c>
      <c r="CV44" s="2" t="s">
        <v>409</v>
      </c>
      <c r="CW44" s="2" t="n">
        <v>68.52</v>
      </c>
      <c r="CX44" s="2" t="n">
        <v>1</v>
      </c>
      <c r="CY44" s="2" t="n">
        <v>7</v>
      </c>
      <c r="CZ44" s="2" t="n">
        <v>1</v>
      </c>
      <c r="DA44" s="2" t="n">
        <v>0.03</v>
      </c>
      <c r="DB44" s="2" t="n">
        <v>3</v>
      </c>
      <c r="DC44" s="2" t="n">
        <v>1</v>
      </c>
      <c r="DD44" s="2" t="n">
        <v>0</v>
      </c>
      <c r="DE44" s="2" t="n">
        <v>1</v>
      </c>
      <c r="DF44" s="2" t="n">
        <v>1</v>
      </c>
      <c r="DG44" s="2" t="n">
        <v>0</v>
      </c>
      <c r="DH44" s="2" t="n">
        <v>1</v>
      </c>
      <c r="DI44" s="2" t="s">
        <v>410</v>
      </c>
      <c r="DJ44" s="2" t="n">
        <v>1</v>
      </c>
      <c r="DK44" s="2"/>
      <c r="DL44" s="2" t="n">
        <v>1</v>
      </c>
      <c r="DM44" s="2" t="s">
        <v>411</v>
      </c>
      <c r="DN44" s="2" t="n">
        <v>16.3</v>
      </c>
      <c r="DO44" s="2" t="n">
        <v>1</v>
      </c>
      <c r="DP44" s="2" t="n">
        <v>14389</v>
      </c>
      <c r="DQ44" s="2"/>
      <c r="DR44" s="2" t="n">
        <v>14389</v>
      </c>
      <c r="DS44" s="2"/>
      <c r="DT44" s="2" t="n">
        <v>3934</v>
      </c>
      <c r="DU44" s="2"/>
      <c r="DV44" s="2" t="n">
        <v>263</v>
      </c>
      <c r="DW44" s="2"/>
      <c r="DX44" s="2"/>
      <c r="DY44" s="2"/>
      <c r="DZ44" s="2" t="n">
        <v>6000</v>
      </c>
      <c r="EA44" s="2" t="n">
        <v>44.9</v>
      </c>
      <c r="EB44" s="2"/>
      <c r="EC44" s="2"/>
      <c r="ED44" s="2"/>
      <c r="EE44" s="2"/>
      <c r="EF44" s="2"/>
      <c r="EG44" s="2"/>
      <c r="EH44" s="2"/>
      <c r="EI44" s="2" t="n">
        <v>1.003</v>
      </c>
      <c r="EJ44" s="2" t="n">
        <v>1</v>
      </c>
      <c r="EK44" s="2"/>
      <c r="EL44" s="2"/>
      <c r="EM44" s="2"/>
      <c r="EN44" s="2"/>
      <c r="EO44" s="2"/>
      <c r="EP44" s="2"/>
      <c r="EQ44" s="2" t="n">
        <v>2</v>
      </c>
      <c r="ER44" s="2"/>
      <c r="ES44" s="2"/>
      <c r="ET44" s="2"/>
      <c r="EU44" s="2" t="s">
        <v>252</v>
      </c>
      <c r="EV44" s="2" t="n">
        <v>2</v>
      </c>
      <c r="EW44" s="2" t="n">
        <v>1</v>
      </c>
      <c r="EX44" s="2" t="n">
        <v>1</v>
      </c>
      <c r="EY44" s="2"/>
      <c r="EZ44" s="2" t="n">
        <v>99.99</v>
      </c>
      <c r="FA44" s="2"/>
      <c r="FB44" s="2" t="n">
        <v>0.01</v>
      </c>
      <c r="FC44" s="2" t="s">
        <v>412</v>
      </c>
      <c r="FD44" s="2" t="n">
        <v>1</v>
      </c>
      <c r="FE44" s="2" t="n">
        <v>14389</v>
      </c>
      <c r="FF44" s="2"/>
      <c r="FG44" s="2" t="n">
        <v>14389</v>
      </c>
      <c r="FH44" s="2"/>
      <c r="FI44" s="2" t="n">
        <v>3934</v>
      </c>
      <c r="FJ44" s="2"/>
      <c r="FK44" s="2" t="n">
        <v>263</v>
      </c>
      <c r="FL44" s="2"/>
      <c r="FM44" s="2"/>
      <c r="FN44" s="2"/>
      <c r="FO44" s="2" t="n">
        <v>6000</v>
      </c>
      <c r="FP44" s="2" t="n">
        <v>38.09</v>
      </c>
      <c r="FQ44" s="2"/>
      <c r="FR44" s="2" t="n">
        <v>7</v>
      </c>
      <c r="FS44" s="2" t="n">
        <v>9</v>
      </c>
      <c r="FT44" s="2" t="n">
        <v>0</v>
      </c>
      <c r="FU44" s="2" t="n">
        <v>0</v>
      </c>
      <c r="FV44" s="2" t="n">
        <v>1</v>
      </c>
      <c r="FW44" s="2" t="n">
        <v>0</v>
      </c>
      <c r="FX44" s="2" t="n">
        <v>0</v>
      </c>
      <c r="FY44" s="2" t="n">
        <v>0</v>
      </c>
      <c r="FZ44" s="2" t="s">
        <v>413</v>
      </c>
      <c r="GA44" s="2"/>
      <c r="GB44" s="2"/>
      <c r="GC44" s="2"/>
      <c r="GD44" s="2"/>
      <c r="GE44" s="2"/>
      <c r="GF44" s="2"/>
      <c r="GG44" s="2"/>
      <c r="GH44" s="2"/>
      <c r="GI44" s="2" t="s">
        <v>414</v>
      </c>
      <c r="GJ44" s="2" t="s">
        <v>414</v>
      </c>
      <c r="GK44" s="2" t="n">
        <v>2</v>
      </c>
      <c r="GL44" s="2" t="n">
        <v>2</v>
      </c>
      <c r="GM44" s="2" t="s">
        <v>414</v>
      </c>
      <c r="GN44" s="2"/>
      <c r="GO44" s="2" t="n">
        <v>2</v>
      </c>
      <c r="GP44" s="2"/>
      <c r="GQ44" s="2" t="n">
        <v>2</v>
      </c>
      <c r="GR44" s="2"/>
      <c r="GS44" s="2" t="s">
        <v>415</v>
      </c>
      <c r="GT44" s="2" t="n">
        <v>1</v>
      </c>
      <c r="GU44" s="2" t="n">
        <v>3934</v>
      </c>
      <c r="GV44" s="2"/>
      <c r="GW44" s="2" t="n">
        <v>263</v>
      </c>
      <c r="GX44" s="2"/>
      <c r="GY44" s="2"/>
      <c r="GZ44" s="2"/>
      <c r="HA44" s="2" t="n">
        <v>34.97</v>
      </c>
      <c r="HB44" s="2" t="s">
        <v>252</v>
      </c>
      <c r="HC44" s="2" t="n">
        <v>2640</v>
      </c>
      <c r="HD44" s="2"/>
      <c r="HE44" s="2"/>
    </row>
    <row r="45" customFormat="false" ht="15" hidden="false" customHeight="false" outlineLevel="0" collapsed="false">
      <c r="A45" s="2" t="s">
        <v>400</v>
      </c>
      <c r="B45" s="2" t="n">
        <v>115233</v>
      </c>
      <c r="C45" s="2" t="n">
        <v>5</v>
      </c>
      <c r="D45" s="2" t="n">
        <v>2</v>
      </c>
      <c r="E45" s="2" t="n">
        <v>2</v>
      </c>
      <c r="F45" s="2"/>
      <c r="G45" s="2" t="n">
        <v>1</v>
      </c>
      <c r="H45" s="2" t="n">
        <v>1</v>
      </c>
      <c r="I45" s="2" t="n">
        <v>1</v>
      </c>
      <c r="J45" s="2" t="n">
        <v>1</v>
      </c>
      <c r="K45" s="2" t="n">
        <v>1</v>
      </c>
      <c r="L45" s="2" t="n">
        <v>1</v>
      </c>
      <c r="M45" s="2" t="n">
        <v>1</v>
      </c>
      <c r="N45" s="2" t="n">
        <v>1</v>
      </c>
      <c r="O45" s="2" t="n">
        <v>1</v>
      </c>
      <c r="P45" s="2" t="n">
        <v>1</v>
      </c>
      <c r="Q45" s="2" t="n">
        <v>0</v>
      </c>
      <c r="R45" s="2" t="n">
        <v>1</v>
      </c>
      <c r="S45" s="2" t="n">
        <v>1</v>
      </c>
      <c r="T45" s="2" t="s">
        <v>416</v>
      </c>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row>
    <row r="46" customFormat="false" ht="15" hidden="false" customHeight="false" outlineLevel="0" collapsed="false">
      <c r="A46" s="2" t="s">
        <v>394</v>
      </c>
      <c r="B46" s="2" t="n">
        <v>2433</v>
      </c>
      <c r="C46" s="2" t="n">
        <v>3</v>
      </c>
      <c r="D46" s="2" t="n">
        <v>1</v>
      </c>
      <c r="E46" s="2" t="n">
        <v>1</v>
      </c>
      <c r="F46" s="2"/>
      <c r="G46" s="2" t="n">
        <v>1</v>
      </c>
      <c r="H46" s="2" t="n">
        <v>1</v>
      </c>
      <c r="I46" s="2" t="n">
        <v>1</v>
      </c>
      <c r="J46" s="2" t="n">
        <v>1</v>
      </c>
      <c r="K46" s="2" t="n">
        <v>1</v>
      </c>
      <c r="L46" s="2" t="n">
        <v>1</v>
      </c>
      <c r="M46" s="2" t="n">
        <v>1</v>
      </c>
      <c r="N46" s="2" t="n">
        <v>1</v>
      </c>
      <c r="O46" s="2" t="n">
        <v>1</v>
      </c>
      <c r="P46" s="2" t="n">
        <v>1</v>
      </c>
      <c r="Q46" s="2" t="n">
        <v>0</v>
      </c>
      <c r="R46" s="2" t="n">
        <v>0</v>
      </c>
      <c r="S46" s="2" t="n">
        <v>0</v>
      </c>
      <c r="T46" s="2"/>
      <c r="U46" s="2" t="n">
        <v>0.06</v>
      </c>
      <c r="V46" s="2"/>
      <c r="W46" s="2" t="n">
        <v>15</v>
      </c>
      <c r="X46" s="2"/>
      <c r="Y46" s="2"/>
      <c r="Z46" s="2" t="n">
        <v>25</v>
      </c>
      <c r="AA46" s="2"/>
      <c r="AB46" s="2" t="n">
        <v>60</v>
      </c>
      <c r="AC46" s="2" t="n">
        <v>2</v>
      </c>
      <c r="AD46" s="2"/>
      <c r="AE46" s="2" t="n">
        <v>3</v>
      </c>
      <c r="AF46" s="2" t="n">
        <v>2</v>
      </c>
      <c r="AG46" s="2" t="n">
        <v>30</v>
      </c>
      <c r="AH46" s="2" t="s">
        <v>417</v>
      </c>
      <c r="AI46" s="2"/>
      <c r="AJ46" s="2" t="n">
        <v>0.112</v>
      </c>
      <c r="AK46" s="2" t="n">
        <v>0.369</v>
      </c>
      <c r="AL46" s="2"/>
      <c r="AM46" s="2"/>
      <c r="AN46" s="2"/>
      <c r="AO46" s="2" t="n">
        <v>1</v>
      </c>
      <c r="AP46" s="2" t="n">
        <v>1</v>
      </c>
      <c r="AQ46" s="2" t="n">
        <v>1</v>
      </c>
      <c r="AR46" s="2" t="n">
        <v>1</v>
      </c>
      <c r="AS46" s="2" t="n">
        <v>2012</v>
      </c>
      <c r="AT46" s="2" t="s">
        <v>418</v>
      </c>
      <c r="AU46" s="2" t="s">
        <v>218</v>
      </c>
      <c r="AV46" s="2" t="n">
        <v>2023</v>
      </c>
      <c r="AW46" s="2" t="s">
        <v>231</v>
      </c>
      <c r="AX46" s="2" t="s">
        <v>218</v>
      </c>
      <c r="AY46" s="2" t="n">
        <v>2</v>
      </c>
      <c r="AZ46" s="2" t="n">
        <v>4</v>
      </c>
      <c r="BA46" s="2"/>
      <c r="BB46" s="2" t="s">
        <v>419</v>
      </c>
      <c r="BC46" s="2" t="n">
        <v>0</v>
      </c>
      <c r="BD46" s="2" t="n">
        <v>1</v>
      </c>
      <c r="BE46" s="2" t="n">
        <v>0</v>
      </c>
      <c r="BF46" s="2" t="n">
        <v>1</v>
      </c>
      <c r="BG46" s="2" t="n">
        <v>1</v>
      </c>
      <c r="BH46" s="2" t="n">
        <v>0</v>
      </c>
      <c r="BI46" s="2" t="s">
        <v>420</v>
      </c>
      <c r="BJ46" s="2" t="n">
        <v>2</v>
      </c>
      <c r="BK46" s="2" t="n">
        <v>0</v>
      </c>
      <c r="BL46" s="2" t="n">
        <v>0</v>
      </c>
      <c r="BM46" s="2" t="n">
        <v>0</v>
      </c>
      <c r="BN46" s="2" t="n">
        <v>1</v>
      </c>
      <c r="BO46" s="2" t="n">
        <v>0</v>
      </c>
      <c r="BP46" s="2" t="n">
        <v>0</v>
      </c>
      <c r="BQ46" s="2" t="n">
        <v>0</v>
      </c>
      <c r="BR46" s="2"/>
      <c r="BS46" s="2" t="n">
        <v>2</v>
      </c>
      <c r="BT46" s="2" t="n">
        <v>2</v>
      </c>
      <c r="BU46" s="2"/>
      <c r="BV46" s="2" t="n">
        <v>1</v>
      </c>
      <c r="BW46" s="2" t="n">
        <v>2025</v>
      </c>
      <c r="BX46" s="2" t="n">
        <v>1</v>
      </c>
      <c r="BY46" s="2" t="n">
        <v>0.018</v>
      </c>
      <c r="BZ46" s="2" t="n">
        <v>0</v>
      </c>
      <c r="CA46" s="2" t="n">
        <v>0</v>
      </c>
      <c r="CB46" s="2" t="n">
        <v>0</v>
      </c>
      <c r="CC46" s="2" t="n">
        <v>1</v>
      </c>
      <c r="CD46" s="2" t="n">
        <v>0</v>
      </c>
      <c r="CE46" s="2" t="n">
        <v>0</v>
      </c>
      <c r="CF46" s="2" t="s">
        <v>421</v>
      </c>
      <c r="CG46" s="2" t="n">
        <v>5</v>
      </c>
      <c r="CH46" s="2" t="s">
        <v>422</v>
      </c>
      <c r="CI46" s="2" t="n">
        <v>56.75</v>
      </c>
      <c r="CJ46" s="2" t="n">
        <v>1</v>
      </c>
      <c r="CK46" s="2" t="n">
        <v>2025</v>
      </c>
      <c r="CL46" s="2" t="n">
        <v>1</v>
      </c>
      <c r="CM46" s="2" t="n">
        <v>0.118</v>
      </c>
      <c r="CN46" s="2" t="n">
        <v>1</v>
      </c>
      <c r="CO46" s="2" t="n">
        <v>0</v>
      </c>
      <c r="CP46" s="2" t="n">
        <v>0</v>
      </c>
      <c r="CQ46" s="2" t="n">
        <v>1</v>
      </c>
      <c r="CR46" s="2" t="n">
        <v>0</v>
      </c>
      <c r="CS46" s="2" t="n">
        <v>0</v>
      </c>
      <c r="CT46" s="2" t="s">
        <v>421</v>
      </c>
      <c r="CU46" s="2" t="n">
        <v>4</v>
      </c>
      <c r="CV46" s="2" t="s">
        <v>423</v>
      </c>
      <c r="CW46" s="2" t="n">
        <v>66.55</v>
      </c>
      <c r="CX46" s="2" t="n">
        <v>2</v>
      </c>
      <c r="CY46" s="2"/>
      <c r="CZ46" s="2"/>
      <c r="DA46" s="2"/>
      <c r="DB46" s="2"/>
      <c r="DC46" s="2"/>
      <c r="DD46" s="2"/>
      <c r="DE46" s="2"/>
      <c r="DF46" s="2"/>
      <c r="DG46" s="2"/>
      <c r="DH46" s="2"/>
      <c r="DI46" s="2"/>
      <c r="DJ46" s="2"/>
      <c r="DK46" s="2"/>
      <c r="DL46" s="2"/>
      <c r="DM46" s="2"/>
      <c r="DN46" s="2"/>
      <c r="DO46" s="2" t="n">
        <v>1</v>
      </c>
      <c r="DP46" s="2" t="n">
        <v>2400</v>
      </c>
      <c r="DQ46" s="2" t="n">
        <v>175</v>
      </c>
      <c r="DR46" s="2" t="n">
        <v>2400</v>
      </c>
      <c r="DS46" s="2" t="n">
        <v>175</v>
      </c>
      <c r="DT46" s="2" t="n">
        <v>948</v>
      </c>
      <c r="DU46" s="2" t="n">
        <v>73</v>
      </c>
      <c r="DV46" s="2" t="n">
        <v>61</v>
      </c>
      <c r="DW46" s="2" t="n">
        <v>1</v>
      </c>
      <c r="DX46" s="2" t="n">
        <v>23</v>
      </c>
      <c r="DY46" s="2" t="n">
        <v>1</v>
      </c>
      <c r="DZ46" s="2" t="n">
        <v>60000</v>
      </c>
      <c r="EA46" s="2" t="n">
        <v>21.8</v>
      </c>
      <c r="EB46" s="2" t="n">
        <v>3</v>
      </c>
      <c r="EC46" s="2" t="n">
        <v>3</v>
      </c>
      <c r="ED46" s="2" t="n">
        <v>0</v>
      </c>
      <c r="EE46" s="2" t="n">
        <v>1928</v>
      </c>
      <c r="EF46" s="2" t="n">
        <v>1999</v>
      </c>
      <c r="EG46" s="2" t="n">
        <v>500</v>
      </c>
      <c r="EH46" s="2" t="n">
        <v>1</v>
      </c>
      <c r="EI46" s="2" t="n">
        <v>0.25</v>
      </c>
      <c r="EJ46" s="2" t="n">
        <v>0.9</v>
      </c>
      <c r="EK46" s="2" t="n">
        <v>0.35</v>
      </c>
      <c r="EL46" s="2" t="n">
        <v>1</v>
      </c>
      <c r="EM46" s="2" t="n">
        <v>0</v>
      </c>
      <c r="EN46" s="2" t="n">
        <v>1</v>
      </c>
      <c r="EO46" s="2" t="n">
        <v>2</v>
      </c>
      <c r="EP46" s="2" t="n">
        <v>1</v>
      </c>
      <c r="EQ46" s="2" t="n">
        <v>1</v>
      </c>
      <c r="ER46" s="2"/>
      <c r="ES46" s="2"/>
      <c r="ET46" s="2"/>
      <c r="EU46" s="2" t="s">
        <v>230</v>
      </c>
      <c r="EV46" s="2" t="n">
        <v>2</v>
      </c>
      <c r="EW46" s="2" t="n">
        <v>2</v>
      </c>
      <c r="EX46" s="2" t="n">
        <v>3</v>
      </c>
      <c r="EY46" s="2"/>
      <c r="EZ46" s="2" t="n">
        <v>34</v>
      </c>
      <c r="FA46" s="2"/>
      <c r="FB46" s="2" t="n">
        <v>66</v>
      </c>
      <c r="FC46" s="2"/>
      <c r="FD46" s="2" t="n">
        <v>1</v>
      </c>
      <c r="FE46" s="2" t="n">
        <v>2400</v>
      </c>
      <c r="FF46" s="2" t="n">
        <v>20</v>
      </c>
      <c r="FG46" s="2" t="n">
        <v>2400</v>
      </c>
      <c r="FH46" s="2" t="n">
        <v>20</v>
      </c>
      <c r="FI46" s="2" t="n">
        <v>940</v>
      </c>
      <c r="FJ46" s="2" t="n">
        <v>3</v>
      </c>
      <c r="FK46" s="2" t="n">
        <v>61</v>
      </c>
      <c r="FL46" s="2" t="n">
        <v>1</v>
      </c>
      <c r="FM46" s="2" t="n">
        <v>23</v>
      </c>
      <c r="FN46" s="2" t="n">
        <v>1</v>
      </c>
      <c r="FO46" s="2" t="n">
        <v>60000</v>
      </c>
      <c r="FP46" s="2" t="n">
        <v>17.2</v>
      </c>
      <c r="FQ46" s="2" t="n">
        <v>4</v>
      </c>
      <c r="FR46" s="2" t="n">
        <v>2</v>
      </c>
      <c r="FS46" s="2" t="n">
        <v>2</v>
      </c>
      <c r="FT46" s="2" t="n">
        <v>0</v>
      </c>
      <c r="FU46" s="2" t="n">
        <v>0</v>
      </c>
      <c r="FV46" s="2" t="n">
        <v>0</v>
      </c>
      <c r="FW46" s="2" t="n">
        <v>0</v>
      </c>
      <c r="FX46" s="2" t="n">
        <v>1</v>
      </c>
      <c r="FY46" s="2" t="n">
        <v>1</v>
      </c>
      <c r="FZ46" s="2"/>
      <c r="GA46" s="2" t="n">
        <v>1960</v>
      </c>
      <c r="GB46" s="2" t="n">
        <v>2015</v>
      </c>
      <c r="GC46" s="2" t="n">
        <v>2</v>
      </c>
      <c r="GD46" s="2" t="n">
        <v>2</v>
      </c>
      <c r="GE46" s="2" t="n">
        <v>131.5</v>
      </c>
      <c r="GF46" s="2" t="n">
        <v>2</v>
      </c>
      <c r="GG46" s="2" t="n">
        <v>0.12</v>
      </c>
      <c r="GH46" s="2" t="n">
        <v>50</v>
      </c>
      <c r="GI46" s="2" t="s">
        <v>230</v>
      </c>
      <c r="GJ46" s="2" t="s">
        <v>230</v>
      </c>
      <c r="GK46" s="2" t="n">
        <v>2</v>
      </c>
      <c r="GL46" s="2" t="n">
        <v>2</v>
      </c>
      <c r="GM46" s="2" t="s">
        <v>372</v>
      </c>
      <c r="GN46" s="2"/>
      <c r="GO46" s="2" t="n">
        <v>2</v>
      </c>
      <c r="GP46" s="2"/>
      <c r="GQ46" s="2" t="n">
        <v>2</v>
      </c>
      <c r="GR46" s="2"/>
      <c r="GS46" s="2"/>
      <c r="GT46" s="2" t="n">
        <v>2</v>
      </c>
      <c r="GU46" s="2"/>
      <c r="GV46" s="2"/>
      <c r="GW46" s="2"/>
      <c r="GX46" s="2"/>
      <c r="GY46" s="2"/>
      <c r="GZ46" s="2"/>
      <c r="HA46" s="2"/>
      <c r="HB46" s="2"/>
      <c r="HC46" s="2"/>
      <c r="HD46" s="2"/>
      <c r="HE46" s="2"/>
    </row>
    <row r="47" customFormat="false" ht="15" hidden="false" customHeight="false" outlineLevel="0" collapsed="false">
      <c r="A47" s="2" t="s">
        <v>424</v>
      </c>
      <c r="B47" s="2" t="n">
        <v>41474</v>
      </c>
      <c r="C47" s="2" t="n">
        <v>5</v>
      </c>
      <c r="D47" s="2" t="n">
        <v>2</v>
      </c>
      <c r="E47" s="2" t="n">
        <v>1</v>
      </c>
      <c r="F47" s="2"/>
      <c r="G47" s="2" t="n">
        <v>1</v>
      </c>
      <c r="H47" s="2" t="n">
        <v>1</v>
      </c>
      <c r="I47" s="2" t="n">
        <v>1</v>
      </c>
      <c r="J47" s="2" t="n">
        <v>1</v>
      </c>
      <c r="K47" s="2" t="n">
        <v>1</v>
      </c>
      <c r="L47" s="2" t="n">
        <v>1</v>
      </c>
      <c r="M47" s="2" t="n">
        <v>1</v>
      </c>
      <c r="N47" s="2" t="n">
        <v>1</v>
      </c>
      <c r="O47" s="2" t="n">
        <v>1</v>
      </c>
      <c r="P47" s="2" t="n">
        <v>1</v>
      </c>
      <c r="Q47" s="2" t="n">
        <v>0</v>
      </c>
      <c r="R47" s="2" t="n">
        <v>0</v>
      </c>
      <c r="S47" s="2" t="n">
        <v>0</v>
      </c>
      <c r="T47" s="2"/>
      <c r="U47" s="2"/>
      <c r="V47" s="2"/>
      <c r="W47" s="2" t="n">
        <v>30</v>
      </c>
      <c r="X47" s="2"/>
      <c r="Y47" s="2"/>
      <c r="Z47" s="2" t="n">
        <v>4</v>
      </c>
      <c r="AA47" s="2"/>
      <c r="AB47" s="2" t="n">
        <v>180</v>
      </c>
      <c r="AC47" s="2" t="n">
        <v>1</v>
      </c>
      <c r="AD47" s="2" t="s">
        <v>425</v>
      </c>
      <c r="AE47" s="2" t="n">
        <v>3</v>
      </c>
      <c r="AF47" s="2" t="n">
        <v>3</v>
      </c>
      <c r="AG47" s="2"/>
      <c r="AH47" s="2" t="s">
        <v>426</v>
      </c>
      <c r="AI47" s="2" t="s">
        <v>427</v>
      </c>
      <c r="AJ47" s="2" t="n">
        <v>41</v>
      </c>
      <c r="AK47" s="2" t="n">
        <v>34</v>
      </c>
      <c r="AL47" s="2" t="n">
        <v>0</v>
      </c>
      <c r="AM47" s="2"/>
      <c r="AN47" s="2"/>
      <c r="AO47" s="2"/>
      <c r="AP47" s="2" t="n">
        <v>1</v>
      </c>
      <c r="AQ47" s="2" t="n">
        <v>1</v>
      </c>
      <c r="AR47" s="2" t="n">
        <v>1</v>
      </c>
      <c r="AS47" s="2" t="n">
        <v>2020</v>
      </c>
      <c r="AT47" s="2" t="s">
        <v>428</v>
      </c>
      <c r="AU47" s="2" t="s">
        <v>429</v>
      </c>
      <c r="AV47" s="2" t="n">
        <v>2009</v>
      </c>
      <c r="AW47" s="2"/>
      <c r="AX47" s="2"/>
      <c r="AY47" s="2" t="n">
        <v>2</v>
      </c>
      <c r="AZ47" s="2" t="n">
        <v>2</v>
      </c>
      <c r="BA47" s="2"/>
      <c r="BB47" s="2"/>
      <c r="BC47" s="2" t="n">
        <v>0</v>
      </c>
      <c r="BD47" s="2" t="n">
        <v>0</v>
      </c>
      <c r="BE47" s="2" t="n">
        <v>0</v>
      </c>
      <c r="BF47" s="2" t="n">
        <v>1</v>
      </c>
      <c r="BG47" s="2" t="n">
        <v>0</v>
      </c>
      <c r="BH47" s="2" t="n">
        <v>0</v>
      </c>
      <c r="BI47" s="2" t="s">
        <v>430</v>
      </c>
      <c r="BJ47" s="2" t="n">
        <v>1</v>
      </c>
      <c r="BK47" s="2" t="n">
        <v>0</v>
      </c>
      <c r="BL47" s="2" t="n">
        <v>0</v>
      </c>
      <c r="BM47" s="2" t="n">
        <v>0</v>
      </c>
      <c r="BN47" s="2" t="n">
        <v>0</v>
      </c>
      <c r="BO47" s="2" t="n">
        <v>0</v>
      </c>
      <c r="BP47" s="2" t="n">
        <v>1</v>
      </c>
      <c r="BQ47" s="2" t="n">
        <v>1</v>
      </c>
      <c r="BR47" s="2"/>
      <c r="BS47" s="2" t="n">
        <v>2</v>
      </c>
      <c r="BT47" s="2" t="n">
        <v>2</v>
      </c>
      <c r="BU47" s="2" t="n">
        <v>2</v>
      </c>
      <c r="BV47" s="2" t="n">
        <v>1</v>
      </c>
      <c r="BW47" s="2" t="n">
        <v>2025</v>
      </c>
      <c r="BX47" s="2" t="n">
        <v>1</v>
      </c>
      <c r="BY47" s="2" t="n">
        <v>2</v>
      </c>
      <c r="BZ47" s="2" t="n">
        <v>1</v>
      </c>
      <c r="CA47" s="2" t="n">
        <v>1</v>
      </c>
      <c r="CB47" s="2" t="n">
        <v>0</v>
      </c>
      <c r="CC47" s="2" t="n">
        <v>0</v>
      </c>
      <c r="CD47" s="2" t="n">
        <v>0</v>
      </c>
      <c r="CE47" s="2" t="n">
        <v>0</v>
      </c>
      <c r="CF47" s="2"/>
      <c r="CG47" s="2" t="n">
        <v>1</v>
      </c>
      <c r="CH47" s="2"/>
      <c r="CI47" s="2" t="n">
        <v>52.02</v>
      </c>
      <c r="CJ47" s="2" t="n">
        <v>1</v>
      </c>
      <c r="CK47" s="2" t="n">
        <v>2025</v>
      </c>
      <c r="CL47" s="2" t="n">
        <v>1</v>
      </c>
      <c r="CM47" s="2" t="n">
        <v>0.039</v>
      </c>
      <c r="CN47" s="2" t="n">
        <v>1</v>
      </c>
      <c r="CO47" s="2" t="n">
        <v>1</v>
      </c>
      <c r="CP47" s="2" t="n">
        <v>0</v>
      </c>
      <c r="CQ47" s="2" t="n">
        <v>0</v>
      </c>
      <c r="CR47" s="2" t="n">
        <v>0</v>
      </c>
      <c r="CS47" s="2" t="n">
        <v>0</v>
      </c>
      <c r="CT47" s="2"/>
      <c r="CU47" s="2" t="n">
        <v>2</v>
      </c>
      <c r="CV47" s="2"/>
      <c r="CW47" s="2" t="n">
        <v>86.34</v>
      </c>
      <c r="CX47" s="2" t="n">
        <v>1</v>
      </c>
      <c r="CY47" s="2" t="n">
        <v>7</v>
      </c>
      <c r="CZ47" s="2" t="n">
        <v>1</v>
      </c>
      <c r="DA47" s="2" t="n">
        <v>0.03</v>
      </c>
      <c r="DB47" s="2" t="n">
        <v>1</v>
      </c>
      <c r="DC47" s="2" t="n">
        <v>1</v>
      </c>
      <c r="DD47" s="2" t="n">
        <v>1</v>
      </c>
      <c r="DE47" s="2" t="n">
        <v>0</v>
      </c>
      <c r="DF47" s="2" t="n">
        <v>0</v>
      </c>
      <c r="DG47" s="2" t="n">
        <v>0</v>
      </c>
      <c r="DH47" s="2" t="n">
        <v>0</v>
      </c>
      <c r="DI47" s="2"/>
      <c r="DJ47" s="2" t="n">
        <v>1</v>
      </c>
      <c r="DK47" s="2"/>
      <c r="DL47" s="2" t="n">
        <v>2</v>
      </c>
      <c r="DM47" s="2"/>
      <c r="DN47" s="2" t="n">
        <v>23.11</v>
      </c>
      <c r="DO47" s="2" t="n">
        <v>1</v>
      </c>
      <c r="DP47" s="2" t="n">
        <v>41131</v>
      </c>
      <c r="DQ47" s="2" t="n">
        <v>250</v>
      </c>
      <c r="DR47" s="2" t="n">
        <v>41131</v>
      </c>
      <c r="DS47" s="2" t="n">
        <v>250</v>
      </c>
      <c r="DT47" s="2" t="n">
        <v>11672</v>
      </c>
      <c r="DU47" s="2" t="n">
        <v>132</v>
      </c>
      <c r="DV47" s="2" t="n">
        <v>485</v>
      </c>
      <c r="DW47" s="2"/>
      <c r="DX47" s="2"/>
      <c r="DY47" s="2"/>
      <c r="DZ47" s="2" t="n">
        <v>6573</v>
      </c>
      <c r="EA47" s="2" t="n">
        <v>230</v>
      </c>
      <c r="EB47" s="2"/>
      <c r="EC47" s="2" t="n">
        <v>17</v>
      </c>
      <c r="ED47" s="2" t="n">
        <v>2.5</v>
      </c>
      <c r="EE47" s="2" t="n">
        <v>1968</v>
      </c>
      <c r="EF47" s="2" t="n">
        <v>2017</v>
      </c>
      <c r="EG47" s="2"/>
      <c r="EH47" s="2" t="n">
        <v>38</v>
      </c>
      <c r="EI47" s="2" t="n">
        <v>11.59</v>
      </c>
      <c r="EJ47" s="2" t="n">
        <v>6.8</v>
      </c>
      <c r="EK47" s="2" t="n">
        <v>21.7</v>
      </c>
      <c r="EL47" s="2"/>
      <c r="EM47" s="2" t="n">
        <v>28.7</v>
      </c>
      <c r="EN47" s="2"/>
      <c r="EO47" s="2" t="n">
        <v>4</v>
      </c>
      <c r="EP47" s="2"/>
      <c r="EQ47" s="2"/>
      <c r="ER47" s="2"/>
      <c r="ES47" s="2"/>
      <c r="ET47" s="2"/>
      <c r="EU47" s="2" t="s">
        <v>431</v>
      </c>
      <c r="EV47" s="2" t="n">
        <v>1</v>
      </c>
      <c r="EW47" s="2" t="n">
        <v>1</v>
      </c>
      <c r="EX47" s="2" t="n">
        <v>2</v>
      </c>
      <c r="EY47" s="2"/>
      <c r="EZ47" s="2" t="n">
        <v>0.98</v>
      </c>
      <c r="FA47" s="2"/>
      <c r="FB47" s="2" t="n">
        <v>0.02</v>
      </c>
      <c r="FC47" s="2" t="s">
        <v>432</v>
      </c>
      <c r="FD47" s="2" t="n">
        <v>1</v>
      </c>
      <c r="FE47" s="2" t="n">
        <v>41131</v>
      </c>
      <c r="FF47" s="2"/>
      <c r="FG47" s="2" t="n">
        <v>41131</v>
      </c>
      <c r="FH47" s="2"/>
      <c r="FI47" s="2" t="n">
        <v>12666</v>
      </c>
      <c r="FJ47" s="2"/>
      <c r="FK47" s="2" t="n">
        <v>445</v>
      </c>
      <c r="FL47" s="2"/>
      <c r="FM47" s="2"/>
      <c r="FN47" s="2"/>
      <c r="FO47" s="2" t="n">
        <v>8</v>
      </c>
      <c r="FP47" s="2" t="n">
        <v>189</v>
      </c>
      <c r="FQ47" s="2" t="n">
        <v>12</v>
      </c>
      <c r="FR47" s="2" t="n">
        <v>1</v>
      </c>
      <c r="FS47" s="2" t="n">
        <v>2</v>
      </c>
      <c r="FT47" s="2" t="n">
        <v>0</v>
      </c>
      <c r="FU47" s="2" t="n">
        <v>0</v>
      </c>
      <c r="FV47" s="2" t="n">
        <v>1</v>
      </c>
      <c r="FW47" s="2" t="n">
        <v>0</v>
      </c>
      <c r="FX47" s="2" t="n">
        <v>0</v>
      </c>
      <c r="FY47" s="2" t="n">
        <v>0</v>
      </c>
      <c r="FZ47" s="2" t="s">
        <v>433</v>
      </c>
      <c r="GA47" s="2"/>
      <c r="GB47" s="2"/>
      <c r="GC47" s="2"/>
      <c r="GD47" s="2"/>
      <c r="GE47" s="2"/>
      <c r="GF47" s="2"/>
      <c r="GG47" s="2"/>
      <c r="GH47" s="2"/>
      <c r="GI47" s="2"/>
      <c r="GJ47" s="2"/>
      <c r="GK47" s="2" t="n">
        <v>2</v>
      </c>
      <c r="GL47" s="2" t="n">
        <v>2</v>
      </c>
      <c r="GM47" s="2"/>
      <c r="GN47" s="2"/>
      <c r="GO47" s="2" t="n">
        <v>2</v>
      </c>
      <c r="GP47" s="2"/>
      <c r="GQ47" s="2"/>
      <c r="GR47" s="2"/>
      <c r="GS47" s="2"/>
      <c r="GT47" s="2" t="n">
        <v>1</v>
      </c>
      <c r="GU47" s="2" t="n">
        <v>12412</v>
      </c>
      <c r="GV47" s="2"/>
      <c r="GW47" s="2" t="n">
        <v>479</v>
      </c>
      <c r="GX47" s="2"/>
      <c r="GY47" s="2"/>
      <c r="GZ47" s="2"/>
      <c r="HA47" s="2" t="n">
        <v>171</v>
      </c>
      <c r="HB47" s="2" t="s">
        <v>434</v>
      </c>
      <c r="HC47" s="2" t="n">
        <v>3030</v>
      </c>
      <c r="HD47" s="2"/>
      <c r="HE47" s="2"/>
    </row>
    <row r="48" customFormat="false" ht="15" hidden="false" customHeight="false" outlineLevel="0" collapsed="false">
      <c r="A48" s="2" t="s">
        <v>435</v>
      </c>
      <c r="B48" s="2" t="n">
        <v>17924</v>
      </c>
      <c r="C48" s="2" t="n">
        <v>5</v>
      </c>
      <c r="D48" s="2" t="n">
        <v>3</v>
      </c>
      <c r="E48" s="2" t="n">
        <v>1</v>
      </c>
      <c r="F48" s="2"/>
      <c r="G48" s="2" t="n">
        <v>1</v>
      </c>
      <c r="H48" s="2" t="n">
        <v>1</v>
      </c>
      <c r="I48" s="2" t="n">
        <v>1</v>
      </c>
      <c r="J48" s="2" t="n">
        <v>1</v>
      </c>
      <c r="K48" s="2" t="n">
        <v>1</v>
      </c>
      <c r="L48" s="2" t="n">
        <v>1</v>
      </c>
      <c r="M48" s="2" t="n">
        <v>1</v>
      </c>
      <c r="N48" s="2" t="n">
        <v>0</v>
      </c>
      <c r="O48" s="2" t="n">
        <v>1</v>
      </c>
      <c r="P48" s="2" t="n">
        <v>1</v>
      </c>
      <c r="Q48" s="2" t="n">
        <v>0</v>
      </c>
      <c r="R48" s="2" t="n">
        <v>0</v>
      </c>
      <c r="S48" s="2" t="n">
        <v>0</v>
      </c>
      <c r="T48" s="2"/>
      <c r="U48" s="2" t="n">
        <v>11</v>
      </c>
      <c r="V48" s="2"/>
      <c r="W48" s="2" t="n">
        <v>7</v>
      </c>
      <c r="X48" s="2"/>
      <c r="Y48" s="2"/>
      <c r="Z48" s="2"/>
      <c r="AA48" s="2"/>
      <c r="AB48" s="2"/>
      <c r="AC48" s="2" t="n">
        <v>2</v>
      </c>
      <c r="AD48" s="2"/>
      <c r="AE48" s="2" t="n">
        <v>3</v>
      </c>
      <c r="AF48" s="2" t="n">
        <v>2</v>
      </c>
      <c r="AG48" s="2" t="n">
        <v>90</v>
      </c>
      <c r="AH48" s="2"/>
      <c r="AI48" s="2"/>
      <c r="AJ48" s="2" t="n">
        <v>16</v>
      </c>
      <c r="AK48" s="2" t="n">
        <v>5</v>
      </c>
      <c r="AL48" s="2" t="n">
        <v>2</v>
      </c>
      <c r="AM48" s="2"/>
      <c r="AN48" s="2"/>
      <c r="AO48" s="2"/>
      <c r="AP48" s="2" t="n">
        <v>1</v>
      </c>
      <c r="AQ48" s="2" t="n">
        <v>1</v>
      </c>
      <c r="AR48" s="2" t="n">
        <v>1</v>
      </c>
      <c r="AS48" s="2" t="n">
        <v>2016</v>
      </c>
      <c r="AT48" s="2" t="s">
        <v>436</v>
      </c>
      <c r="AU48" s="2" t="s">
        <v>436</v>
      </c>
      <c r="AV48" s="2"/>
      <c r="AW48" s="2"/>
      <c r="AX48" s="2"/>
      <c r="AY48" s="2" t="n">
        <v>2</v>
      </c>
      <c r="AZ48" s="2" t="n">
        <v>2</v>
      </c>
      <c r="BA48" s="2"/>
      <c r="BB48" s="2"/>
      <c r="BC48" s="2" t="n">
        <v>0</v>
      </c>
      <c r="BD48" s="2" t="n">
        <v>1</v>
      </c>
      <c r="BE48" s="2" t="n">
        <v>0</v>
      </c>
      <c r="BF48" s="2" t="n">
        <v>1</v>
      </c>
      <c r="BG48" s="2" t="n">
        <v>1</v>
      </c>
      <c r="BH48" s="2" t="n">
        <v>1</v>
      </c>
      <c r="BI48" s="2" t="s">
        <v>437</v>
      </c>
      <c r="BJ48" s="2" t="n">
        <v>1</v>
      </c>
      <c r="BK48" s="2" t="n">
        <v>1</v>
      </c>
      <c r="BL48" s="2" t="n">
        <v>0</v>
      </c>
      <c r="BM48" s="2" t="n">
        <v>0</v>
      </c>
      <c r="BN48" s="2" t="n">
        <v>0</v>
      </c>
      <c r="BO48" s="2" t="n">
        <v>1</v>
      </c>
      <c r="BP48" s="2" t="n">
        <v>0</v>
      </c>
      <c r="BQ48" s="2" t="n">
        <v>0</v>
      </c>
      <c r="BR48" s="2"/>
      <c r="BS48" s="2" t="n">
        <v>2</v>
      </c>
      <c r="BT48" s="2" t="n">
        <v>2</v>
      </c>
      <c r="BU48" s="2" t="n">
        <v>2</v>
      </c>
      <c r="BV48" s="2" t="n">
        <v>1</v>
      </c>
      <c r="BW48" s="2" t="n">
        <v>2025</v>
      </c>
      <c r="BX48" s="2" t="n">
        <v>1</v>
      </c>
      <c r="BY48" s="2" t="n">
        <v>0.15</v>
      </c>
      <c r="BZ48" s="2" t="n">
        <v>1</v>
      </c>
      <c r="CA48" s="2" t="n">
        <v>1</v>
      </c>
      <c r="CB48" s="2" t="n">
        <v>0</v>
      </c>
      <c r="CC48" s="2" t="n">
        <v>0</v>
      </c>
      <c r="CD48" s="2" t="n">
        <v>0</v>
      </c>
      <c r="CE48" s="2" t="n">
        <v>1</v>
      </c>
      <c r="CF48" s="2"/>
      <c r="CG48" s="2" t="n">
        <v>4</v>
      </c>
      <c r="CH48" s="2"/>
      <c r="CI48" s="2" t="n">
        <v>61.28</v>
      </c>
      <c r="CJ48" s="2" t="n">
        <v>1</v>
      </c>
      <c r="CK48" s="2" t="n">
        <v>2019</v>
      </c>
      <c r="CL48" s="2" t="n">
        <v>1</v>
      </c>
      <c r="CM48" s="2" t="n">
        <v>0.0275</v>
      </c>
      <c r="CN48" s="2" t="n">
        <v>1</v>
      </c>
      <c r="CO48" s="2" t="n">
        <v>1</v>
      </c>
      <c r="CP48" s="2" t="n">
        <v>1</v>
      </c>
      <c r="CQ48" s="2" t="n">
        <v>0</v>
      </c>
      <c r="CR48" s="2" t="n">
        <v>0</v>
      </c>
      <c r="CS48" s="2" t="n">
        <v>1</v>
      </c>
      <c r="CT48" s="2"/>
      <c r="CU48" s="2" t="n">
        <v>1</v>
      </c>
      <c r="CV48" s="2"/>
      <c r="CW48" s="2" t="n">
        <v>45.21</v>
      </c>
      <c r="CX48" s="2" t="n">
        <v>1</v>
      </c>
      <c r="CY48" s="2" t="n">
        <v>7</v>
      </c>
      <c r="CZ48" s="2" t="n">
        <v>1</v>
      </c>
      <c r="DA48" s="2" t="n">
        <v>0.15</v>
      </c>
      <c r="DB48" s="2" t="n">
        <v>1</v>
      </c>
      <c r="DC48" s="2" t="n">
        <v>1</v>
      </c>
      <c r="DD48" s="2" t="n">
        <v>1</v>
      </c>
      <c r="DE48" s="2" t="n">
        <v>1</v>
      </c>
      <c r="DF48" s="2" t="n">
        <v>0</v>
      </c>
      <c r="DG48" s="2" t="n">
        <v>0</v>
      </c>
      <c r="DH48" s="2" t="n">
        <v>0</v>
      </c>
      <c r="DI48" s="2"/>
      <c r="DJ48" s="2" t="n">
        <v>1</v>
      </c>
      <c r="DK48" s="2"/>
      <c r="DL48" s="2" t="n">
        <v>2</v>
      </c>
      <c r="DM48" s="2"/>
      <c r="DN48" s="2" t="n">
        <v>16</v>
      </c>
      <c r="DO48" s="2" t="n">
        <v>1</v>
      </c>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row>
    <row r="49" customFormat="false" ht="15" hidden="false" customHeight="false" outlineLevel="0" collapsed="false">
      <c r="A49" s="2" t="s">
        <v>438</v>
      </c>
      <c r="B49" s="2" t="n">
        <v>1533</v>
      </c>
      <c r="C49" s="2" t="n">
        <v>3</v>
      </c>
      <c r="D49" s="2" t="n">
        <v>1</v>
      </c>
      <c r="E49" s="2" t="n">
        <v>2</v>
      </c>
      <c r="F49" s="2"/>
      <c r="G49" s="2" t="n">
        <v>1</v>
      </c>
      <c r="H49" s="2" t="n">
        <v>1</v>
      </c>
      <c r="I49" s="2" t="n">
        <v>1</v>
      </c>
      <c r="J49" s="2" t="n">
        <v>1</v>
      </c>
      <c r="K49" s="2" t="n">
        <v>1</v>
      </c>
      <c r="L49" s="2" t="n">
        <v>1</v>
      </c>
      <c r="M49" s="2" t="n">
        <v>1</v>
      </c>
      <c r="N49" s="2" t="n">
        <v>1</v>
      </c>
      <c r="O49" s="2" t="n">
        <v>1</v>
      </c>
      <c r="P49" s="2" t="n">
        <v>1</v>
      </c>
      <c r="Q49" s="2" t="n">
        <v>0</v>
      </c>
      <c r="R49" s="2" t="n">
        <v>1</v>
      </c>
      <c r="S49" s="2" t="n">
        <v>0</v>
      </c>
      <c r="T49" s="2"/>
      <c r="U49" s="2" t="n">
        <v>1.15</v>
      </c>
      <c r="V49" s="2"/>
      <c r="W49" s="2" t="n">
        <v>60</v>
      </c>
      <c r="X49" s="2"/>
      <c r="Y49" s="2"/>
      <c r="Z49" s="2" t="n">
        <v>90</v>
      </c>
      <c r="AA49" s="2"/>
      <c r="AB49" s="2" t="n">
        <v>90</v>
      </c>
      <c r="AC49" s="2" t="n">
        <v>2</v>
      </c>
      <c r="AD49" s="2"/>
      <c r="AE49" s="2" t="n">
        <v>3</v>
      </c>
      <c r="AF49" s="2" t="n">
        <v>2</v>
      </c>
      <c r="AG49" s="2" t="n">
        <v>30</v>
      </c>
      <c r="AH49" s="2"/>
      <c r="AI49" s="2"/>
      <c r="AJ49" s="2"/>
      <c r="AK49" s="2"/>
      <c r="AL49" s="2"/>
      <c r="AM49" s="2" t="n">
        <v>1</v>
      </c>
      <c r="AN49" s="2" t="n">
        <v>1</v>
      </c>
      <c r="AO49" s="2" t="n">
        <v>1</v>
      </c>
      <c r="AP49" s="2" t="n">
        <v>1</v>
      </c>
      <c r="AQ49" s="2" t="n">
        <v>1</v>
      </c>
      <c r="AR49" s="2" t="n">
        <v>2</v>
      </c>
      <c r="AS49" s="2" t="n">
        <v>2017</v>
      </c>
      <c r="AT49" s="2" t="s">
        <v>287</v>
      </c>
      <c r="AU49" s="2"/>
      <c r="AV49" s="2" t="n">
        <v>2017</v>
      </c>
      <c r="AW49" s="2" t="s">
        <v>287</v>
      </c>
      <c r="AX49" s="2"/>
      <c r="AY49" s="2" t="n">
        <v>1</v>
      </c>
      <c r="AZ49" s="2" t="n">
        <v>4</v>
      </c>
      <c r="BA49" s="2"/>
      <c r="BB49" s="2" t="s">
        <v>439</v>
      </c>
      <c r="BC49" s="2" t="n">
        <v>0</v>
      </c>
      <c r="BD49" s="2" t="n">
        <v>1</v>
      </c>
      <c r="BE49" s="2" t="n">
        <v>0</v>
      </c>
      <c r="BF49" s="2" t="n">
        <v>0</v>
      </c>
      <c r="BG49" s="2" t="n">
        <v>1</v>
      </c>
      <c r="BH49" s="2" t="n">
        <v>0</v>
      </c>
      <c r="BI49" s="2"/>
      <c r="BJ49" s="2" t="n">
        <v>2</v>
      </c>
      <c r="BK49" s="2" t="n">
        <v>0</v>
      </c>
      <c r="BL49" s="2" t="n">
        <v>0</v>
      </c>
      <c r="BM49" s="2" t="n">
        <v>1</v>
      </c>
      <c r="BN49" s="2" t="n">
        <v>0</v>
      </c>
      <c r="BO49" s="2" t="n">
        <v>0</v>
      </c>
      <c r="BP49" s="2" t="n">
        <v>0</v>
      </c>
      <c r="BQ49" s="2" t="n">
        <v>0</v>
      </c>
      <c r="BR49" s="2" t="s">
        <v>440</v>
      </c>
      <c r="BS49" s="2" t="n">
        <v>2</v>
      </c>
      <c r="BT49" s="2" t="n">
        <v>2</v>
      </c>
      <c r="BU49" s="2"/>
      <c r="BV49" s="2" t="n">
        <v>2</v>
      </c>
      <c r="BW49" s="2"/>
      <c r="BX49" s="2"/>
      <c r="BY49" s="2"/>
      <c r="BZ49" s="2"/>
      <c r="CA49" s="2"/>
      <c r="CB49" s="2"/>
      <c r="CC49" s="2"/>
      <c r="CD49" s="2"/>
      <c r="CE49" s="2"/>
      <c r="CF49" s="2"/>
      <c r="CG49" s="2"/>
      <c r="CH49" s="2"/>
      <c r="CI49" s="2"/>
      <c r="CJ49" s="2" t="n">
        <v>1</v>
      </c>
      <c r="CK49" s="2" t="n">
        <v>2025</v>
      </c>
      <c r="CL49" s="2" t="n">
        <v>1</v>
      </c>
      <c r="CM49" s="2"/>
      <c r="CN49" s="2" t="n">
        <v>1</v>
      </c>
      <c r="CO49" s="2" t="n">
        <v>1</v>
      </c>
      <c r="CP49" s="2" t="n">
        <v>1</v>
      </c>
      <c r="CQ49" s="2" t="n">
        <v>0</v>
      </c>
      <c r="CR49" s="2" t="n">
        <v>0</v>
      </c>
      <c r="CS49" s="2" t="n">
        <v>1</v>
      </c>
      <c r="CT49" s="2"/>
      <c r="CU49" s="2" t="n">
        <v>1</v>
      </c>
      <c r="CV49" s="2"/>
      <c r="CW49" s="2"/>
      <c r="CX49" s="2" t="n">
        <v>2</v>
      </c>
      <c r="CY49" s="2"/>
      <c r="CZ49" s="2"/>
      <c r="DA49" s="2"/>
      <c r="DB49" s="2"/>
      <c r="DC49" s="2"/>
      <c r="DD49" s="2"/>
      <c r="DE49" s="2"/>
      <c r="DF49" s="2"/>
      <c r="DG49" s="2"/>
      <c r="DH49" s="2"/>
      <c r="DI49" s="2"/>
      <c r="DJ49" s="2"/>
      <c r="DK49" s="2"/>
      <c r="DL49" s="2"/>
      <c r="DM49" s="2"/>
      <c r="DN49" s="2"/>
      <c r="DO49" s="2" t="n">
        <v>2</v>
      </c>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t="n">
        <v>1</v>
      </c>
      <c r="FE49" s="2" t="n">
        <v>1447</v>
      </c>
      <c r="FF49" s="2"/>
      <c r="FG49" s="2"/>
      <c r="FH49" s="2"/>
      <c r="FI49" s="2" t="n">
        <v>2557</v>
      </c>
      <c r="FJ49" s="2"/>
      <c r="FK49" s="2" t="n">
        <v>86</v>
      </c>
      <c r="FL49" s="2"/>
      <c r="FM49" s="2" t="n">
        <v>20</v>
      </c>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t="n">
        <v>2</v>
      </c>
      <c r="GP49" s="2"/>
      <c r="GQ49" s="2" t="n">
        <v>2</v>
      </c>
      <c r="GR49" s="2"/>
      <c r="GS49" s="2"/>
      <c r="GT49" s="2" t="n">
        <v>2</v>
      </c>
      <c r="GU49" s="2"/>
      <c r="GV49" s="2"/>
      <c r="GW49" s="2"/>
      <c r="GX49" s="2"/>
      <c r="GY49" s="2"/>
      <c r="GZ49" s="2"/>
      <c r="HA49" s="2"/>
      <c r="HB49" s="2"/>
      <c r="HC49" s="2"/>
      <c r="HD49" s="2"/>
      <c r="HE49" s="2"/>
    </row>
    <row r="50" customFormat="false" ht="15" hidden="false" customHeight="false" outlineLevel="0" collapsed="false">
      <c r="A50" s="2" t="s">
        <v>441</v>
      </c>
      <c r="B50" s="2" t="n">
        <v>40380</v>
      </c>
      <c r="C50" s="2" t="n">
        <v>5</v>
      </c>
      <c r="D50" s="2" t="n">
        <v>7</v>
      </c>
      <c r="E50" s="2" t="n">
        <v>1</v>
      </c>
      <c r="F50" s="2"/>
      <c r="G50" s="2" t="n">
        <v>1</v>
      </c>
      <c r="H50" s="2" t="n">
        <v>1</v>
      </c>
      <c r="I50" s="2" t="n">
        <v>1</v>
      </c>
      <c r="J50" s="2" t="n">
        <v>0</v>
      </c>
      <c r="K50" s="2" t="n">
        <v>1</v>
      </c>
      <c r="L50" s="2" t="n">
        <v>1</v>
      </c>
      <c r="M50" s="2" t="n">
        <v>1</v>
      </c>
      <c r="N50" s="2" t="n">
        <v>1</v>
      </c>
      <c r="O50" s="2" t="n">
        <v>1</v>
      </c>
      <c r="P50" s="2" t="n">
        <v>1</v>
      </c>
      <c r="Q50" s="2" t="n">
        <v>0</v>
      </c>
      <c r="R50" s="2" t="n">
        <v>1</v>
      </c>
      <c r="S50" s="2" t="n">
        <v>0</v>
      </c>
      <c r="T50" s="2"/>
      <c r="U50" s="2"/>
      <c r="V50" s="2"/>
      <c r="W50" s="2"/>
      <c r="X50" s="2"/>
      <c r="Y50" s="2"/>
      <c r="Z50" s="2"/>
      <c r="AA50" s="2" t="n">
        <v>150</v>
      </c>
      <c r="AB50" s="2"/>
      <c r="AC50" s="2" t="n">
        <v>2</v>
      </c>
      <c r="AD50" s="2"/>
      <c r="AE50" s="2" t="n">
        <v>3</v>
      </c>
      <c r="AF50" s="2" t="n">
        <v>3</v>
      </c>
      <c r="AG50" s="2"/>
      <c r="AH50" s="2" t="s">
        <v>442</v>
      </c>
      <c r="AI50" s="3" t="s">
        <v>443</v>
      </c>
      <c r="AJ50" s="2" t="n">
        <v>0</v>
      </c>
      <c r="AK50" s="2" t="n">
        <v>13.22</v>
      </c>
      <c r="AL50" s="2" t="n">
        <v>0</v>
      </c>
      <c r="AM50" s="2"/>
      <c r="AN50" s="2"/>
      <c r="AO50" s="2"/>
      <c r="AP50" s="2" t="n">
        <v>1</v>
      </c>
      <c r="AQ50" s="2" t="n">
        <v>1</v>
      </c>
      <c r="AR50" s="2" t="n">
        <v>1</v>
      </c>
      <c r="AS50" s="2" t="n">
        <v>2025</v>
      </c>
      <c r="AT50" s="2" t="s">
        <v>243</v>
      </c>
      <c r="AU50" s="2" t="s">
        <v>243</v>
      </c>
      <c r="AV50" s="2" t="n">
        <v>2019</v>
      </c>
      <c r="AW50" s="2" t="s">
        <v>444</v>
      </c>
      <c r="AX50" s="2" t="s">
        <v>445</v>
      </c>
      <c r="AY50" s="2" t="n">
        <v>2</v>
      </c>
      <c r="AZ50" s="2" t="n">
        <v>2</v>
      </c>
      <c r="BA50" s="2"/>
      <c r="BB50" s="2"/>
      <c r="BC50" s="2" t="n">
        <v>1</v>
      </c>
      <c r="BD50" s="2" t="n">
        <v>0</v>
      </c>
      <c r="BE50" s="2" t="n">
        <v>0</v>
      </c>
      <c r="BF50" s="2" t="n">
        <v>0</v>
      </c>
      <c r="BG50" s="2" t="n">
        <v>1</v>
      </c>
      <c r="BH50" s="2" t="n">
        <v>1</v>
      </c>
      <c r="BI50" s="2"/>
      <c r="BJ50" s="2" t="n">
        <v>1</v>
      </c>
      <c r="BK50" s="2" t="n">
        <v>1</v>
      </c>
      <c r="BL50" s="2" t="n">
        <v>0</v>
      </c>
      <c r="BM50" s="2" t="n">
        <v>0</v>
      </c>
      <c r="BN50" s="2" t="n">
        <v>0</v>
      </c>
      <c r="BO50" s="2" t="n">
        <v>1</v>
      </c>
      <c r="BP50" s="2" t="n">
        <v>1</v>
      </c>
      <c r="BQ50" s="2" t="n">
        <v>1</v>
      </c>
      <c r="BR50" s="2"/>
      <c r="BS50" s="2" t="n">
        <v>1</v>
      </c>
      <c r="BT50" s="2" t="n">
        <v>1</v>
      </c>
      <c r="BU50" s="2" t="n">
        <v>1</v>
      </c>
      <c r="BV50" s="2" t="n">
        <v>1</v>
      </c>
      <c r="BW50" s="2" t="n">
        <v>2025</v>
      </c>
      <c r="BX50" s="2" t="n">
        <v>1</v>
      </c>
      <c r="BY50" s="2" t="n">
        <v>3.02</v>
      </c>
      <c r="BZ50" s="2" t="n">
        <v>0</v>
      </c>
      <c r="CA50" s="2" t="n">
        <v>1</v>
      </c>
      <c r="CB50" s="2" t="n">
        <v>0</v>
      </c>
      <c r="CC50" s="2" t="n">
        <v>0</v>
      </c>
      <c r="CD50" s="2" t="n">
        <v>0</v>
      </c>
      <c r="CE50" s="2" t="n">
        <v>0</v>
      </c>
      <c r="CF50" s="2"/>
      <c r="CG50" s="2" t="n">
        <v>3</v>
      </c>
      <c r="CH50" s="2"/>
      <c r="CI50" s="2" t="n">
        <v>46.81</v>
      </c>
      <c r="CJ50" s="2" t="n">
        <v>1</v>
      </c>
      <c r="CK50" s="2" t="n">
        <v>2025</v>
      </c>
      <c r="CL50" s="2" t="n">
        <v>1</v>
      </c>
      <c r="CM50" s="2" t="n">
        <v>3.02</v>
      </c>
      <c r="CN50" s="2" t="n">
        <v>0</v>
      </c>
      <c r="CO50" s="2" t="n">
        <v>1</v>
      </c>
      <c r="CP50" s="2" t="n">
        <v>0</v>
      </c>
      <c r="CQ50" s="2" t="n">
        <v>0</v>
      </c>
      <c r="CR50" s="2" t="n">
        <v>0</v>
      </c>
      <c r="CS50" s="2" t="n">
        <v>0</v>
      </c>
      <c r="CT50" s="2"/>
      <c r="CU50" s="2" t="n">
        <v>4</v>
      </c>
      <c r="CV50" s="2" t="s">
        <v>446</v>
      </c>
      <c r="CW50" s="2"/>
      <c r="CX50" s="2" t="n">
        <v>1</v>
      </c>
      <c r="CY50" s="2" t="n">
        <v>7</v>
      </c>
      <c r="CZ50" s="2" t="n">
        <v>1</v>
      </c>
      <c r="DA50" s="2" t="n">
        <v>3.02</v>
      </c>
      <c r="DB50" s="2" t="n">
        <v>1</v>
      </c>
      <c r="DC50" s="2" t="n">
        <v>1</v>
      </c>
      <c r="DD50" s="2" t="n">
        <v>1</v>
      </c>
      <c r="DE50" s="2" t="n">
        <v>0</v>
      </c>
      <c r="DF50" s="2" t="n">
        <v>0</v>
      </c>
      <c r="DG50" s="2" t="n">
        <v>1</v>
      </c>
      <c r="DH50" s="2" t="n">
        <v>0</v>
      </c>
      <c r="DI50" s="2"/>
      <c r="DJ50" s="2" t="n">
        <v>1</v>
      </c>
      <c r="DK50" s="2"/>
      <c r="DL50" s="2" t="n">
        <v>1</v>
      </c>
      <c r="DM50" s="3" t="s">
        <v>447</v>
      </c>
      <c r="DN50" s="2" t="n">
        <v>9.08</v>
      </c>
      <c r="DO50" s="2" t="n">
        <v>1</v>
      </c>
      <c r="DP50" s="2" t="n">
        <v>39900</v>
      </c>
      <c r="DQ50" s="2"/>
      <c r="DR50" s="2"/>
      <c r="DS50" s="2"/>
      <c r="DT50" s="2" t="n">
        <v>10453</v>
      </c>
      <c r="DU50" s="2"/>
      <c r="DV50" s="2" t="n">
        <v>1500</v>
      </c>
      <c r="DW50" s="2"/>
      <c r="DX50" s="2" t="n">
        <v>191</v>
      </c>
      <c r="DY50" s="2"/>
      <c r="DZ50" s="2" t="n">
        <v>8228</v>
      </c>
      <c r="EA50" s="2" t="n">
        <v>179.5</v>
      </c>
      <c r="EB50" s="2" t="n">
        <v>13</v>
      </c>
      <c r="EC50" s="2" t="n">
        <v>6</v>
      </c>
      <c r="ED50" s="2" t="n">
        <v>0</v>
      </c>
      <c r="EE50" s="2" t="n">
        <v>1930</v>
      </c>
      <c r="EF50" s="2" t="n">
        <v>1984</v>
      </c>
      <c r="EG50" s="2" t="n">
        <v>82.5</v>
      </c>
      <c r="EH50" s="2" t="n">
        <v>20</v>
      </c>
      <c r="EI50" s="2" t="n">
        <v>5.6792</v>
      </c>
      <c r="EJ50" s="2" t="n">
        <v>0.92</v>
      </c>
      <c r="EK50" s="2" t="n">
        <v>12.7</v>
      </c>
      <c r="EL50" s="2"/>
      <c r="EM50" s="2" t="n">
        <v>21.63</v>
      </c>
      <c r="EN50" s="2"/>
      <c r="EO50" s="2"/>
      <c r="EP50" s="2"/>
      <c r="EQ50" s="2"/>
      <c r="ER50" s="2"/>
      <c r="ES50" s="2"/>
      <c r="ET50" s="2"/>
      <c r="EU50" s="2" t="s">
        <v>431</v>
      </c>
      <c r="EV50" s="2" t="n">
        <v>1</v>
      </c>
      <c r="EW50" s="2" t="n">
        <v>1</v>
      </c>
      <c r="EX50" s="2" t="n">
        <v>1</v>
      </c>
      <c r="EY50" s="2"/>
      <c r="EZ50" s="2"/>
      <c r="FA50" s="2"/>
      <c r="FB50" s="2" t="n">
        <v>100</v>
      </c>
      <c r="FC50" s="2"/>
      <c r="FD50" s="2" t="n">
        <v>1</v>
      </c>
      <c r="FE50" s="2" t="n">
        <v>39900</v>
      </c>
      <c r="FF50" s="2"/>
      <c r="FG50" s="2"/>
      <c r="FH50" s="2"/>
      <c r="FI50" s="2" t="n">
        <v>12930</v>
      </c>
      <c r="FJ50" s="2"/>
      <c r="FK50" s="2" t="n">
        <v>1265</v>
      </c>
      <c r="FL50" s="2"/>
      <c r="FM50" s="2"/>
      <c r="FN50" s="2"/>
      <c r="FO50" s="2" t="n">
        <v>4488</v>
      </c>
      <c r="FP50" s="2" t="n">
        <v>184.5</v>
      </c>
      <c r="FQ50" s="2" t="n">
        <v>5</v>
      </c>
      <c r="FR50" s="2" t="n">
        <v>2</v>
      </c>
      <c r="FS50" s="2" t="n">
        <v>2</v>
      </c>
      <c r="FT50" s="2" t="n">
        <v>0</v>
      </c>
      <c r="FU50" s="2" t="n">
        <v>0</v>
      </c>
      <c r="FV50" s="2" t="n">
        <v>0</v>
      </c>
      <c r="FW50" s="2" t="n">
        <v>0</v>
      </c>
      <c r="FX50" s="2" t="n">
        <v>1</v>
      </c>
      <c r="FY50" s="2" t="n">
        <v>1</v>
      </c>
      <c r="FZ50" s="2"/>
      <c r="GA50" s="2" t="n">
        <v>1935</v>
      </c>
      <c r="GB50" s="2"/>
      <c r="GC50" s="2" t="n">
        <v>4</v>
      </c>
      <c r="GD50" s="2" t="n">
        <v>9.4</v>
      </c>
      <c r="GE50" s="2" t="n">
        <v>2492.2</v>
      </c>
      <c r="GF50" s="2" t="n">
        <v>22.3</v>
      </c>
      <c r="GG50" s="2" t="n">
        <v>6.8</v>
      </c>
      <c r="GH50" s="2"/>
      <c r="GI50" s="2" t="s">
        <v>252</v>
      </c>
      <c r="GJ50" s="2" t="s">
        <v>252</v>
      </c>
      <c r="GK50" s="2" t="n">
        <v>1</v>
      </c>
      <c r="GL50" s="2"/>
      <c r="GM50" s="2" t="s">
        <v>250</v>
      </c>
      <c r="GN50" s="2"/>
      <c r="GO50" s="2" t="n">
        <v>2</v>
      </c>
      <c r="GP50" s="2"/>
      <c r="GQ50" s="2" t="n">
        <v>1</v>
      </c>
      <c r="GR50" s="2" t="n">
        <v>2</v>
      </c>
      <c r="GS50" s="2"/>
      <c r="GT50" s="2" t="n">
        <v>1</v>
      </c>
      <c r="GU50" s="2" t="n">
        <v>12438</v>
      </c>
      <c r="GV50" s="2"/>
      <c r="GW50" s="2" t="n">
        <v>1302</v>
      </c>
      <c r="GX50" s="2"/>
      <c r="GY50" s="2"/>
      <c r="GZ50" s="2"/>
      <c r="HA50" s="2" t="n">
        <v>201.6</v>
      </c>
      <c r="HB50" s="2"/>
      <c r="HC50" s="2" t="n">
        <v>3700</v>
      </c>
      <c r="HD50" s="2"/>
      <c r="HE50" s="2"/>
    </row>
    <row r="51" customFormat="false" ht="15" hidden="false" customHeight="false" outlineLevel="0" collapsed="false">
      <c r="A51" s="2" t="s">
        <v>448</v>
      </c>
      <c r="B51" s="2" t="n">
        <v>131</v>
      </c>
      <c r="C51" s="2" t="n">
        <v>1</v>
      </c>
      <c r="D51" s="2" t="n">
        <v>12</v>
      </c>
      <c r="E51" s="2" t="n">
        <v>1</v>
      </c>
      <c r="F51" s="2"/>
      <c r="G51" s="2" t="n">
        <v>1</v>
      </c>
      <c r="H51" s="2" t="n">
        <v>1</v>
      </c>
      <c r="I51" s="2" t="n">
        <v>0</v>
      </c>
      <c r="J51" s="2" t="n">
        <v>0</v>
      </c>
      <c r="K51" s="2" t="n">
        <v>1</v>
      </c>
      <c r="L51" s="2" t="n">
        <v>0</v>
      </c>
      <c r="M51" s="2" t="n">
        <v>2</v>
      </c>
      <c r="N51" s="2" t="n">
        <v>0</v>
      </c>
      <c r="O51" s="2" t="n">
        <v>1</v>
      </c>
      <c r="P51" s="2" t="n">
        <v>0</v>
      </c>
      <c r="Q51" s="2" t="n">
        <v>1</v>
      </c>
      <c r="R51" s="2" t="n">
        <v>0</v>
      </c>
      <c r="S51" s="2" t="n">
        <v>0</v>
      </c>
      <c r="T51" s="2"/>
      <c r="U51" s="2" t="n">
        <v>0.1</v>
      </c>
      <c r="V51" s="2" t="n">
        <v>0.02</v>
      </c>
      <c r="W51" s="2"/>
      <c r="X51" s="2" t="n">
        <v>8.57</v>
      </c>
      <c r="Y51" s="2" t="n">
        <v>1.71</v>
      </c>
      <c r="Z51" s="2" t="n">
        <v>60</v>
      </c>
      <c r="AA51" s="2"/>
      <c r="AB51" s="2"/>
      <c r="AC51" s="2" t="n">
        <v>2</v>
      </c>
      <c r="AD51" s="2"/>
      <c r="AE51" s="2" t="n">
        <v>3</v>
      </c>
      <c r="AF51" s="2" t="n">
        <v>3</v>
      </c>
      <c r="AG51" s="2" t="n">
        <v>0</v>
      </c>
      <c r="AH51" s="2"/>
      <c r="AI51" s="2"/>
      <c r="AJ51" s="2" t="n">
        <v>53</v>
      </c>
      <c r="AK51" s="2" t="n">
        <v>47</v>
      </c>
      <c r="AL51" s="2"/>
      <c r="AM51" s="2"/>
      <c r="AN51" s="2"/>
      <c r="AO51" s="2" t="n">
        <v>1</v>
      </c>
      <c r="AP51" s="2" t="n">
        <v>1</v>
      </c>
      <c r="AQ51" s="2" t="n">
        <v>1</v>
      </c>
      <c r="AR51" s="2"/>
      <c r="AS51" s="2" t="n">
        <v>2023</v>
      </c>
      <c r="AT51" s="2" t="s">
        <v>287</v>
      </c>
      <c r="AU51" s="2"/>
      <c r="AV51" s="2"/>
      <c r="AW51" s="2"/>
      <c r="AX51" s="2"/>
      <c r="AY51" s="2" t="n">
        <v>2</v>
      </c>
      <c r="AZ51" s="2" t="n">
        <v>4</v>
      </c>
      <c r="BA51" s="2"/>
      <c r="BB51" s="2" t="s">
        <v>449</v>
      </c>
      <c r="BC51" s="2" t="n">
        <v>0</v>
      </c>
      <c r="BD51" s="2" t="n">
        <v>0</v>
      </c>
      <c r="BE51" s="2" t="n">
        <v>1</v>
      </c>
      <c r="BF51" s="2" t="n">
        <v>0</v>
      </c>
      <c r="BG51" s="2" t="n">
        <v>0</v>
      </c>
      <c r="BH51" s="2" t="n">
        <v>0</v>
      </c>
      <c r="BI51" s="2"/>
      <c r="BJ51" s="2" t="n">
        <v>2</v>
      </c>
      <c r="BK51" s="2"/>
      <c r="BL51" s="2"/>
      <c r="BM51" s="2"/>
      <c r="BN51" s="2"/>
      <c r="BO51" s="2"/>
      <c r="BP51" s="2"/>
      <c r="BQ51" s="2"/>
      <c r="BR51" s="2"/>
      <c r="BS51" s="2" t="n">
        <v>2</v>
      </c>
      <c r="BT51" s="2" t="n">
        <v>2</v>
      </c>
      <c r="BU51" s="2"/>
      <c r="BV51" s="2" t="n">
        <v>1</v>
      </c>
      <c r="BW51" s="2" t="n">
        <v>2024</v>
      </c>
      <c r="BX51" s="2" t="n">
        <v>1</v>
      </c>
      <c r="BY51" s="2" t="n">
        <v>65</v>
      </c>
      <c r="BZ51" s="2" t="n">
        <v>1</v>
      </c>
      <c r="CA51" s="2" t="n">
        <v>1</v>
      </c>
      <c r="CB51" s="2" t="n">
        <v>1</v>
      </c>
      <c r="CC51" s="2" t="n">
        <v>0</v>
      </c>
      <c r="CD51" s="2" t="n">
        <v>0</v>
      </c>
      <c r="CE51" s="2" t="n">
        <v>1</v>
      </c>
      <c r="CF51" s="2"/>
      <c r="CG51" s="2" t="n">
        <v>1</v>
      </c>
      <c r="CH51" s="2"/>
      <c r="CI51" s="2" t="n">
        <v>85.73</v>
      </c>
      <c r="CJ51" s="2" t="n">
        <v>1</v>
      </c>
      <c r="CK51" s="2" t="n">
        <v>2024</v>
      </c>
      <c r="CL51" s="2" t="n">
        <v>1</v>
      </c>
      <c r="CM51" s="2" t="n">
        <v>65</v>
      </c>
      <c r="CN51" s="2" t="n">
        <v>1</v>
      </c>
      <c r="CO51" s="2" t="n">
        <v>1</v>
      </c>
      <c r="CP51" s="2" t="n">
        <v>1</v>
      </c>
      <c r="CQ51" s="2" t="n">
        <v>0</v>
      </c>
      <c r="CR51" s="2" t="n">
        <v>0</v>
      </c>
      <c r="CS51" s="2" t="n">
        <v>1</v>
      </c>
      <c r="CT51" s="2"/>
      <c r="CU51" s="2" t="n">
        <v>1</v>
      </c>
      <c r="CV51" s="2"/>
      <c r="CW51" s="2" t="n">
        <v>40.29</v>
      </c>
      <c r="CX51" s="2" t="n">
        <v>2</v>
      </c>
      <c r="CY51" s="2"/>
      <c r="CZ51" s="2"/>
      <c r="DA51" s="2"/>
      <c r="DB51" s="2"/>
      <c r="DC51" s="2"/>
      <c r="DD51" s="2"/>
      <c r="DE51" s="2"/>
      <c r="DF51" s="2"/>
      <c r="DG51" s="2"/>
      <c r="DH51" s="2"/>
      <c r="DI51" s="2"/>
      <c r="DJ51" s="2"/>
      <c r="DK51" s="2"/>
      <c r="DL51" s="2"/>
      <c r="DM51" s="2"/>
      <c r="DN51" s="2"/>
      <c r="DO51" s="2" t="n">
        <v>1</v>
      </c>
      <c r="DP51" s="2" t="n">
        <v>80</v>
      </c>
      <c r="DQ51" s="2"/>
      <c r="DR51" s="2" t="n">
        <v>120</v>
      </c>
      <c r="DS51" s="2"/>
      <c r="DT51" s="2" t="n">
        <v>80</v>
      </c>
      <c r="DU51" s="2"/>
      <c r="DV51" s="2" t="n">
        <v>20</v>
      </c>
      <c r="DW51" s="2"/>
      <c r="DX51" s="2" t="n">
        <v>5</v>
      </c>
      <c r="DY51" s="2"/>
      <c r="DZ51" s="2"/>
      <c r="EA51" s="2" t="n">
        <v>3.98</v>
      </c>
      <c r="EB51" s="2" t="n">
        <v>1</v>
      </c>
      <c r="EC51" s="2"/>
      <c r="ED51" s="2" t="n">
        <v>0</v>
      </c>
      <c r="EE51" s="2" t="n">
        <v>1976</v>
      </c>
      <c r="EF51" s="2" t="n">
        <v>2007</v>
      </c>
      <c r="EG51" s="2" t="n">
        <v>150000</v>
      </c>
      <c r="EH51" s="2"/>
      <c r="EI51" s="2" t="n">
        <v>60</v>
      </c>
      <c r="EJ51" s="2" t="n">
        <v>0</v>
      </c>
      <c r="EK51" s="2" t="n">
        <v>120000</v>
      </c>
      <c r="EL51" s="2"/>
      <c r="EM51" s="2" t="n">
        <v>150000</v>
      </c>
      <c r="EN51" s="2"/>
      <c r="EO51" s="2"/>
      <c r="EP51" s="2"/>
      <c r="EQ51" s="2"/>
      <c r="ER51" s="2"/>
      <c r="ES51" s="2"/>
      <c r="ET51" s="2"/>
      <c r="EU51" s="2"/>
      <c r="EV51" s="2" t="n">
        <v>2</v>
      </c>
      <c r="EW51" s="2" t="n">
        <v>2</v>
      </c>
      <c r="EX51" s="2" t="n">
        <v>3</v>
      </c>
      <c r="EY51" s="2"/>
      <c r="EZ51" s="2"/>
      <c r="FA51" s="2"/>
      <c r="FB51" s="2" t="n">
        <v>100</v>
      </c>
      <c r="FC51" s="2"/>
      <c r="FD51" s="2" t="n">
        <v>1</v>
      </c>
      <c r="FE51" s="2" t="n">
        <v>80</v>
      </c>
      <c r="FF51" s="2"/>
      <c r="FG51" s="2" t="n">
        <v>120</v>
      </c>
      <c r="FH51" s="2"/>
      <c r="FI51" s="2" t="n">
        <v>80</v>
      </c>
      <c r="FJ51" s="2"/>
      <c r="FK51" s="2" t="n">
        <v>20</v>
      </c>
      <c r="FL51" s="2"/>
      <c r="FM51" s="2" t="n">
        <v>5</v>
      </c>
      <c r="FN51" s="2"/>
      <c r="FO51" s="2" t="n">
        <v>20</v>
      </c>
      <c r="FP51" s="2" t="n">
        <v>3.24</v>
      </c>
      <c r="FQ51" s="2"/>
      <c r="FR51" s="2" t="n">
        <v>1</v>
      </c>
      <c r="FS51" s="2" t="n">
        <v>4</v>
      </c>
      <c r="FT51" s="2" t="n">
        <v>0</v>
      </c>
      <c r="FU51" s="2" t="n">
        <v>0</v>
      </c>
      <c r="FV51" s="2" t="n">
        <v>0</v>
      </c>
      <c r="FW51" s="2" t="n">
        <v>0</v>
      </c>
      <c r="FX51" s="2" t="n">
        <v>1</v>
      </c>
      <c r="FY51" s="2" t="n">
        <v>0</v>
      </c>
      <c r="FZ51" s="2"/>
      <c r="GA51" s="2" t="n">
        <v>1974</v>
      </c>
      <c r="GB51" s="2"/>
      <c r="GC51" s="2" t="n">
        <v>0.047</v>
      </c>
      <c r="GD51" s="2" t="n">
        <v>0.047</v>
      </c>
      <c r="GE51" s="2"/>
      <c r="GF51" s="2" t="n">
        <v>0.046</v>
      </c>
      <c r="GG51" s="2" t="n">
        <v>0.028</v>
      </c>
      <c r="GH51" s="2" t="n">
        <v>50</v>
      </c>
      <c r="GI51" s="2" t="s">
        <v>218</v>
      </c>
      <c r="GJ51" s="2" t="s">
        <v>218</v>
      </c>
      <c r="GK51" s="2" t="n">
        <v>2</v>
      </c>
      <c r="GL51" s="2" t="n">
        <v>2</v>
      </c>
      <c r="GM51" s="2" t="s">
        <v>218</v>
      </c>
      <c r="GN51" s="2"/>
      <c r="GO51" s="2" t="n">
        <v>2</v>
      </c>
      <c r="GP51" s="2"/>
      <c r="GQ51" s="2" t="n">
        <v>2</v>
      </c>
      <c r="GR51" s="2"/>
      <c r="GS51" s="2"/>
      <c r="GT51" s="2" t="n">
        <v>1</v>
      </c>
      <c r="GU51" s="2" t="n">
        <v>0</v>
      </c>
      <c r="GV51" s="2"/>
      <c r="GW51" s="2" t="n">
        <v>0</v>
      </c>
      <c r="GX51" s="2"/>
      <c r="GY51" s="2"/>
      <c r="GZ51" s="2"/>
      <c r="HA51" s="2" t="n">
        <v>0.44</v>
      </c>
      <c r="HB51" s="2" t="s">
        <v>372</v>
      </c>
      <c r="HC51" s="2" t="n">
        <v>1900</v>
      </c>
      <c r="HD51" s="2"/>
      <c r="HE51" s="2"/>
    </row>
    <row r="52" customFormat="false" ht="15" hidden="false" customHeight="false" outlineLevel="0" collapsed="false">
      <c r="A52" s="2" t="s">
        <v>450</v>
      </c>
      <c r="B52" s="2" t="n">
        <v>3592</v>
      </c>
      <c r="C52" s="2" t="n">
        <v>4</v>
      </c>
      <c r="D52" s="2" t="n">
        <v>6</v>
      </c>
      <c r="E52" s="2" t="n">
        <v>1</v>
      </c>
      <c r="F52" s="2"/>
      <c r="G52" s="2" t="n">
        <v>1</v>
      </c>
      <c r="H52" s="2" t="n">
        <v>1</v>
      </c>
      <c r="I52" s="2" t="n">
        <v>1</v>
      </c>
      <c r="J52" s="2" t="n">
        <v>0</v>
      </c>
      <c r="K52" s="2" t="n">
        <v>1</v>
      </c>
      <c r="L52" s="2" t="n">
        <v>1</v>
      </c>
      <c r="M52" s="2" t="n">
        <v>1</v>
      </c>
      <c r="N52" s="2" t="n">
        <v>1</v>
      </c>
      <c r="O52" s="2" t="n">
        <v>1</v>
      </c>
      <c r="P52" s="2" t="n">
        <v>1</v>
      </c>
      <c r="Q52" s="2" t="n">
        <v>1</v>
      </c>
      <c r="R52" s="2" t="n">
        <v>0</v>
      </c>
      <c r="S52" s="2" t="n">
        <v>0</v>
      </c>
      <c r="T52" s="2"/>
      <c r="U52" s="2" t="n">
        <v>10</v>
      </c>
      <c r="V52" s="2" t="n">
        <v>0.75</v>
      </c>
      <c r="W52" s="2" t="n">
        <v>20</v>
      </c>
      <c r="X52" s="2" t="n">
        <v>10</v>
      </c>
      <c r="Y52" s="2" t="n">
        <v>0.0075</v>
      </c>
      <c r="Z52" s="2" t="n">
        <v>30</v>
      </c>
      <c r="AA52" s="2" t="n">
        <v>50</v>
      </c>
      <c r="AB52" s="2" t="n">
        <v>30</v>
      </c>
      <c r="AC52" s="2" t="n">
        <v>2</v>
      </c>
      <c r="AD52" s="2"/>
      <c r="AE52" s="2" t="n">
        <v>3</v>
      </c>
      <c r="AF52" s="2" t="n">
        <v>1</v>
      </c>
      <c r="AG52" s="2" t="n">
        <v>90</v>
      </c>
      <c r="AH52" s="2"/>
      <c r="AI52" s="2" t="s">
        <v>451</v>
      </c>
      <c r="AJ52" s="2"/>
      <c r="AK52" s="2"/>
      <c r="AL52" s="2"/>
      <c r="AM52" s="2" t="n">
        <v>1</v>
      </c>
      <c r="AN52" s="2" t="n">
        <v>1</v>
      </c>
      <c r="AO52" s="2" t="n">
        <v>1</v>
      </c>
      <c r="AP52" s="2"/>
      <c r="AQ52" s="2"/>
      <c r="AR52" s="2"/>
      <c r="AS52" s="2"/>
      <c r="AT52" s="2" t="s">
        <v>452</v>
      </c>
      <c r="AU52" s="2" t="s">
        <v>452</v>
      </c>
      <c r="AV52" s="2"/>
      <c r="AW52" s="2" t="s">
        <v>452</v>
      </c>
      <c r="AX52" s="2" t="s">
        <v>452</v>
      </c>
      <c r="AY52" s="2" t="n">
        <v>2</v>
      </c>
      <c r="AZ52" s="2" t="n">
        <v>2</v>
      </c>
      <c r="BA52" s="2"/>
      <c r="BB52" s="2"/>
      <c r="BC52" s="2" t="n">
        <v>1</v>
      </c>
      <c r="BD52" s="2" t="n">
        <v>0</v>
      </c>
      <c r="BE52" s="2" t="n">
        <v>0</v>
      </c>
      <c r="BF52" s="2" t="n">
        <v>1</v>
      </c>
      <c r="BG52" s="2" t="n">
        <v>1</v>
      </c>
      <c r="BH52" s="2" t="n">
        <v>0</v>
      </c>
      <c r="BI52" s="2" t="s">
        <v>453</v>
      </c>
      <c r="BJ52" s="2" t="n">
        <v>2</v>
      </c>
      <c r="BK52" s="2"/>
      <c r="BL52" s="2"/>
      <c r="BM52" s="2"/>
      <c r="BN52" s="2"/>
      <c r="BO52" s="2"/>
      <c r="BP52" s="2"/>
      <c r="BQ52" s="2"/>
      <c r="BR52" s="2"/>
      <c r="BS52" s="2" t="n">
        <v>2</v>
      </c>
      <c r="BT52" s="2" t="n">
        <v>2</v>
      </c>
      <c r="BU52" s="2" t="n">
        <v>2</v>
      </c>
      <c r="BV52" s="2" t="n">
        <v>1</v>
      </c>
      <c r="BW52" s="2" t="n">
        <v>2023</v>
      </c>
      <c r="BX52" s="2" t="n">
        <v>1</v>
      </c>
      <c r="BY52" s="2"/>
      <c r="BZ52" s="2" t="n">
        <v>0</v>
      </c>
      <c r="CA52" s="2" t="n">
        <v>1</v>
      </c>
      <c r="CB52" s="2" t="n">
        <v>1</v>
      </c>
      <c r="CC52" s="2" t="n">
        <v>0</v>
      </c>
      <c r="CD52" s="2" t="n">
        <v>0</v>
      </c>
      <c r="CE52" s="2" t="n">
        <v>1</v>
      </c>
      <c r="CF52" s="2"/>
      <c r="CG52" s="2" t="n">
        <v>5</v>
      </c>
      <c r="CH52" s="2" t="s">
        <v>454</v>
      </c>
      <c r="CI52" s="2"/>
      <c r="CJ52" s="2" t="n">
        <v>1</v>
      </c>
      <c r="CK52" s="2" t="n">
        <v>2023</v>
      </c>
      <c r="CL52" s="2" t="n">
        <v>1</v>
      </c>
      <c r="CM52" s="2"/>
      <c r="CN52" s="2" t="n">
        <v>0</v>
      </c>
      <c r="CO52" s="2" t="n">
        <v>1</v>
      </c>
      <c r="CP52" s="2" t="n">
        <v>1</v>
      </c>
      <c r="CQ52" s="2" t="n">
        <v>0</v>
      </c>
      <c r="CR52" s="2" t="n">
        <v>0</v>
      </c>
      <c r="CS52" s="2" t="n">
        <v>1</v>
      </c>
      <c r="CT52" s="2"/>
      <c r="CU52" s="2" t="n">
        <v>4</v>
      </c>
      <c r="CV52" s="2" t="s">
        <v>455</v>
      </c>
      <c r="CW52" s="2"/>
      <c r="CX52" s="2" t="n">
        <v>2</v>
      </c>
      <c r="CY52" s="2"/>
      <c r="CZ52" s="2"/>
      <c r="DA52" s="2"/>
      <c r="DB52" s="2"/>
      <c r="DC52" s="2"/>
      <c r="DD52" s="2"/>
      <c r="DE52" s="2"/>
      <c r="DF52" s="2"/>
      <c r="DG52" s="2"/>
      <c r="DH52" s="2"/>
      <c r="DI52" s="2"/>
      <c r="DJ52" s="2"/>
      <c r="DK52" s="2"/>
      <c r="DL52" s="2"/>
      <c r="DM52" s="2"/>
      <c r="DN52" s="2"/>
      <c r="DO52" s="2" t="n">
        <v>1</v>
      </c>
      <c r="DP52" s="2" t="n">
        <v>3304</v>
      </c>
      <c r="DQ52" s="2"/>
      <c r="DR52" s="2"/>
      <c r="DS52" s="2"/>
      <c r="DT52" s="2" t="n">
        <v>1779</v>
      </c>
      <c r="DU52" s="2" t="n">
        <v>131</v>
      </c>
      <c r="DV52" s="2" t="n">
        <v>370</v>
      </c>
      <c r="DW52" s="2" t="n">
        <v>10</v>
      </c>
      <c r="DX52" s="2" t="n">
        <v>56</v>
      </c>
      <c r="DY52" s="2"/>
      <c r="DZ52" s="2" t="n">
        <v>75596726</v>
      </c>
      <c r="EA52" s="2" t="n">
        <v>34</v>
      </c>
      <c r="EB52" s="2" t="n">
        <v>0</v>
      </c>
      <c r="EC52" s="2" t="n">
        <v>2</v>
      </c>
      <c r="ED52" s="2" t="n">
        <v>2</v>
      </c>
      <c r="EE52" s="2" t="n">
        <v>1955</v>
      </c>
      <c r="EF52" s="2" t="n">
        <v>2023</v>
      </c>
      <c r="EG52" s="2" t="n">
        <v>1.06</v>
      </c>
      <c r="EH52" s="2" t="n">
        <v>2.02</v>
      </c>
      <c r="EI52" s="2" t="n">
        <v>0.534</v>
      </c>
      <c r="EJ52" s="2" t="n">
        <v>0.85</v>
      </c>
      <c r="EK52" s="2" t="n">
        <v>984539</v>
      </c>
      <c r="EL52" s="2"/>
      <c r="EM52" s="2" t="n">
        <v>3</v>
      </c>
      <c r="EN52" s="2"/>
      <c r="EO52" s="2"/>
      <c r="EP52" s="2"/>
      <c r="EQ52" s="2"/>
      <c r="ER52" s="2"/>
      <c r="ES52" s="2"/>
      <c r="ET52" s="2"/>
      <c r="EU52" s="2" t="s">
        <v>298</v>
      </c>
      <c r="EV52" s="2" t="n">
        <v>1</v>
      </c>
      <c r="EW52" s="2" t="n">
        <v>1</v>
      </c>
      <c r="EX52" s="2" t="n">
        <v>1</v>
      </c>
      <c r="EY52" s="2"/>
      <c r="EZ52" s="2" t="n">
        <v>0.945</v>
      </c>
      <c r="FA52" s="2"/>
      <c r="FB52" s="2" t="n">
        <v>0.055</v>
      </c>
      <c r="FC52" s="2"/>
      <c r="FD52" s="2" t="n">
        <v>1</v>
      </c>
      <c r="FE52" s="2" t="n">
        <v>1922</v>
      </c>
      <c r="FF52" s="2" t="n">
        <v>18</v>
      </c>
      <c r="FG52" s="2"/>
      <c r="FH52" s="2"/>
      <c r="FI52" s="2" t="n">
        <v>1619</v>
      </c>
      <c r="FJ52" s="2" t="n">
        <v>2</v>
      </c>
      <c r="FK52" s="2" t="n">
        <v>303</v>
      </c>
      <c r="FL52" s="2" t="n">
        <v>7</v>
      </c>
      <c r="FM52" s="2" t="n">
        <v>18</v>
      </c>
      <c r="FN52" s="2"/>
      <c r="FO52" s="2" t="n">
        <v>3294</v>
      </c>
      <c r="FP52" s="2"/>
      <c r="FQ52" s="2" t="n">
        <v>4</v>
      </c>
      <c r="FR52" s="2" t="n">
        <v>2</v>
      </c>
      <c r="FS52" s="2" t="n">
        <v>3</v>
      </c>
      <c r="FT52" s="2"/>
      <c r="FU52" s="2"/>
      <c r="FV52" s="2"/>
      <c r="FW52" s="2"/>
      <c r="FX52" s="2"/>
      <c r="FY52" s="2"/>
      <c r="FZ52" s="2"/>
      <c r="GA52" s="2"/>
      <c r="GB52" s="2"/>
      <c r="GC52" s="2"/>
      <c r="GD52" s="2"/>
      <c r="GE52" s="2"/>
      <c r="GF52" s="2"/>
      <c r="GG52" s="2"/>
      <c r="GH52" s="2"/>
      <c r="GI52" s="2"/>
      <c r="GJ52" s="2"/>
      <c r="GK52" s="2" t="n">
        <v>2</v>
      </c>
      <c r="GL52" s="2" t="n">
        <v>2</v>
      </c>
      <c r="GM52" s="2" t="s">
        <v>250</v>
      </c>
      <c r="GN52" s="2"/>
      <c r="GO52" s="2" t="n">
        <v>1</v>
      </c>
      <c r="GP52" s="2" t="s">
        <v>456</v>
      </c>
      <c r="GQ52" s="2" t="n">
        <v>1</v>
      </c>
      <c r="GR52" s="2" t="n">
        <v>6</v>
      </c>
      <c r="GS52" s="2"/>
      <c r="GT52" s="2" t="n">
        <v>1</v>
      </c>
      <c r="GU52" s="2" t="n">
        <v>1617</v>
      </c>
      <c r="GV52" s="2" t="n">
        <v>2</v>
      </c>
      <c r="GW52" s="2" t="n">
        <v>270</v>
      </c>
      <c r="GX52" s="2" t="n">
        <v>2</v>
      </c>
      <c r="GY52" s="2" t="n">
        <v>18</v>
      </c>
      <c r="GZ52" s="2"/>
      <c r="HA52" s="2"/>
      <c r="HB52" s="2"/>
      <c r="HC52" s="2"/>
      <c r="HD52" s="2"/>
      <c r="HE52" s="2"/>
    </row>
    <row r="53" customFormat="false" ht="15" hidden="false" customHeight="false" outlineLevel="0" collapsed="false">
      <c r="A53" s="2" t="s">
        <v>457</v>
      </c>
      <c r="B53" s="2" t="n">
        <v>2456</v>
      </c>
      <c r="C53" s="2" t="n">
        <v>3</v>
      </c>
      <c r="D53" s="2" t="n">
        <v>3</v>
      </c>
      <c r="E53" s="2" t="n">
        <v>1</v>
      </c>
      <c r="F53" s="2"/>
      <c r="G53" s="2" t="n">
        <v>1</v>
      </c>
      <c r="H53" s="2" t="n">
        <v>1</v>
      </c>
      <c r="I53" s="2" t="n">
        <v>1</v>
      </c>
      <c r="J53" s="2" t="n">
        <v>0</v>
      </c>
      <c r="K53" s="2" t="n">
        <v>1</v>
      </c>
      <c r="L53" s="2" t="n">
        <v>0</v>
      </c>
      <c r="M53" s="2" t="n">
        <v>1</v>
      </c>
      <c r="N53" s="2" t="n">
        <v>1</v>
      </c>
      <c r="O53" s="2" t="n">
        <v>1</v>
      </c>
      <c r="P53" s="2" t="n">
        <v>1</v>
      </c>
      <c r="Q53" s="2" t="n">
        <v>0</v>
      </c>
      <c r="R53" s="2" t="n">
        <v>1</v>
      </c>
      <c r="S53" s="2" t="n">
        <v>0</v>
      </c>
      <c r="T53" s="2"/>
      <c r="U53" s="2"/>
      <c r="V53" s="2"/>
      <c r="W53" s="2"/>
      <c r="X53" s="2"/>
      <c r="Y53" s="2"/>
      <c r="Z53" s="2" t="n">
        <v>5</v>
      </c>
      <c r="AA53" s="2"/>
      <c r="AB53" s="2"/>
      <c r="AC53" s="2" t="n">
        <v>2</v>
      </c>
      <c r="AD53" s="2"/>
      <c r="AE53" s="2" t="n">
        <v>3</v>
      </c>
      <c r="AF53" s="2" t="n">
        <v>2</v>
      </c>
      <c r="AG53" s="2" t="n">
        <v>30</v>
      </c>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row>
    <row r="54" customFormat="false" ht="15" hidden="false" customHeight="false" outlineLevel="0" collapsed="false">
      <c r="A54" s="2" t="s">
        <v>458</v>
      </c>
      <c r="B54" s="2" t="n">
        <v>8633</v>
      </c>
      <c r="C54" s="2" t="n">
        <v>4</v>
      </c>
      <c r="D54" s="2" t="n">
        <v>8</v>
      </c>
      <c r="E54" s="2" t="n">
        <v>1</v>
      </c>
      <c r="F54" s="2"/>
      <c r="G54" s="2" t="n">
        <v>1</v>
      </c>
      <c r="H54" s="2" t="n">
        <v>1</v>
      </c>
      <c r="I54" s="2" t="n">
        <v>1</v>
      </c>
      <c r="J54" s="2" t="n">
        <v>1</v>
      </c>
      <c r="K54" s="2" t="n">
        <v>1</v>
      </c>
      <c r="L54" s="2" t="n">
        <v>1</v>
      </c>
      <c r="M54" s="2" t="n">
        <v>1</v>
      </c>
      <c r="N54" s="2" t="n">
        <v>1</v>
      </c>
      <c r="O54" s="2" t="n">
        <v>1</v>
      </c>
      <c r="P54" s="2" t="n">
        <v>1</v>
      </c>
      <c r="Q54" s="2" t="n">
        <v>0</v>
      </c>
      <c r="R54" s="2" t="n">
        <v>1</v>
      </c>
      <c r="S54" s="2" t="n">
        <v>0</v>
      </c>
      <c r="T54" s="2"/>
      <c r="U54" s="2" t="n">
        <v>10</v>
      </c>
      <c r="V54" s="2"/>
      <c r="W54" s="2" t="n">
        <v>30</v>
      </c>
      <c r="X54" s="2"/>
      <c r="Y54" s="2"/>
      <c r="Z54" s="2" t="n">
        <v>45</v>
      </c>
      <c r="AA54" s="2" t="n">
        <v>10</v>
      </c>
      <c r="AB54" s="2"/>
      <c r="AC54" s="2" t="n">
        <v>1</v>
      </c>
      <c r="AD54" s="2" t="s">
        <v>459</v>
      </c>
      <c r="AE54" s="2" t="n">
        <v>3</v>
      </c>
      <c r="AF54" s="2" t="n">
        <v>3</v>
      </c>
      <c r="AG54" s="2" t="n">
        <v>30</v>
      </c>
      <c r="AH54" s="2"/>
      <c r="AI54" s="2" t="s">
        <v>460</v>
      </c>
      <c r="AJ54" s="2" t="n">
        <v>25</v>
      </c>
      <c r="AK54" s="2" t="n">
        <v>3</v>
      </c>
      <c r="AL54" s="2" t="n">
        <v>0</v>
      </c>
      <c r="AM54" s="2"/>
      <c r="AN54" s="2"/>
      <c r="AO54" s="2"/>
      <c r="AP54" s="2" t="n">
        <v>1</v>
      </c>
      <c r="AQ54" s="2" t="n">
        <v>1</v>
      </c>
      <c r="AR54" s="2" t="n">
        <v>1</v>
      </c>
      <c r="AS54" s="2" t="n">
        <v>2021</v>
      </c>
      <c r="AT54" s="2" t="s">
        <v>286</v>
      </c>
      <c r="AU54" s="2" t="s">
        <v>286</v>
      </c>
      <c r="AV54" s="2" t="n">
        <v>2021</v>
      </c>
      <c r="AW54" s="2" t="s">
        <v>286</v>
      </c>
      <c r="AX54" s="2" t="s">
        <v>286</v>
      </c>
      <c r="AY54" s="2" t="n">
        <v>2</v>
      </c>
      <c r="AZ54" s="2" t="n">
        <v>4</v>
      </c>
      <c r="BA54" s="2"/>
      <c r="BB54" s="2" t="s">
        <v>461</v>
      </c>
      <c r="BC54" s="2" t="n">
        <v>0</v>
      </c>
      <c r="BD54" s="2" t="n">
        <v>1</v>
      </c>
      <c r="BE54" s="2" t="n">
        <v>0</v>
      </c>
      <c r="BF54" s="2" t="n">
        <v>1</v>
      </c>
      <c r="BG54" s="2" t="n">
        <v>1</v>
      </c>
      <c r="BH54" s="2" t="n">
        <v>0</v>
      </c>
      <c r="BI54" s="2" t="s">
        <v>462</v>
      </c>
      <c r="BJ54" s="2" t="n">
        <v>1</v>
      </c>
      <c r="BK54" s="2"/>
      <c r="BL54" s="2"/>
      <c r="BM54" s="2"/>
      <c r="BN54" s="2"/>
      <c r="BO54" s="2"/>
      <c r="BP54" s="2"/>
      <c r="BQ54" s="2"/>
      <c r="BR54" s="2"/>
      <c r="BS54" s="2" t="n">
        <v>2</v>
      </c>
      <c r="BT54" s="2" t="n">
        <v>2</v>
      </c>
      <c r="BU54" s="2" t="n">
        <v>2</v>
      </c>
      <c r="BV54" s="2" t="n">
        <v>1</v>
      </c>
      <c r="BW54" s="2" t="n">
        <v>2022</v>
      </c>
      <c r="BX54" s="2" t="n">
        <v>1</v>
      </c>
      <c r="BY54" s="2" t="n">
        <v>2</v>
      </c>
      <c r="BZ54" s="2" t="n">
        <v>0</v>
      </c>
      <c r="CA54" s="2" t="n">
        <v>1</v>
      </c>
      <c r="CB54" s="2" t="n">
        <v>0</v>
      </c>
      <c r="CC54" s="2" t="n">
        <v>0</v>
      </c>
      <c r="CD54" s="2" t="n">
        <v>0</v>
      </c>
      <c r="CE54" s="2" t="n">
        <v>0</v>
      </c>
      <c r="CF54" s="2"/>
      <c r="CG54" s="2" t="n">
        <v>4</v>
      </c>
      <c r="CH54" s="2"/>
      <c r="CI54" s="2" t="n">
        <v>42.69</v>
      </c>
      <c r="CJ54" s="2" t="n">
        <v>1</v>
      </c>
      <c r="CK54" s="2" t="n">
        <v>2023</v>
      </c>
      <c r="CL54" s="2" t="n">
        <v>1</v>
      </c>
      <c r="CM54" s="2" t="n">
        <v>2</v>
      </c>
      <c r="CN54" s="2" t="n">
        <v>1</v>
      </c>
      <c r="CO54" s="2" t="n">
        <v>1</v>
      </c>
      <c r="CP54" s="2" t="n">
        <v>0</v>
      </c>
      <c r="CQ54" s="2" t="n">
        <v>0</v>
      </c>
      <c r="CR54" s="2" t="n">
        <v>0</v>
      </c>
      <c r="CS54" s="2" t="n">
        <v>0</v>
      </c>
      <c r="CT54" s="2"/>
      <c r="CU54" s="2" t="n">
        <v>1</v>
      </c>
      <c r="CV54" s="2"/>
      <c r="CW54" s="2" t="n">
        <v>67.68</v>
      </c>
      <c r="CX54" s="2" t="n">
        <v>1</v>
      </c>
      <c r="CY54" s="2" t="n">
        <v>7</v>
      </c>
      <c r="CZ54" s="2" t="n">
        <v>1</v>
      </c>
      <c r="DA54" s="2" t="n">
        <v>3</v>
      </c>
      <c r="DB54" s="2" t="n">
        <v>2</v>
      </c>
      <c r="DC54" s="2" t="n">
        <v>1</v>
      </c>
      <c r="DD54" s="2" t="n">
        <v>1</v>
      </c>
      <c r="DE54" s="2" t="n">
        <v>0</v>
      </c>
      <c r="DF54" s="2" t="n">
        <v>0</v>
      </c>
      <c r="DG54" s="2" t="n">
        <v>0</v>
      </c>
      <c r="DH54" s="2" t="n">
        <v>0</v>
      </c>
      <c r="DI54" s="2"/>
      <c r="DJ54" s="2" t="n">
        <v>1</v>
      </c>
      <c r="DK54" s="2"/>
      <c r="DL54" s="2" t="n">
        <v>2</v>
      </c>
      <c r="DM54" s="2"/>
      <c r="DN54" s="2" t="n">
        <v>11.03</v>
      </c>
      <c r="DO54" s="2" t="n">
        <v>1</v>
      </c>
      <c r="DP54" s="2" t="n">
        <v>8574</v>
      </c>
      <c r="DQ54" s="2" t="n">
        <v>357</v>
      </c>
      <c r="DR54" s="2" t="n">
        <v>14290</v>
      </c>
      <c r="DS54" s="2" t="n">
        <v>357</v>
      </c>
      <c r="DT54" s="2" t="n">
        <v>3103</v>
      </c>
      <c r="DU54" s="2" t="n">
        <v>143</v>
      </c>
      <c r="DV54" s="2" t="n">
        <v>441</v>
      </c>
      <c r="DW54" s="2" t="n">
        <v>1</v>
      </c>
      <c r="DX54" s="2" t="n">
        <v>142</v>
      </c>
      <c r="DY54" s="2" t="n">
        <v>1</v>
      </c>
      <c r="DZ54" s="2" t="n">
        <v>60000</v>
      </c>
      <c r="EA54" s="2" t="n">
        <v>83</v>
      </c>
      <c r="EB54" s="2" t="n">
        <v>0</v>
      </c>
      <c r="EC54" s="2" t="n">
        <v>5</v>
      </c>
      <c r="ED54" s="2" t="n">
        <v>16</v>
      </c>
      <c r="EE54" s="2" t="n">
        <v>1985</v>
      </c>
      <c r="EF54" s="2" t="n">
        <v>2010</v>
      </c>
      <c r="EG54" s="2" t="n">
        <v>25</v>
      </c>
      <c r="EH54" s="2"/>
      <c r="EI54" s="2" t="n">
        <v>1.3</v>
      </c>
      <c r="EJ54" s="2" t="n">
        <v>1.2</v>
      </c>
      <c r="EK54" s="2" t="n">
        <v>2</v>
      </c>
      <c r="EL54" s="2"/>
      <c r="EM54" s="2" t="n">
        <v>6.25</v>
      </c>
      <c r="EN54" s="2"/>
      <c r="EO54" s="2"/>
      <c r="EP54" s="2"/>
      <c r="EQ54" s="2"/>
      <c r="ER54" s="2"/>
      <c r="ES54" s="2"/>
      <c r="ET54" s="2"/>
      <c r="EU54" s="2" t="s">
        <v>298</v>
      </c>
      <c r="EV54" s="2" t="n">
        <v>2</v>
      </c>
      <c r="EW54" s="2" t="n">
        <v>2</v>
      </c>
      <c r="EX54" s="2" t="n">
        <v>1</v>
      </c>
      <c r="EY54" s="2"/>
      <c r="EZ54" s="2" t="n">
        <v>95</v>
      </c>
      <c r="FA54" s="2"/>
      <c r="FB54" s="2" t="n">
        <v>5</v>
      </c>
      <c r="FC54" s="2" t="s">
        <v>221</v>
      </c>
      <c r="FD54" s="2" t="n">
        <v>1</v>
      </c>
      <c r="FE54" s="2" t="n">
        <v>8574</v>
      </c>
      <c r="FF54" s="2" t="n">
        <v>450</v>
      </c>
      <c r="FG54" s="2" t="n">
        <v>17148</v>
      </c>
      <c r="FH54" s="2" t="n">
        <v>450</v>
      </c>
      <c r="FI54" s="2" t="n">
        <v>3105</v>
      </c>
      <c r="FJ54" s="2" t="n">
        <v>4</v>
      </c>
      <c r="FK54" s="2" t="n">
        <v>441</v>
      </c>
      <c r="FL54" s="2" t="n">
        <v>1</v>
      </c>
      <c r="FM54" s="2"/>
      <c r="FN54" s="2"/>
      <c r="FO54" s="2"/>
      <c r="FP54" s="2" t="n">
        <v>60</v>
      </c>
      <c r="FQ54" s="2" t="n">
        <v>6</v>
      </c>
      <c r="FR54" s="2" t="n">
        <v>2</v>
      </c>
      <c r="FS54" s="2" t="n">
        <v>2</v>
      </c>
      <c r="FT54" s="2" t="n">
        <v>0</v>
      </c>
      <c r="FU54" s="2" t="n">
        <v>0</v>
      </c>
      <c r="FV54" s="2" t="n">
        <v>0</v>
      </c>
      <c r="FW54" s="2" t="n">
        <v>0</v>
      </c>
      <c r="FX54" s="2" t="n">
        <v>0</v>
      </c>
      <c r="FY54" s="2" t="n">
        <v>1</v>
      </c>
      <c r="FZ54" s="2"/>
      <c r="GA54" s="2" t="n">
        <v>1974</v>
      </c>
      <c r="GB54" s="2" t="n">
        <v>2001</v>
      </c>
      <c r="GC54" s="2" t="n">
        <v>1.48</v>
      </c>
      <c r="GD54" s="2" t="n">
        <v>6.21</v>
      </c>
      <c r="GE54" s="2" t="n">
        <v>431</v>
      </c>
      <c r="GF54" s="2" t="n">
        <v>3.67</v>
      </c>
      <c r="GG54" s="2" t="n">
        <v>1.38</v>
      </c>
      <c r="GH54" s="2" t="n">
        <v>95</v>
      </c>
      <c r="GI54" s="2" t="s">
        <v>463</v>
      </c>
      <c r="GJ54" s="2" t="s">
        <v>463</v>
      </c>
      <c r="GK54" s="2" t="n">
        <v>1</v>
      </c>
      <c r="GL54" s="2" t="n">
        <v>2</v>
      </c>
      <c r="GM54" s="2" t="s">
        <v>221</v>
      </c>
      <c r="GN54" s="2"/>
      <c r="GO54" s="2" t="n">
        <v>1</v>
      </c>
      <c r="GP54" s="2" t="s">
        <v>464</v>
      </c>
      <c r="GQ54" s="2" t="n">
        <v>2</v>
      </c>
      <c r="GR54" s="2"/>
      <c r="GS54" s="2" t="s">
        <v>221</v>
      </c>
      <c r="GT54" s="2" t="n">
        <v>1</v>
      </c>
      <c r="GU54" s="2" t="n">
        <v>3103</v>
      </c>
      <c r="GV54" s="2" t="n">
        <v>3</v>
      </c>
      <c r="GW54" s="2" t="n">
        <v>441</v>
      </c>
      <c r="GX54" s="2" t="n">
        <v>1</v>
      </c>
      <c r="GY54" s="2" t="n">
        <v>0</v>
      </c>
      <c r="GZ54" s="2" t="n">
        <v>1</v>
      </c>
      <c r="HA54" s="2" t="n">
        <v>50</v>
      </c>
      <c r="HB54" s="2" t="s">
        <v>465</v>
      </c>
      <c r="HC54" s="2" t="n">
        <v>2490</v>
      </c>
      <c r="HD54" s="2" t="s">
        <v>221</v>
      </c>
      <c r="HE54" s="2" t="s">
        <v>221</v>
      </c>
    </row>
    <row r="55" customFormat="false" ht="15" hidden="false" customHeight="false" outlineLevel="0" collapsed="false">
      <c r="A55" s="2" t="s">
        <v>381</v>
      </c>
      <c r="B55" s="2" t="n">
        <v>14552</v>
      </c>
      <c r="C55" s="2" t="n">
        <v>5</v>
      </c>
      <c r="D55" s="2" t="n">
        <v>1</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t="n">
        <v>1</v>
      </c>
      <c r="BW55" s="2"/>
      <c r="BX55" s="2"/>
      <c r="BY55" s="2"/>
      <c r="BZ55" s="2"/>
      <c r="CA55" s="2"/>
      <c r="CB55" s="2"/>
      <c r="CC55" s="2"/>
      <c r="CD55" s="2"/>
      <c r="CE55" s="2"/>
      <c r="CF55" s="2"/>
      <c r="CG55" s="2"/>
      <c r="CH55" s="2"/>
      <c r="CI55" s="2"/>
      <c r="CJ55" s="2" t="n">
        <v>1</v>
      </c>
      <c r="CK55" s="2"/>
      <c r="CL55" s="2"/>
      <c r="CM55" s="2"/>
      <c r="CN55" s="2"/>
      <c r="CO55" s="2"/>
      <c r="CP55" s="2"/>
      <c r="CQ55" s="2"/>
      <c r="CR55" s="2"/>
      <c r="CS55" s="2"/>
      <c r="CT55" s="2"/>
      <c r="CU55" s="2"/>
      <c r="CV55" s="2"/>
      <c r="CW55" s="2"/>
      <c r="CX55" s="2" t="n">
        <v>1</v>
      </c>
      <c r="CY55" s="2"/>
      <c r="CZ55" s="2"/>
      <c r="DA55" s="2"/>
      <c r="DB55" s="2" t="n">
        <v>2</v>
      </c>
      <c r="DC55" s="2"/>
      <c r="DD55" s="2"/>
      <c r="DE55" s="2"/>
      <c r="DF55" s="2"/>
      <c r="DG55" s="2"/>
      <c r="DH55" s="2"/>
      <c r="DI55" s="2"/>
      <c r="DJ55" s="2"/>
      <c r="DK55" s="2"/>
      <c r="DL55" s="2" t="n">
        <v>1</v>
      </c>
      <c r="DM55" s="2" t="s">
        <v>466</v>
      </c>
      <c r="DN55" s="2"/>
      <c r="DO55" s="2" t="n">
        <v>1</v>
      </c>
      <c r="DP55" s="2"/>
      <c r="DQ55" s="2"/>
      <c r="DR55" s="2"/>
      <c r="DS55" s="2"/>
      <c r="DT55" s="2"/>
      <c r="DU55" s="2"/>
      <c r="DV55" s="2"/>
      <c r="DW55" s="2"/>
      <c r="DX55" s="2"/>
      <c r="DY55" s="2"/>
      <c r="DZ55" s="2"/>
      <c r="EA55" s="2" t="n">
        <v>82</v>
      </c>
      <c r="EB55" s="2" t="n">
        <v>1</v>
      </c>
      <c r="EC55" s="2" t="n">
        <v>3</v>
      </c>
      <c r="ED55" s="2" t="n">
        <v>3</v>
      </c>
      <c r="EE55" s="2" t="n">
        <v>2006</v>
      </c>
      <c r="EF55" s="2" t="n">
        <v>2006</v>
      </c>
      <c r="EG55" s="2"/>
      <c r="EH55" s="2" t="n">
        <v>6</v>
      </c>
      <c r="EI55" s="2"/>
      <c r="EJ55" s="2" t="n">
        <v>574</v>
      </c>
      <c r="EK55" s="2" t="n">
        <v>2120</v>
      </c>
      <c r="EL55" s="2" t="n">
        <v>2</v>
      </c>
      <c r="EM55" s="2" t="n">
        <v>3.65</v>
      </c>
      <c r="EN55" s="2"/>
      <c r="EO55" s="2"/>
      <c r="EP55" s="2"/>
      <c r="EQ55" s="2"/>
      <c r="ER55" s="2"/>
      <c r="ES55" s="2"/>
      <c r="ET55" s="2"/>
      <c r="EU55" s="2" t="s">
        <v>467</v>
      </c>
      <c r="EV55" s="2" t="n">
        <v>1</v>
      </c>
      <c r="EW55" s="2"/>
      <c r="EX55" s="2"/>
      <c r="EY55" s="2"/>
      <c r="EZ55" s="2"/>
      <c r="FA55" s="2"/>
      <c r="FB55" s="2"/>
      <c r="FC55" s="2"/>
      <c r="FD55" s="2" t="n">
        <v>1</v>
      </c>
      <c r="FE55" s="2"/>
      <c r="FF55" s="2"/>
      <c r="FG55" s="2"/>
      <c r="FH55" s="2"/>
      <c r="FI55" s="2"/>
      <c r="FJ55" s="2"/>
      <c r="FK55" s="2"/>
      <c r="FL55" s="2"/>
      <c r="FM55" s="2"/>
      <c r="FN55" s="2"/>
      <c r="FO55" s="2"/>
      <c r="FP55" s="2" t="n">
        <v>62</v>
      </c>
      <c r="FQ55" s="2" t="n">
        <v>9</v>
      </c>
      <c r="FR55" s="2" t="n">
        <v>2</v>
      </c>
      <c r="FS55" s="2" t="n">
        <v>2</v>
      </c>
      <c r="FT55" s="2" t="n">
        <v>0</v>
      </c>
      <c r="FU55" s="2" t="n">
        <v>0</v>
      </c>
      <c r="FV55" s="2" t="n">
        <v>0</v>
      </c>
      <c r="FW55" s="2" t="n">
        <v>0</v>
      </c>
      <c r="FX55" s="2" t="n">
        <v>1</v>
      </c>
      <c r="FY55" s="2" t="n">
        <v>1</v>
      </c>
      <c r="FZ55" s="2"/>
      <c r="GA55" s="2" t="n">
        <v>1972</v>
      </c>
      <c r="GB55" s="2" t="n">
        <v>1991</v>
      </c>
      <c r="GC55" s="2" t="n">
        <v>2.3</v>
      </c>
      <c r="GD55" s="2" t="n">
        <v>5</v>
      </c>
      <c r="GE55" s="2"/>
      <c r="GF55" s="2"/>
      <c r="GG55" s="2"/>
      <c r="GH55" s="2"/>
      <c r="GI55" s="2"/>
      <c r="GJ55" s="2"/>
      <c r="GK55" s="2" t="n">
        <v>1</v>
      </c>
      <c r="GL55" s="2" t="n">
        <v>2</v>
      </c>
      <c r="GM55" s="2"/>
      <c r="GN55" s="2"/>
      <c r="GO55" s="2" t="n">
        <v>2</v>
      </c>
      <c r="GP55" s="2"/>
      <c r="GQ55" s="2" t="n">
        <v>2</v>
      </c>
      <c r="GR55" s="2"/>
      <c r="GS55" s="2"/>
      <c r="GT55" s="2" t="n">
        <v>1</v>
      </c>
      <c r="GU55" s="2"/>
      <c r="GV55" s="2"/>
      <c r="GW55" s="2"/>
      <c r="GX55" s="2"/>
      <c r="GY55" s="2"/>
      <c r="GZ55" s="2"/>
      <c r="HA55" s="2" t="n">
        <v>48</v>
      </c>
      <c r="HB55" s="2" t="s">
        <v>468</v>
      </c>
      <c r="HC55" s="2"/>
      <c r="HD55" s="2"/>
      <c r="HE55" s="2"/>
    </row>
    <row r="56" customFormat="false" ht="15" hidden="false" customHeight="false" outlineLevel="0" collapsed="false">
      <c r="A56" s="2" t="s">
        <v>435</v>
      </c>
      <c r="B56" s="2" t="n">
        <v>17924</v>
      </c>
      <c r="C56" s="2" t="n">
        <v>5</v>
      </c>
      <c r="D56" s="2" t="n">
        <v>3</v>
      </c>
      <c r="E56" s="2" t="n">
        <v>2</v>
      </c>
      <c r="F56" s="2"/>
      <c r="G56" s="2" t="n">
        <v>1</v>
      </c>
      <c r="H56" s="2" t="n">
        <v>1</v>
      </c>
      <c r="I56" s="2" t="n">
        <v>1</v>
      </c>
      <c r="J56" s="2" t="n">
        <v>1</v>
      </c>
      <c r="K56" s="2" t="n">
        <v>1</v>
      </c>
      <c r="L56" s="2" t="n">
        <v>1</v>
      </c>
      <c r="M56" s="2" t="n">
        <v>1</v>
      </c>
      <c r="N56" s="2" t="n">
        <v>1</v>
      </c>
      <c r="O56" s="2" t="n">
        <v>1</v>
      </c>
      <c r="P56" s="2" t="n">
        <v>1</v>
      </c>
      <c r="Q56" s="2" t="n">
        <v>0</v>
      </c>
      <c r="R56" s="2" t="n">
        <v>0</v>
      </c>
      <c r="S56" s="2" t="n">
        <v>0</v>
      </c>
      <c r="T56" s="2"/>
      <c r="U56" s="2" t="n">
        <v>11</v>
      </c>
      <c r="V56" s="2"/>
      <c r="W56" s="2" t="n">
        <v>18</v>
      </c>
      <c r="X56" s="2"/>
      <c r="Y56" s="2"/>
      <c r="Z56" s="2" t="n">
        <v>45</v>
      </c>
      <c r="AA56" s="2" t="n">
        <v>0</v>
      </c>
      <c r="AB56" s="2" t="n">
        <v>0</v>
      </c>
      <c r="AC56" s="2" t="n">
        <v>2</v>
      </c>
      <c r="AD56" s="2"/>
      <c r="AE56" s="2" t="n">
        <v>3</v>
      </c>
      <c r="AF56" s="2" t="n">
        <v>2</v>
      </c>
      <c r="AG56" s="2" t="n">
        <v>90</v>
      </c>
      <c r="AH56" s="2"/>
      <c r="AI56" s="2"/>
      <c r="AJ56" s="2" t="n">
        <v>12</v>
      </c>
      <c r="AK56" s="2" t="n">
        <v>1.8</v>
      </c>
      <c r="AL56" s="2"/>
      <c r="AM56" s="2"/>
      <c r="AN56" s="2"/>
      <c r="AO56" s="2" t="n">
        <v>1</v>
      </c>
      <c r="AP56" s="2" t="n">
        <v>1</v>
      </c>
      <c r="AQ56" s="2" t="n">
        <v>1</v>
      </c>
      <c r="AR56" s="2" t="n">
        <v>1</v>
      </c>
      <c r="AS56" s="2" t="n">
        <v>2016</v>
      </c>
      <c r="AT56" s="2" t="s">
        <v>436</v>
      </c>
      <c r="AU56" s="2" t="s">
        <v>436</v>
      </c>
      <c r="AV56" s="2"/>
      <c r="AW56" s="2"/>
      <c r="AX56" s="2"/>
      <c r="AY56" s="2" t="n">
        <v>2</v>
      </c>
      <c r="AZ56" s="2" t="n">
        <v>2</v>
      </c>
      <c r="BA56" s="2"/>
      <c r="BB56" s="2"/>
      <c r="BC56" s="2" t="n">
        <v>0</v>
      </c>
      <c r="BD56" s="2" t="n">
        <v>1</v>
      </c>
      <c r="BE56" s="2" t="n">
        <v>0</v>
      </c>
      <c r="BF56" s="2" t="n">
        <v>0</v>
      </c>
      <c r="BG56" s="2" t="n">
        <v>1</v>
      </c>
      <c r="BH56" s="2" t="n">
        <v>1</v>
      </c>
      <c r="BI56" s="2"/>
      <c r="BJ56" s="2" t="n">
        <v>1</v>
      </c>
      <c r="BK56" s="2" t="n">
        <v>1</v>
      </c>
      <c r="BL56" s="2" t="n">
        <v>0</v>
      </c>
      <c r="BM56" s="2" t="n">
        <v>0</v>
      </c>
      <c r="BN56" s="2" t="n">
        <v>0</v>
      </c>
      <c r="BO56" s="2" t="n">
        <v>1</v>
      </c>
      <c r="BP56" s="2" t="n">
        <v>0</v>
      </c>
      <c r="BQ56" s="2" t="n">
        <v>0</v>
      </c>
      <c r="BR56" s="2"/>
      <c r="BS56" s="2" t="n">
        <v>2</v>
      </c>
      <c r="BT56" s="2" t="n">
        <v>2</v>
      </c>
      <c r="BU56" s="2" t="n">
        <v>2</v>
      </c>
      <c r="BV56" s="2" t="n">
        <v>1</v>
      </c>
      <c r="BW56" s="2" t="n">
        <v>2025</v>
      </c>
      <c r="BX56" s="2" t="n">
        <v>1</v>
      </c>
      <c r="BY56" s="2" t="n">
        <v>15</v>
      </c>
      <c r="BZ56" s="2" t="n">
        <v>1</v>
      </c>
      <c r="CA56" s="2" t="n">
        <v>1</v>
      </c>
      <c r="CB56" s="2" t="n">
        <v>1</v>
      </c>
      <c r="CC56" s="2" t="n">
        <v>0</v>
      </c>
      <c r="CD56" s="2" t="n">
        <v>0</v>
      </c>
      <c r="CE56" s="2" t="n">
        <v>1</v>
      </c>
      <c r="CF56" s="2"/>
      <c r="CG56" s="2" t="n">
        <v>4</v>
      </c>
      <c r="CH56" s="2"/>
      <c r="CI56" s="2" t="n">
        <v>50</v>
      </c>
      <c r="CJ56" s="2" t="n">
        <v>1</v>
      </c>
      <c r="CK56" s="2" t="n">
        <v>2019</v>
      </c>
      <c r="CL56" s="2" t="n">
        <v>1</v>
      </c>
      <c r="CM56" s="2" t="n">
        <v>3</v>
      </c>
      <c r="CN56" s="2" t="n">
        <v>1</v>
      </c>
      <c r="CO56" s="2" t="n">
        <v>1</v>
      </c>
      <c r="CP56" s="2" t="n">
        <v>0</v>
      </c>
      <c r="CQ56" s="2" t="n">
        <v>0</v>
      </c>
      <c r="CR56" s="2" t="n">
        <v>0</v>
      </c>
      <c r="CS56" s="2" t="n">
        <v>0</v>
      </c>
      <c r="CT56" s="2"/>
      <c r="CU56" s="2" t="n">
        <v>1</v>
      </c>
      <c r="CV56" s="2"/>
      <c r="CW56" s="2" t="n">
        <v>45.21</v>
      </c>
      <c r="CX56" s="2" t="n">
        <v>1</v>
      </c>
      <c r="CY56" s="2" t="n">
        <v>7</v>
      </c>
      <c r="CZ56" s="2" t="n">
        <v>1</v>
      </c>
      <c r="DA56" s="2" t="n">
        <v>14</v>
      </c>
      <c r="DB56" s="2" t="n">
        <v>2</v>
      </c>
      <c r="DC56" s="2" t="n">
        <v>1</v>
      </c>
      <c r="DD56" s="2" t="n">
        <v>1</v>
      </c>
      <c r="DE56" s="2" t="n">
        <v>1</v>
      </c>
      <c r="DF56" s="2" t="n">
        <v>0</v>
      </c>
      <c r="DG56" s="2" t="n">
        <v>1</v>
      </c>
      <c r="DH56" s="2" t="n">
        <v>1</v>
      </c>
      <c r="DI56" s="2"/>
      <c r="DJ56" s="2" t="n">
        <v>1</v>
      </c>
      <c r="DK56" s="2"/>
      <c r="DL56" s="2" t="n">
        <v>2</v>
      </c>
      <c r="DM56" s="2"/>
      <c r="DN56" s="2" t="n">
        <v>16</v>
      </c>
      <c r="DO56" s="2" t="n">
        <v>1</v>
      </c>
      <c r="DP56" s="2" t="n">
        <v>17924</v>
      </c>
      <c r="DQ56" s="2" t="n">
        <v>400</v>
      </c>
      <c r="DR56" s="2" t="n">
        <v>17924</v>
      </c>
      <c r="DS56" s="2" t="n">
        <v>400</v>
      </c>
      <c r="DT56" s="2" t="n">
        <v>5649</v>
      </c>
      <c r="DU56" s="2" t="n">
        <v>367</v>
      </c>
      <c r="DV56" s="2" t="n">
        <v>273</v>
      </c>
      <c r="DW56" s="2" t="n">
        <v>1</v>
      </c>
      <c r="DX56" s="2" t="n">
        <v>87</v>
      </c>
      <c r="DY56" s="2" t="n">
        <v>1</v>
      </c>
      <c r="DZ56" s="2" t="n">
        <v>146363</v>
      </c>
      <c r="EA56" s="2" t="n">
        <v>65</v>
      </c>
      <c r="EB56" s="2" t="n">
        <v>4</v>
      </c>
      <c r="EC56" s="2" t="n">
        <v>3</v>
      </c>
      <c r="ED56" s="2" t="n">
        <v>7</v>
      </c>
      <c r="EE56" s="2" t="n">
        <v>1947</v>
      </c>
      <c r="EF56" s="2" t="n">
        <v>2008</v>
      </c>
      <c r="EG56" s="2" t="n">
        <v>400000000</v>
      </c>
      <c r="EH56" s="2" t="n">
        <v>6</v>
      </c>
      <c r="EI56" s="2" t="n">
        <v>2.56</v>
      </c>
      <c r="EJ56" s="2" t="n">
        <v>1</v>
      </c>
      <c r="EK56" s="2" t="n">
        <v>5.06</v>
      </c>
      <c r="EL56" s="2"/>
      <c r="EM56" s="2" t="n">
        <v>8.135</v>
      </c>
      <c r="EN56" s="2"/>
      <c r="EO56" s="2"/>
      <c r="EP56" s="2"/>
      <c r="EQ56" s="2"/>
      <c r="ER56" s="2" t="s">
        <v>469</v>
      </c>
      <c r="ES56" s="2" t="n">
        <v>400</v>
      </c>
      <c r="ET56" s="2"/>
      <c r="EU56" s="2" t="s">
        <v>221</v>
      </c>
      <c r="EV56" s="2" t="n">
        <v>1</v>
      </c>
      <c r="EW56" s="2" t="n">
        <v>1</v>
      </c>
      <c r="EX56" s="2" t="n">
        <v>1</v>
      </c>
      <c r="EY56" s="2"/>
      <c r="EZ56" s="2" t="n">
        <v>99</v>
      </c>
      <c r="FA56" s="2"/>
      <c r="FB56" s="2" t="n">
        <v>1</v>
      </c>
      <c r="FC56" s="2"/>
      <c r="FD56" s="2" t="n">
        <v>1</v>
      </c>
      <c r="FE56" s="2" t="n">
        <v>17924</v>
      </c>
      <c r="FF56" s="2"/>
      <c r="FG56" s="2"/>
      <c r="FH56" s="2"/>
      <c r="FI56" s="2" t="n">
        <v>5630</v>
      </c>
      <c r="FJ56" s="2"/>
      <c r="FK56" s="2" t="n">
        <v>223</v>
      </c>
      <c r="FL56" s="2"/>
      <c r="FM56" s="2" t="n">
        <v>65</v>
      </c>
      <c r="FN56" s="2"/>
      <c r="FO56" s="2"/>
      <c r="FP56" s="2" t="n">
        <v>88</v>
      </c>
      <c r="FQ56" s="2" t="n">
        <v>6</v>
      </c>
      <c r="FR56" s="2" t="n">
        <v>2</v>
      </c>
      <c r="FS56" s="2" t="n">
        <v>2</v>
      </c>
      <c r="FT56" s="2" t="n">
        <v>0</v>
      </c>
      <c r="FU56" s="2" t="n">
        <v>1</v>
      </c>
      <c r="FV56" s="2" t="n">
        <v>1</v>
      </c>
      <c r="FW56" s="2" t="n">
        <v>0</v>
      </c>
      <c r="FX56" s="2" t="n">
        <v>0</v>
      </c>
      <c r="FY56" s="2" t="n">
        <v>1</v>
      </c>
      <c r="FZ56" s="2" t="s">
        <v>470</v>
      </c>
      <c r="GA56" s="2" t="n">
        <v>1999</v>
      </c>
      <c r="GB56" s="2" t="n">
        <v>1999</v>
      </c>
      <c r="GC56" s="2" t="n">
        <v>2.6</v>
      </c>
      <c r="GD56" s="2" t="n">
        <v>18.5</v>
      </c>
      <c r="GE56" s="2" t="n">
        <v>1123.56</v>
      </c>
      <c r="GF56" s="2" t="n">
        <v>14.72</v>
      </c>
      <c r="GG56" s="2" t="n">
        <v>7.08</v>
      </c>
      <c r="GH56" s="2" t="n">
        <v>50</v>
      </c>
      <c r="GI56" s="2" t="s">
        <v>471</v>
      </c>
      <c r="GJ56" s="2" t="s">
        <v>471</v>
      </c>
      <c r="GK56" s="2" t="n">
        <v>1</v>
      </c>
      <c r="GL56" s="2" t="n">
        <v>2</v>
      </c>
      <c r="GM56" s="2" t="s">
        <v>372</v>
      </c>
      <c r="GN56" s="2"/>
      <c r="GO56" s="2" t="n">
        <v>2</v>
      </c>
      <c r="GP56" s="2"/>
      <c r="GQ56" s="2" t="n">
        <v>1</v>
      </c>
      <c r="GR56" s="2" t="n">
        <v>1</v>
      </c>
      <c r="GS56" s="2"/>
      <c r="GT56" s="2" t="n">
        <v>1</v>
      </c>
      <c r="GU56" s="2" t="n">
        <v>5630</v>
      </c>
      <c r="GV56" s="2"/>
      <c r="GW56" s="2" t="n">
        <v>223</v>
      </c>
      <c r="GX56" s="2"/>
      <c r="GY56" s="2" t="n">
        <v>65</v>
      </c>
      <c r="GZ56" s="2"/>
      <c r="HA56" s="2" t="n">
        <v>77.7</v>
      </c>
      <c r="HB56" s="2" t="s">
        <v>221</v>
      </c>
      <c r="HC56" s="2"/>
      <c r="HD56" s="2"/>
      <c r="HE56" s="2"/>
    </row>
    <row r="57" customFormat="false" ht="15" hidden="false" customHeight="false" outlineLevel="0" collapsed="false">
      <c r="A57" s="2" t="s">
        <v>472</v>
      </c>
      <c r="B57" s="2" t="n">
        <v>38029</v>
      </c>
      <c r="C57" s="2" t="n">
        <v>5</v>
      </c>
      <c r="D57" s="2" t="n">
        <v>2</v>
      </c>
      <c r="E57" s="2" t="n">
        <v>1</v>
      </c>
      <c r="F57" s="2"/>
      <c r="G57" s="2" t="n">
        <v>1</v>
      </c>
      <c r="H57" s="2" t="n">
        <v>1</v>
      </c>
      <c r="I57" s="2" t="n">
        <v>1</v>
      </c>
      <c r="J57" s="2" t="n">
        <v>1</v>
      </c>
      <c r="K57" s="2" t="n">
        <v>1</v>
      </c>
      <c r="L57" s="2" t="n">
        <v>1</v>
      </c>
      <c r="M57" s="2" t="n">
        <v>1</v>
      </c>
      <c r="N57" s="2" t="n">
        <v>1</v>
      </c>
      <c r="O57" s="2" t="n">
        <v>1</v>
      </c>
      <c r="P57" s="2" t="n">
        <v>1</v>
      </c>
      <c r="Q57" s="2" t="n">
        <v>0</v>
      </c>
      <c r="R57" s="2" t="n">
        <v>1</v>
      </c>
      <c r="S57" s="2" t="n">
        <v>0</v>
      </c>
      <c r="T57" s="2"/>
      <c r="U57" s="2"/>
      <c r="V57" s="2"/>
      <c r="W57" s="2" t="n">
        <v>30</v>
      </c>
      <c r="X57" s="2"/>
      <c r="Y57" s="2"/>
      <c r="Z57" s="2"/>
      <c r="AA57" s="2" t="n">
        <v>250</v>
      </c>
      <c r="AB57" s="2"/>
      <c r="AC57" s="2" t="n">
        <v>1</v>
      </c>
      <c r="AD57" s="2" t="s">
        <v>473</v>
      </c>
      <c r="AE57" s="2" t="n">
        <v>3</v>
      </c>
      <c r="AF57" s="2" t="n">
        <v>3</v>
      </c>
      <c r="AG57" s="2"/>
      <c r="AH57" s="2"/>
      <c r="AI57" s="3" t="s">
        <v>474</v>
      </c>
      <c r="AJ57" s="2"/>
      <c r="AK57" s="2"/>
      <c r="AL57" s="2"/>
      <c r="AM57" s="2" t="n">
        <v>1</v>
      </c>
      <c r="AN57" s="2" t="n">
        <v>1</v>
      </c>
      <c r="AO57" s="2" t="n">
        <v>1</v>
      </c>
      <c r="AP57" s="2" t="n">
        <v>1</v>
      </c>
      <c r="AQ57" s="2" t="n">
        <v>1</v>
      </c>
      <c r="AR57" s="2" t="n">
        <v>1</v>
      </c>
      <c r="AS57" s="2" t="n">
        <v>2009</v>
      </c>
      <c r="AT57" s="2" t="s">
        <v>475</v>
      </c>
      <c r="AU57" s="2" t="s">
        <v>476</v>
      </c>
      <c r="AV57" s="2" t="n">
        <v>2020</v>
      </c>
      <c r="AW57" s="2" t="s">
        <v>477</v>
      </c>
      <c r="AX57" s="2" t="s">
        <v>478</v>
      </c>
      <c r="AY57" s="2" t="n">
        <v>2</v>
      </c>
      <c r="AZ57" s="2" t="n">
        <v>1</v>
      </c>
      <c r="BA57" s="2" t="s">
        <v>479</v>
      </c>
      <c r="BB57" s="2"/>
      <c r="BC57" s="2" t="n">
        <v>1</v>
      </c>
      <c r="BD57" s="2" t="n">
        <v>0</v>
      </c>
      <c r="BE57" s="2" t="n">
        <v>0</v>
      </c>
      <c r="BF57" s="2" t="n">
        <v>0</v>
      </c>
      <c r="BG57" s="2" t="n">
        <v>1</v>
      </c>
      <c r="BH57" s="2" t="n">
        <v>1</v>
      </c>
      <c r="BI57" s="2"/>
      <c r="BJ57" s="2" t="n">
        <v>1</v>
      </c>
      <c r="BK57" s="2" t="n">
        <v>0</v>
      </c>
      <c r="BL57" s="2" t="n">
        <v>0</v>
      </c>
      <c r="BM57" s="2" t="n">
        <v>0</v>
      </c>
      <c r="BN57" s="2" t="n">
        <v>0</v>
      </c>
      <c r="BO57" s="2" t="n">
        <v>1</v>
      </c>
      <c r="BP57" s="2" t="n">
        <v>1</v>
      </c>
      <c r="BQ57" s="2" t="n">
        <v>0</v>
      </c>
      <c r="BR57" s="2"/>
      <c r="BS57" s="2" t="n">
        <v>1</v>
      </c>
      <c r="BT57" s="2" t="n">
        <v>1</v>
      </c>
      <c r="BU57" s="2" t="n">
        <v>1</v>
      </c>
      <c r="BV57" s="2" t="n">
        <v>1</v>
      </c>
      <c r="BW57" s="2" t="n">
        <v>2025</v>
      </c>
      <c r="BX57" s="2" t="n">
        <v>1</v>
      </c>
      <c r="BY57" s="2"/>
      <c r="BZ57" s="2" t="n">
        <v>1</v>
      </c>
      <c r="CA57" s="2" t="n">
        <v>1</v>
      </c>
      <c r="CB57" s="2" t="n">
        <v>1</v>
      </c>
      <c r="CC57" s="2" t="n">
        <v>0</v>
      </c>
      <c r="CD57" s="2" t="n">
        <v>0</v>
      </c>
      <c r="CE57" s="2" t="n">
        <v>1</v>
      </c>
      <c r="CF57" s="2"/>
      <c r="CG57" s="2" t="n">
        <v>4</v>
      </c>
      <c r="CH57" s="2"/>
      <c r="CI57" s="2"/>
      <c r="CJ57" s="2" t="n">
        <v>1</v>
      </c>
      <c r="CK57" s="2" t="n">
        <v>2025</v>
      </c>
      <c r="CL57" s="2" t="n">
        <v>1</v>
      </c>
      <c r="CM57" s="2" t="n">
        <v>0.0375</v>
      </c>
      <c r="CN57" s="2" t="n">
        <v>1</v>
      </c>
      <c r="CO57" s="2" t="n">
        <v>1</v>
      </c>
      <c r="CP57" s="2" t="n">
        <v>1</v>
      </c>
      <c r="CQ57" s="2" t="n">
        <v>0</v>
      </c>
      <c r="CR57" s="2" t="n">
        <v>0</v>
      </c>
      <c r="CS57" s="2" t="n">
        <v>1</v>
      </c>
      <c r="CT57" s="2"/>
      <c r="CU57" s="2" t="n">
        <v>4</v>
      </c>
      <c r="CV57" s="2" t="s">
        <v>480</v>
      </c>
      <c r="CW57" s="2" t="n">
        <v>71.08</v>
      </c>
      <c r="CX57" s="2" t="n">
        <v>1</v>
      </c>
      <c r="CY57" s="2" t="n">
        <v>7</v>
      </c>
      <c r="CZ57" s="2" t="n">
        <v>1</v>
      </c>
      <c r="DA57" s="2" t="n">
        <v>0.08</v>
      </c>
      <c r="DB57" s="2" t="n">
        <v>1</v>
      </c>
      <c r="DC57" s="2" t="n">
        <v>1</v>
      </c>
      <c r="DD57" s="2" t="n">
        <v>1</v>
      </c>
      <c r="DE57" s="2" t="n">
        <v>1</v>
      </c>
      <c r="DF57" s="2" t="n">
        <v>0</v>
      </c>
      <c r="DG57" s="2" t="n">
        <v>0</v>
      </c>
      <c r="DH57" s="2" t="n">
        <v>1</v>
      </c>
      <c r="DI57" s="2"/>
      <c r="DJ57" s="2" t="n">
        <v>1</v>
      </c>
      <c r="DK57" s="2"/>
      <c r="DL57" s="2" t="n">
        <v>1</v>
      </c>
      <c r="DM57" s="3" t="s">
        <v>481</v>
      </c>
      <c r="DN57" s="2" t="n">
        <v>14.77</v>
      </c>
      <c r="DO57" s="2" t="n">
        <v>1</v>
      </c>
      <c r="DP57" s="2" t="n">
        <v>38029</v>
      </c>
      <c r="DQ57" s="2" t="n">
        <v>120</v>
      </c>
      <c r="DR57" s="2"/>
      <c r="DS57" s="2"/>
      <c r="DT57" s="2" t="n">
        <v>10134</v>
      </c>
      <c r="DU57" s="2" t="n">
        <v>91</v>
      </c>
      <c r="DV57" s="2" t="n">
        <v>468</v>
      </c>
      <c r="DW57" s="2" t="n">
        <v>5</v>
      </c>
      <c r="DX57" s="2" t="n">
        <v>677</v>
      </c>
      <c r="DY57" s="2" t="n">
        <v>1</v>
      </c>
      <c r="DZ57" s="2" t="n">
        <v>4488</v>
      </c>
      <c r="EA57" s="2" t="n">
        <v>175.275</v>
      </c>
      <c r="EB57" s="2"/>
      <c r="EC57" s="2" t="n">
        <v>10</v>
      </c>
      <c r="ED57" s="2"/>
      <c r="EE57" s="2"/>
      <c r="EF57" s="2"/>
      <c r="EG57" s="2"/>
      <c r="EH57" s="2"/>
      <c r="EI57" s="2"/>
      <c r="EJ57" s="2"/>
      <c r="EK57" s="2"/>
      <c r="EL57" s="2" t="n">
        <v>1</v>
      </c>
      <c r="EM57" s="2" t="n">
        <v>18.25</v>
      </c>
      <c r="EN57" s="2" t="n">
        <v>1</v>
      </c>
      <c r="EO57" s="2" t="n">
        <v>1</v>
      </c>
      <c r="EP57" s="2" t="n">
        <v>1</v>
      </c>
      <c r="EQ57" s="2" t="n">
        <v>1</v>
      </c>
      <c r="ER57" s="2"/>
      <c r="ES57" s="2" t="n">
        <v>0</v>
      </c>
      <c r="ET57" s="2" t="s">
        <v>372</v>
      </c>
      <c r="EU57" s="2" t="s">
        <v>482</v>
      </c>
      <c r="EV57" s="2" t="n">
        <v>2</v>
      </c>
      <c r="EW57" s="2" t="n">
        <v>1</v>
      </c>
      <c r="EX57" s="2" t="n">
        <v>3</v>
      </c>
      <c r="EY57" s="2"/>
      <c r="EZ57" s="2"/>
      <c r="FA57" s="2" t="n">
        <v>0.05</v>
      </c>
      <c r="FB57" s="2" t="n">
        <v>0.95</v>
      </c>
      <c r="FC57" s="2" t="s">
        <v>250</v>
      </c>
      <c r="FD57" s="2" t="n">
        <v>1</v>
      </c>
      <c r="FE57" s="2" t="n">
        <v>38029</v>
      </c>
      <c r="FF57" s="2" t="n">
        <v>0</v>
      </c>
      <c r="FG57" s="2"/>
      <c r="FH57" s="2"/>
      <c r="FI57" s="2" t="n">
        <v>10149</v>
      </c>
      <c r="FJ57" s="2" t="n">
        <v>2</v>
      </c>
      <c r="FK57" s="2" t="n">
        <v>467</v>
      </c>
      <c r="FL57" s="2" t="n">
        <v>2</v>
      </c>
      <c r="FM57" s="2" t="n">
        <v>571</v>
      </c>
      <c r="FN57" s="2" t="n">
        <v>1</v>
      </c>
      <c r="FO57" s="2"/>
      <c r="FP57" s="2" t="n">
        <v>138</v>
      </c>
      <c r="FQ57" s="2"/>
      <c r="FR57" s="2" t="n">
        <v>5</v>
      </c>
      <c r="FS57" s="2" t="n">
        <v>1</v>
      </c>
      <c r="FT57" s="2" t="n">
        <v>0</v>
      </c>
      <c r="FU57" s="2" t="n">
        <v>0</v>
      </c>
      <c r="FV57" s="2" t="n">
        <v>1</v>
      </c>
      <c r="FW57" s="2" t="n">
        <v>0</v>
      </c>
      <c r="FX57" s="2" t="n">
        <v>0</v>
      </c>
      <c r="FY57" s="2" t="n">
        <v>0</v>
      </c>
      <c r="FZ57" s="2" t="s">
        <v>483</v>
      </c>
      <c r="GA57" s="2" t="n">
        <v>3</v>
      </c>
      <c r="GB57" s="2"/>
      <c r="GC57" s="2"/>
      <c r="GD57" s="2"/>
      <c r="GE57" s="2"/>
      <c r="GF57" s="2"/>
      <c r="GG57" s="2"/>
      <c r="GH57" s="2"/>
      <c r="GI57" s="2" t="s">
        <v>484</v>
      </c>
      <c r="GJ57" s="2" t="s">
        <v>484</v>
      </c>
      <c r="GK57" s="2" t="n">
        <v>2</v>
      </c>
      <c r="GL57" s="2" t="n">
        <v>2</v>
      </c>
      <c r="GM57" s="2" t="s">
        <v>250</v>
      </c>
      <c r="GN57" s="2"/>
      <c r="GO57" s="2" t="n">
        <v>2</v>
      </c>
      <c r="GP57" s="2"/>
      <c r="GQ57" s="2" t="n">
        <v>2</v>
      </c>
      <c r="GR57" s="2"/>
      <c r="GS57" s="2" t="s">
        <v>485</v>
      </c>
      <c r="GT57" s="2" t="n">
        <v>1</v>
      </c>
      <c r="GU57" s="2" t="n">
        <v>10477</v>
      </c>
      <c r="GV57" s="2" t="n">
        <v>1</v>
      </c>
      <c r="GW57" s="2" t="n">
        <v>455</v>
      </c>
      <c r="GX57" s="2" t="n">
        <v>1</v>
      </c>
      <c r="GY57" s="2" t="n">
        <v>585</v>
      </c>
      <c r="GZ57" s="2" t="n">
        <v>1</v>
      </c>
      <c r="HA57" s="2" t="n">
        <v>121</v>
      </c>
      <c r="HB57" s="2" t="s">
        <v>486</v>
      </c>
      <c r="HC57" s="2" t="n">
        <v>2500</v>
      </c>
      <c r="HD57" s="2" t="s">
        <v>250</v>
      </c>
      <c r="HE57" s="2"/>
    </row>
    <row r="58" customFormat="false" ht="15" hidden="false" customHeight="false" outlineLevel="0" collapsed="false">
      <c r="A58" s="2" t="s">
        <v>487</v>
      </c>
      <c r="B58" s="2" t="n">
        <v>25</v>
      </c>
      <c r="C58" s="2" t="n">
        <v>1</v>
      </c>
      <c r="D58" s="2" t="n">
        <v>8</v>
      </c>
      <c r="E58" s="2" t="n">
        <v>4</v>
      </c>
      <c r="F58" s="2" t="s">
        <v>488</v>
      </c>
      <c r="G58" s="2" t="n">
        <v>1</v>
      </c>
      <c r="H58" s="2" t="n">
        <v>1</v>
      </c>
      <c r="I58" s="2" t="n">
        <v>0</v>
      </c>
      <c r="J58" s="2" t="n">
        <v>0</v>
      </c>
      <c r="K58" s="2" t="n">
        <v>0</v>
      </c>
      <c r="L58" s="2" t="n">
        <v>1</v>
      </c>
      <c r="M58" s="2" t="n">
        <v>2</v>
      </c>
      <c r="N58" s="2" t="n">
        <v>0</v>
      </c>
      <c r="O58" s="2" t="n">
        <v>0</v>
      </c>
      <c r="P58" s="2" t="n">
        <v>0</v>
      </c>
      <c r="Q58" s="2" t="n">
        <v>0</v>
      </c>
      <c r="R58" s="2" t="n">
        <v>0</v>
      </c>
      <c r="S58" s="2" t="n">
        <v>1</v>
      </c>
      <c r="T58" s="2" t="s">
        <v>489</v>
      </c>
      <c r="U58" s="2"/>
      <c r="V58" s="2"/>
      <c r="W58" s="2"/>
      <c r="X58" s="2"/>
      <c r="Y58" s="2"/>
      <c r="Z58" s="2"/>
      <c r="AA58" s="2"/>
      <c r="AB58" s="2"/>
      <c r="AC58" s="2" t="n">
        <v>2</v>
      </c>
      <c r="AD58" s="2"/>
      <c r="AE58" s="2" t="n">
        <v>2</v>
      </c>
      <c r="AF58" s="2"/>
      <c r="AG58" s="2"/>
      <c r="AH58" s="2" t="s">
        <v>490</v>
      </c>
      <c r="AI58" s="2"/>
      <c r="AJ58" s="2"/>
      <c r="AK58" s="2"/>
      <c r="AL58" s="2"/>
      <c r="AM58" s="2" t="n">
        <v>1</v>
      </c>
      <c r="AN58" s="2" t="n">
        <v>1</v>
      </c>
      <c r="AO58" s="2" t="n">
        <v>1</v>
      </c>
      <c r="AP58" s="2" t="n">
        <v>2</v>
      </c>
      <c r="AQ58" s="2"/>
      <c r="AR58" s="2"/>
      <c r="AS58" s="2"/>
      <c r="AT58" s="2" t="s">
        <v>250</v>
      </c>
      <c r="AU58" s="2" t="s">
        <v>250</v>
      </c>
      <c r="AV58" s="2"/>
      <c r="AW58" s="2" t="s">
        <v>250</v>
      </c>
      <c r="AX58" s="2" t="s">
        <v>250</v>
      </c>
      <c r="AY58" s="2" t="n">
        <v>2</v>
      </c>
      <c r="AZ58" s="2" t="n">
        <v>2</v>
      </c>
      <c r="BA58" s="2"/>
      <c r="BB58" s="2"/>
      <c r="BC58" s="2" t="n">
        <v>0</v>
      </c>
      <c r="BD58" s="2" t="n">
        <v>0</v>
      </c>
      <c r="BE58" s="2" t="n">
        <v>1</v>
      </c>
      <c r="BF58" s="2" t="n">
        <v>0</v>
      </c>
      <c r="BG58" s="2" t="n">
        <v>0</v>
      </c>
      <c r="BH58" s="2" t="n">
        <v>0</v>
      </c>
      <c r="BI58" s="2"/>
      <c r="BJ58" s="2" t="n">
        <v>2</v>
      </c>
      <c r="BK58" s="2"/>
      <c r="BL58" s="2"/>
      <c r="BM58" s="2"/>
      <c r="BN58" s="2"/>
      <c r="BO58" s="2"/>
      <c r="BP58" s="2"/>
      <c r="BQ58" s="2"/>
      <c r="BR58" s="2"/>
      <c r="BS58" s="2" t="n">
        <v>2</v>
      </c>
      <c r="BT58" s="2" t="n">
        <v>2</v>
      </c>
      <c r="BU58" s="2" t="n">
        <v>2</v>
      </c>
      <c r="BV58" s="2" t="n">
        <v>2</v>
      </c>
      <c r="BW58" s="2"/>
      <c r="BX58" s="2"/>
      <c r="BY58" s="2"/>
      <c r="BZ58" s="2"/>
      <c r="CA58" s="2"/>
      <c r="CB58" s="2"/>
      <c r="CC58" s="2"/>
      <c r="CD58" s="2"/>
      <c r="CE58" s="2"/>
      <c r="CF58" s="2"/>
      <c r="CG58" s="2"/>
      <c r="CH58" s="2"/>
      <c r="CI58" s="2"/>
      <c r="CJ58" s="2" t="n">
        <v>2</v>
      </c>
      <c r="CK58" s="2"/>
      <c r="CL58" s="2"/>
      <c r="CM58" s="2"/>
      <c r="CN58" s="2"/>
      <c r="CO58" s="2"/>
      <c r="CP58" s="2"/>
      <c r="CQ58" s="2"/>
      <c r="CR58" s="2"/>
      <c r="CS58" s="2"/>
      <c r="CT58" s="2"/>
      <c r="CU58" s="2"/>
      <c r="CV58" s="2"/>
      <c r="CW58" s="2"/>
      <c r="CX58" s="2" t="n">
        <v>2</v>
      </c>
      <c r="CY58" s="2"/>
      <c r="CZ58" s="2"/>
      <c r="DA58" s="2"/>
      <c r="DB58" s="2"/>
      <c r="DC58" s="2"/>
      <c r="DD58" s="2"/>
      <c r="DE58" s="2"/>
      <c r="DF58" s="2"/>
      <c r="DG58" s="2"/>
      <c r="DH58" s="2"/>
      <c r="DI58" s="2"/>
      <c r="DJ58" s="2"/>
      <c r="DK58" s="2"/>
      <c r="DL58" s="2"/>
      <c r="DM58" s="2"/>
      <c r="DN58" s="2"/>
      <c r="DO58" s="2" t="n">
        <v>2</v>
      </c>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t="n">
        <v>2</v>
      </c>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t="n">
        <v>2</v>
      </c>
      <c r="GU58" s="2"/>
      <c r="GV58" s="2"/>
      <c r="GW58" s="2"/>
      <c r="GX58" s="2"/>
      <c r="GY58" s="2"/>
      <c r="GZ58" s="2"/>
      <c r="HA58" s="2"/>
      <c r="HB58" s="2"/>
      <c r="HC58" s="2"/>
      <c r="HD58" s="2"/>
      <c r="HE58" s="2"/>
    </row>
    <row r="59" customFormat="false" ht="15" hidden="false" customHeight="false" outlineLevel="0" collapsed="false">
      <c r="A59" s="2" t="s">
        <v>491</v>
      </c>
      <c r="B59" s="2" t="n">
        <v>4413</v>
      </c>
      <c r="C59" s="2" t="n">
        <v>4</v>
      </c>
      <c r="D59" s="2" t="n">
        <v>7</v>
      </c>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row>
    <row r="60" customFormat="false" ht="15" hidden="false" customHeight="false" outlineLevel="0" collapsed="false">
      <c r="A60" s="2" t="s">
        <v>492</v>
      </c>
      <c r="B60" s="2" t="n">
        <v>2484</v>
      </c>
      <c r="C60" s="2" t="n">
        <v>3</v>
      </c>
      <c r="D60" s="2" t="n">
        <v>7</v>
      </c>
      <c r="E60" s="2" t="n">
        <v>1</v>
      </c>
      <c r="F60" s="2"/>
      <c r="G60" s="2" t="n">
        <v>1</v>
      </c>
      <c r="H60" s="2" t="n">
        <v>1</v>
      </c>
      <c r="I60" s="2" t="n">
        <v>1</v>
      </c>
      <c r="J60" s="2" t="n">
        <v>1</v>
      </c>
      <c r="K60" s="2" t="n">
        <v>1</v>
      </c>
      <c r="L60" s="2" t="n">
        <v>1</v>
      </c>
      <c r="M60" s="2" t="n">
        <v>1</v>
      </c>
      <c r="N60" s="2" t="n">
        <v>0</v>
      </c>
      <c r="O60" s="2" t="n">
        <v>1</v>
      </c>
      <c r="P60" s="2" t="n">
        <v>0</v>
      </c>
      <c r="Q60" s="2" t="n">
        <v>0</v>
      </c>
      <c r="R60" s="2" t="n">
        <v>0</v>
      </c>
      <c r="S60" s="2" t="n">
        <v>0</v>
      </c>
      <c r="T60" s="2"/>
      <c r="U60" s="2"/>
      <c r="V60" s="2"/>
      <c r="W60" s="2"/>
      <c r="X60" s="2"/>
      <c r="Y60" s="2"/>
      <c r="Z60" s="2"/>
      <c r="AA60" s="2"/>
      <c r="AB60" s="2"/>
      <c r="AC60" s="2" t="n">
        <v>2</v>
      </c>
      <c r="AD60" s="2"/>
      <c r="AE60" s="2" t="n">
        <v>4</v>
      </c>
      <c r="AF60" s="2" t="n">
        <v>2</v>
      </c>
      <c r="AG60" s="2"/>
      <c r="AH60" s="2" t="s">
        <v>493</v>
      </c>
      <c r="AI60" s="2"/>
      <c r="AJ60" s="2"/>
      <c r="AK60" s="2"/>
      <c r="AL60" s="2"/>
      <c r="AM60" s="2"/>
      <c r="AN60" s="2"/>
      <c r="AO60" s="2"/>
      <c r="AP60" s="2" t="n">
        <v>2</v>
      </c>
      <c r="AQ60" s="2" t="n">
        <v>2</v>
      </c>
      <c r="AR60" s="2" t="n">
        <v>2</v>
      </c>
      <c r="AS60" s="2"/>
      <c r="AT60" s="2"/>
      <c r="AU60" s="2"/>
      <c r="AV60" s="2" t="n">
        <v>2016</v>
      </c>
      <c r="AW60" s="2" t="s">
        <v>436</v>
      </c>
      <c r="AX60" s="2" t="s">
        <v>436</v>
      </c>
      <c r="AY60" s="2" t="n">
        <v>2</v>
      </c>
      <c r="AZ60" s="2" t="n">
        <v>4</v>
      </c>
      <c r="BA60" s="2"/>
      <c r="BB60" s="2"/>
      <c r="BC60" s="2" t="n">
        <v>0</v>
      </c>
      <c r="BD60" s="2" t="n">
        <v>0</v>
      </c>
      <c r="BE60" s="2" t="n">
        <v>0</v>
      </c>
      <c r="BF60" s="2" t="n">
        <v>1</v>
      </c>
      <c r="BG60" s="2" t="n">
        <v>0</v>
      </c>
      <c r="BH60" s="2" t="n">
        <v>0</v>
      </c>
      <c r="BI60" s="2" t="s">
        <v>437</v>
      </c>
      <c r="BJ60" s="2" t="n">
        <v>2</v>
      </c>
      <c r="BK60" s="2" t="n">
        <v>0</v>
      </c>
      <c r="BL60" s="2" t="n">
        <v>0</v>
      </c>
      <c r="BM60" s="2" t="n">
        <v>0</v>
      </c>
      <c r="BN60" s="2" t="n">
        <v>0</v>
      </c>
      <c r="BO60" s="2" t="n">
        <v>1</v>
      </c>
      <c r="BP60" s="2" t="n">
        <v>0</v>
      </c>
      <c r="BQ60" s="2" t="n">
        <v>0</v>
      </c>
      <c r="BR60" s="2"/>
      <c r="BS60" s="2" t="n">
        <v>1</v>
      </c>
      <c r="BT60" s="2" t="n">
        <v>1</v>
      </c>
      <c r="BU60" s="2" t="n">
        <v>2</v>
      </c>
      <c r="BV60" s="2" t="n">
        <v>1</v>
      </c>
      <c r="BW60" s="2" t="n">
        <v>2025</v>
      </c>
      <c r="BX60" s="2" t="n">
        <v>1</v>
      </c>
      <c r="BY60" s="2" t="n">
        <v>0.0009</v>
      </c>
      <c r="BZ60" s="2" t="n">
        <v>0</v>
      </c>
      <c r="CA60" s="2" t="n">
        <v>1</v>
      </c>
      <c r="CB60" s="2" t="n">
        <v>0</v>
      </c>
      <c r="CC60" s="2" t="n">
        <v>0</v>
      </c>
      <c r="CD60" s="2" t="n">
        <v>0</v>
      </c>
      <c r="CE60" s="2" t="n">
        <v>0</v>
      </c>
      <c r="CF60" s="2"/>
      <c r="CG60" s="2" t="n">
        <v>4</v>
      </c>
      <c r="CH60" s="2"/>
      <c r="CI60" s="2" t="n">
        <v>29.23</v>
      </c>
      <c r="CJ60" s="2" t="n">
        <v>1</v>
      </c>
      <c r="CK60" s="2" t="n">
        <v>2025</v>
      </c>
      <c r="CL60" s="2" t="n">
        <v>1</v>
      </c>
      <c r="CM60" s="2" t="n">
        <v>0.0009</v>
      </c>
      <c r="CN60" s="2" t="n">
        <v>0</v>
      </c>
      <c r="CO60" s="2" t="n">
        <v>1</v>
      </c>
      <c r="CP60" s="2" t="n">
        <v>0</v>
      </c>
      <c r="CQ60" s="2" t="n">
        <v>0</v>
      </c>
      <c r="CR60" s="2" t="n">
        <v>0</v>
      </c>
      <c r="CS60" s="2" t="n">
        <v>0</v>
      </c>
      <c r="CT60" s="2"/>
      <c r="CU60" s="2" t="n">
        <v>3</v>
      </c>
      <c r="CV60" s="2"/>
      <c r="CW60" s="2" t="n">
        <v>40.05</v>
      </c>
      <c r="CX60" s="2" t="n">
        <v>2</v>
      </c>
      <c r="CY60" s="2"/>
      <c r="CZ60" s="2"/>
      <c r="DA60" s="2"/>
      <c r="DB60" s="2"/>
      <c r="DC60" s="2"/>
      <c r="DD60" s="2"/>
      <c r="DE60" s="2"/>
      <c r="DF60" s="2"/>
      <c r="DG60" s="2"/>
      <c r="DH60" s="2"/>
      <c r="DI60" s="2"/>
      <c r="DJ60" s="2"/>
      <c r="DK60" s="2"/>
      <c r="DL60" s="2"/>
      <c r="DM60" s="2"/>
      <c r="DN60" s="2"/>
      <c r="DO60" s="2" t="n">
        <v>1</v>
      </c>
      <c r="DP60" s="2" t="n">
        <v>2419</v>
      </c>
      <c r="DQ60" s="2"/>
      <c r="DR60" s="2"/>
      <c r="DS60" s="2"/>
      <c r="DT60" s="2" t="n">
        <v>658</v>
      </c>
      <c r="DU60" s="2"/>
      <c r="DV60" s="2" t="n">
        <v>104</v>
      </c>
      <c r="DW60" s="2"/>
      <c r="DX60" s="2" t="n">
        <v>30</v>
      </c>
      <c r="DY60" s="2"/>
      <c r="DZ60" s="2" t="n">
        <v>11824975</v>
      </c>
      <c r="EA60" s="2" t="n">
        <v>15</v>
      </c>
      <c r="EB60" s="2"/>
      <c r="EC60" s="2"/>
      <c r="ED60" s="2" t="n">
        <v>0</v>
      </c>
      <c r="EE60" s="2"/>
      <c r="EF60" s="2"/>
      <c r="EG60" s="2"/>
      <c r="EH60" s="2"/>
      <c r="EI60" s="2"/>
      <c r="EJ60" s="2"/>
      <c r="EK60" s="2"/>
      <c r="EL60" s="2"/>
      <c r="EM60" s="2"/>
      <c r="EN60" s="2"/>
      <c r="EO60" s="2"/>
      <c r="EP60" s="2"/>
      <c r="EQ60" s="2"/>
      <c r="ER60" s="2"/>
      <c r="ES60" s="2"/>
      <c r="ET60" s="2"/>
      <c r="EU60" s="2"/>
      <c r="EV60" s="2" t="n">
        <v>1</v>
      </c>
      <c r="EW60" s="2"/>
      <c r="EX60" s="2"/>
      <c r="EY60" s="2"/>
      <c r="EZ60" s="2"/>
      <c r="FA60" s="2"/>
      <c r="FB60" s="2"/>
      <c r="FC60" s="2"/>
      <c r="FD60" s="2" t="n">
        <v>1</v>
      </c>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row>
    <row r="61" customFormat="false" ht="15" hidden="false" customHeight="false" outlineLevel="0" collapsed="false">
      <c r="A61" s="2" t="s">
        <v>494</v>
      </c>
      <c r="B61" s="2" t="n">
        <v>21408</v>
      </c>
      <c r="C61" s="2" t="n">
        <v>5</v>
      </c>
      <c r="D61" s="2" t="n">
        <v>2</v>
      </c>
      <c r="E61" s="2" t="n">
        <v>1</v>
      </c>
      <c r="F61" s="2"/>
      <c r="G61" s="2" t="n">
        <v>1</v>
      </c>
      <c r="H61" s="2" t="n">
        <v>1</v>
      </c>
      <c r="I61" s="2" t="n">
        <v>1</v>
      </c>
      <c r="J61" s="2" t="n">
        <v>1</v>
      </c>
      <c r="K61" s="2" t="n">
        <v>0</v>
      </c>
      <c r="L61" s="2" t="n">
        <v>1</v>
      </c>
      <c r="M61" s="2" t="n">
        <v>1</v>
      </c>
      <c r="N61" s="2" t="n">
        <v>1</v>
      </c>
      <c r="O61" s="2" t="n">
        <v>1</v>
      </c>
      <c r="P61" s="2" t="n">
        <v>1</v>
      </c>
      <c r="Q61" s="2" t="n">
        <v>0</v>
      </c>
      <c r="R61" s="2" t="n">
        <v>1</v>
      </c>
      <c r="S61" s="2" t="n">
        <v>0</v>
      </c>
      <c r="T61" s="2"/>
      <c r="U61" s="2"/>
      <c r="V61" s="2"/>
      <c r="W61" s="2"/>
      <c r="X61" s="2"/>
      <c r="Y61" s="2"/>
      <c r="Z61" s="2"/>
      <c r="AA61" s="2" t="n">
        <v>100</v>
      </c>
      <c r="AB61" s="2"/>
      <c r="AC61" s="2" t="n">
        <v>1</v>
      </c>
      <c r="AD61" s="3" t="s">
        <v>495</v>
      </c>
      <c r="AE61" s="2" t="n">
        <v>3</v>
      </c>
      <c r="AF61" s="2" t="n">
        <v>3</v>
      </c>
      <c r="AG61" s="2" t="n">
        <v>182.5</v>
      </c>
      <c r="AH61" s="2" t="s">
        <v>496</v>
      </c>
      <c r="AI61" s="2" t="s">
        <v>496</v>
      </c>
      <c r="AJ61" s="2"/>
      <c r="AK61" s="2"/>
      <c r="AL61" s="2"/>
      <c r="AM61" s="2" t="n">
        <v>1</v>
      </c>
      <c r="AN61" s="2"/>
      <c r="AO61" s="2" t="n">
        <v>1</v>
      </c>
      <c r="AP61" s="2"/>
      <c r="AQ61" s="2"/>
      <c r="AR61" s="2"/>
      <c r="AS61" s="2" t="n">
        <v>2025</v>
      </c>
      <c r="AT61" s="2" t="s">
        <v>287</v>
      </c>
      <c r="AU61" s="2"/>
      <c r="AV61" s="2"/>
      <c r="AW61" s="2"/>
      <c r="AX61" s="2"/>
      <c r="AY61" s="2"/>
      <c r="AZ61" s="2" t="n">
        <v>2</v>
      </c>
      <c r="BA61" s="2"/>
      <c r="BB61" s="2"/>
      <c r="BC61" s="2" t="n">
        <v>0</v>
      </c>
      <c r="BD61" s="2" t="n">
        <v>0</v>
      </c>
      <c r="BE61" s="2" t="n">
        <v>0</v>
      </c>
      <c r="BF61" s="2" t="n">
        <v>1</v>
      </c>
      <c r="BG61" s="2" t="n">
        <v>1</v>
      </c>
      <c r="BH61" s="2" t="n">
        <v>1</v>
      </c>
      <c r="BI61" s="2" t="s">
        <v>437</v>
      </c>
      <c r="BJ61" s="2" t="n">
        <v>1</v>
      </c>
      <c r="BK61" s="2" t="n">
        <v>0</v>
      </c>
      <c r="BL61" s="2" t="n">
        <v>1</v>
      </c>
      <c r="BM61" s="2" t="n">
        <v>1</v>
      </c>
      <c r="BN61" s="2" t="n">
        <v>0</v>
      </c>
      <c r="BO61" s="2" t="n">
        <v>1</v>
      </c>
      <c r="BP61" s="2" t="n">
        <v>1</v>
      </c>
      <c r="BQ61" s="2" t="n">
        <v>0</v>
      </c>
      <c r="BR61" s="2" t="s">
        <v>497</v>
      </c>
      <c r="BS61" s="2" t="n">
        <v>2</v>
      </c>
      <c r="BT61" s="2" t="n">
        <v>2</v>
      </c>
      <c r="BU61" s="2" t="n">
        <v>2</v>
      </c>
      <c r="BV61" s="2" t="n">
        <v>2</v>
      </c>
      <c r="BW61" s="2"/>
      <c r="BX61" s="2"/>
      <c r="BY61" s="2"/>
      <c r="BZ61" s="2"/>
      <c r="CA61" s="2"/>
      <c r="CB61" s="2"/>
      <c r="CC61" s="2"/>
      <c r="CD61" s="2"/>
      <c r="CE61" s="2"/>
      <c r="CF61" s="2"/>
      <c r="CG61" s="2"/>
      <c r="CH61" s="2"/>
      <c r="CI61" s="2"/>
      <c r="CJ61" s="2" t="n">
        <v>1</v>
      </c>
      <c r="CK61" s="2" t="n">
        <v>2025</v>
      </c>
      <c r="CL61" s="2"/>
      <c r="CM61" s="2"/>
      <c r="CN61" s="2"/>
      <c r="CO61" s="2"/>
      <c r="CP61" s="2"/>
      <c r="CQ61" s="2"/>
      <c r="CR61" s="2"/>
      <c r="CS61" s="2"/>
      <c r="CT61" s="2"/>
      <c r="CU61" s="2"/>
      <c r="CV61" s="2"/>
      <c r="CW61" s="2"/>
      <c r="CX61" s="2" t="n">
        <v>1</v>
      </c>
      <c r="CY61" s="2"/>
      <c r="CZ61" s="2"/>
      <c r="DA61" s="2"/>
      <c r="DB61" s="2"/>
      <c r="DC61" s="2"/>
      <c r="DD61" s="2"/>
      <c r="DE61" s="2"/>
      <c r="DF61" s="2"/>
      <c r="DG61" s="2"/>
      <c r="DH61" s="2"/>
      <c r="DI61" s="2"/>
      <c r="DJ61" s="2"/>
      <c r="DK61" s="2"/>
      <c r="DL61" s="2"/>
      <c r="DM61" s="2"/>
      <c r="DN61" s="2"/>
      <c r="DO61" s="2" t="n">
        <v>2</v>
      </c>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t="n">
        <v>1</v>
      </c>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row>
    <row r="62" customFormat="false" ht="15" hidden="false" customHeight="false" outlineLevel="0" collapsed="false">
      <c r="A62" s="2" t="s">
        <v>374</v>
      </c>
      <c r="B62" s="2" t="n">
        <v>342</v>
      </c>
      <c r="C62" s="2" t="n">
        <v>1</v>
      </c>
      <c r="D62" s="2" t="n">
        <v>11</v>
      </c>
      <c r="E62" s="2" t="n">
        <v>1</v>
      </c>
      <c r="F62" s="2"/>
      <c r="G62" s="2" t="n">
        <v>1</v>
      </c>
      <c r="H62" s="2" t="n">
        <v>1</v>
      </c>
      <c r="I62" s="2" t="n">
        <v>1</v>
      </c>
      <c r="J62" s="2" t="n">
        <v>1</v>
      </c>
      <c r="K62" s="2" t="n">
        <v>1</v>
      </c>
      <c r="L62" s="2" t="n">
        <v>1</v>
      </c>
      <c r="M62" s="2" t="n">
        <v>2</v>
      </c>
      <c r="N62" s="2" t="n">
        <v>1</v>
      </c>
      <c r="O62" s="2" t="n">
        <v>1</v>
      </c>
      <c r="P62" s="2" t="n">
        <v>1</v>
      </c>
      <c r="Q62" s="2" t="n">
        <v>0</v>
      </c>
      <c r="R62" s="2" t="n">
        <v>0</v>
      </c>
      <c r="S62" s="2" t="n">
        <v>0</v>
      </c>
      <c r="T62" s="2"/>
      <c r="U62" s="2" t="n">
        <v>25</v>
      </c>
      <c r="V62" s="2"/>
      <c r="W62" s="2" t="n">
        <v>5</v>
      </c>
      <c r="X62" s="2"/>
      <c r="Y62" s="2"/>
      <c r="Z62" s="2" t="n">
        <v>60</v>
      </c>
      <c r="AA62" s="2"/>
      <c r="AB62" s="2" t="n">
        <v>75</v>
      </c>
      <c r="AC62" s="2" t="n">
        <v>2</v>
      </c>
      <c r="AD62" s="2"/>
      <c r="AE62" s="2" t="n">
        <v>2</v>
      </c>
      <c r="AF62" s="2"/>
      <c r="AG62" s="2" t="n">
        <v>0</v>
      </c>
      <c r="AH62" s="2"/>
      <c r="AI62" s="2"/>
      <c r="AJ62" s="2" t="n">
        <v>100</v>
      </c>
      <c r="AK62" s="2"/>
      <c r="AL62" s="2"/>
      <c r="AM62" s="2"/>
      <c r="AN62" s="2" t="n">
        <v>1</v>
      </c>
      <c r="AO62" s="2" t="n">
        <v>1</v>
      </c>
      <c r="AP62" s="2" t="n">
        <v>1</v>
      </c>
      <c r="AQ62" s="2"/>
      <c r="AR62" s="2"/>
      <c r="AS62" s="2" t="n">
        <v>2020</v>
      </c>
      <c r="AT62" s="2" t="s">
        <v>246</v>
      </c>
      <c r="AU62" s="2" t="s">
        <v>246</v>
      </c>
      <c r="AV62" s="2" t="n">
        <v>2020</v>
      </c>
      <c r="AW62" s="2" t="s">
        <v>246</v>
      </c>
      <c r="AX62" s="2" t="s">
        <v>246</v>
      </c>
      <c r="AY62" s="2"/>
      <c r="AZ62" s="2" t="n">
        <v>3</v>
      </c>
      <c r="BA62" s="2"/>
      <c r="BB62" s="2"/>
      <c r="BC62" s="2" t="n">
        <v>0</v>
      </c>
      <c r="BD62" s="2" t="n">
        <v>1</v>
      </c>
      <c r="BE62" s="2" t="n">
        <v>0</v>
      </c>
      <c r="BF62" s="2" t="n">
        <v>0</v>
      </c>
      <c r="BG62" s="2" t="n">
        <v>1</v>
      </c>
      <c r="BH62" s="2" t="n">
        <v>0</v>
      </c>
      <c r="BI62" s="2"/>
      <c r="BJ62" s="2" t="n">
        <v>2</v>
      </c>
      <c r="BK62" s="2" t="n">
        <v>0</v>
      </c>
      <c r="BL62" s="2" t="n">
        <v>0</v>
      </c>
      <c r="BM62" s="2" t="n">
        <v>1</v>
      </c>
      <c r="BN62" s="2" t="n">
        <v>0</v>
      </c>
      <c r="BO62" s="2" t="n">
        <v>0</v>
      </c>
      <c r="BP62" s="2" t="n">
        <v>0</v>
      </c>
      <c r="BQ62" s="2" t="n">
        <v>0</v>
      </c>
      <c r="BR62" s="2" t="s">
        <v>207</v>
      </c>
      <c r="BS62" s="2" t="n">
        <v>2</v>
      </c>
      <c r="BT62" s="2"/>
      <c r="BU62" s="2"/>
      <c r="BV62" s="2" t="n">
        <v>1</v>
      </c>
      <c r="BW62" s="2" t="n">
        <v>2020</v>
      </c>
      <c r="BX62" s="2" t="n">
        <v>1</v>
      </c>
      <c r="BY62" s="2" t="n">
        <v>0.02</v>
      </c>
      <c r="BZ62" s="2" t="n">
        <v>0</v>
      </c>
      <c r="CA62" s="2" t="n">
        <v>1</v>
      </c>
      <c r="CB62" s="2" t="n">
        <v>1</v>
      </c>
      <c r="CC62" s="2" t="n">
        <v>0</v>
      </c>
      <c r="CD62" s="2" t="n">
        <v>0</v>
      </c>
      <c r="CE62" s="2" t="n">
        <v>0</v>
      </c>
      <c r="CF62" s="2"/>
      <c r="CG62" s="2" t="n">
        <v>5</v>
      </c>
      <c r="CH62" s="2" t="s">
        <v>498</v>
      </c>
      <c r="CI62" s="2"/>
      <c r="CJ62" s="2" t="n">
        <v>2</v>
      </c>
      <c r="CK62" s="2"/>
      <c r="CL62" s="2"/>
      <c r="CM62" s="2"/>
      <c r="CN62" s="2"/>
      <c r="CO62" s="2"/>
      <c r="CP62" s="2"/>
      <c r="CQ62" s="2"/>
      <c r="CR62" s="2"/>
      <c r="CS62" s="2"/>
      <c r="CT62" s="2"/>
      <c r="CU62" s="2"/>
      <c r="CV62" s="2"/>
      <c r="CW62" s="2"/>
      <c r="CX62" s="2" t="n">
        <v>2</v>
      </c>
      <c r="CY62" s="2"/>
      <c r="CZ62" s="2"/>
      <c r="DA62" s="2"/>
      <c r="DB62" s="2"/>
      <c r="DC62" s="2"/>
      <c r="DD62" s="2"/>
      <c r="DE62" s="2"/>
      <c r="DF62" s="2"/>
      <c r="DG62" s="2"/>
      <c r="DH62" s="2"/>
      <c r="DI62" s="2"/>
      <c r="DJ62" s="2"/>
      <c r="DK62" s="2"/>
      <c r="DL62" s="2"/>
      <c r="DM62" s="2"/>
      <c r="DN62" s="2"/>
      <c r="DO62" s="2" t="n">
        <v>1</v>
      </c>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row>
    <row r="63" customFormat="false" ht="15" hidden="false" customHeight="false" outlineLevel="0" collapsed="false">
      <c r="A63" s="2" t="s">
        <v>499</v>
      </c>
      <c r="B63" s="2" t="n">
        <v>4368</v>
      </c>
      <c r="C63" s="2" t="n">
        <v>4</v>
      </c>
      <c r="D63" s="2" t="n">
        <v>6</v>
      </c>
      <c r="E63" s="2" t="n">
        <v>1</v>
      </c>
      <c r="F63" s="2"/>
      <c r="G63" s="2" t="n">
        <v>1</v>
      </c>
      <c r="H63" s="2" t="n">
        <v>1</v>
      </c>
      <c r="I63" s="2" t="n">
        <v>1</v>
      </c>
      <c r="J63" s="2" t="n">
        <v>1</v>
      </c>
      <c r="K63" s="2" t="n">
        <v>1</v>
      </c>
      <c r="L63" s="2" t="n">
        <v>1</v>
      </c>
      <c r="M63" s="2" t="n">
        <v>1</v>
      </c>
      <c r="N63" s="2" t="n">
        <v>1</v>
      </c>
      <c r="O63" s="2" t="n">
        <v>1</v>
      </c>
      <c r="P63" s="2" t="n">
        <v>1</v>
      </c>
      <c r="Q63" s="2" t="n">
        <v>1</v>
      </c>
      <c r="R63" s="2" t="n">
        <v>0</v>
      </c>
      <c r="S63" s="2" t="n">
        <v>0</v>
      </c>
      <c r="T63" s="2"/>
      <c r="U63" s="2" t="n">
        <v>0.015</v>
      </c>
      <c r="V63" s="2" t="n">
        <v>1.5</v>
      </c>
      <c r="W63" s="2"/>
      <c r="X63" s="2"/>
      <c r="Y63" s="2" t="n">
        <v>0.015</v>
      </c>
      <c r="Z63" s="2" t="n">
        <v>48</v>
      </c>
      <c r="AA63" s="2"/>
      <c r="AB63" s="2" t="n">
        <v>60</v>
      </c>
      <c r="AC63" s="2" t="n">
        <v>2</v>
      </c>
      <c r="AD63" s="2"/>
      <c r="AE63" s="2" t="n">
        <v>3</v>
      </c>
      <c r="AF63" s="2" t="n">
        <v>3</v>
      </c>
      <c r="AG63" s="2" t="n">
        <v>3</v>
      </c>
      <c r="AH63" s="2"/>
      <c r="AI63" s="2" t="s">
        <v>500</v>
      </c>
      <c r="AJ63" s="2"/>
      <c r="AK63" s="2" t="n">
        <v>3.3</v>
      </c>
      <c r="AL63" s="2"/>
      <c r="AM63" s="2" t="n">
        <v>1</v>
      </c>
      <c r="AN63" s="2"/>
      <c r="AO63" s="2" t="n">
        <v>1</v>
      </c>
      <c r="AP63" s="2" t="n">
        <v>1</v>
      </c>
      <c r="AQ63" s="2" t="n">
        <v>1</v>
      </c>
      <c r="AR63" s="2" t="n">
        <v>1</v>
      </c>
      <c r="AS63" s="2" t="n">
        <v>2010</v>
      </c>
      <c r="AT63" s="2" t="s">
        <v>293</v>
      </c>
      <c r="AU63" s="2" t="s">
        <v>293</v>
      </c>
      <c r="AV63" s="2" t="n">
        <v>2007</v>
      </c>
      <c r="AW63" s="2" t="s">
        <v>501</v>
      </c>
      <c r="AX63" s="2" t="s">
        <v>501</v>
      </c>
      <c r="AY63" s="2" t="n">
        <v>2</v>
      </c>
      <c r="AZ63" s="2" t="n">
        <v>1</v>
      </c>
      <c r="BA63" s="2" t="s">
        <v>502</v>
      </c>
      <c r="BB63" s="2"/>
      <c r="BC63" s="2" t="n">
        <v>0</v>
      </c>
      <c r="BD63" s="2" t="n">
        <v>0</v>
      </c>
      <c r="BE63" s="2" t="n">
        <v>0</v>
      </c>
      <c r="BF63" s="2" t="n">
        <v>1</v>
      </c>
      <c r="BG63" s="2" t="n">
        <v>1</v>
      </c>
      <c r="BH63" s="2" t="n">
        <v>0</v>
      </c>
      <c r="BI63" s="2" t="s">
        <v>503</v>
      </c>
      <c r="BJ63" s="2" t="n">
        <v>1</v>
      </c>
      <c r="BK63" s="2" t="n">
        <v>0</v>
      </c>
      <c r="BL63" s="2" t="n">
        <v>0</v>
      </c>
      <c r="BM63" s="2" t="n">
        <v>0</v>
      </c>
      <c r="BN63" s="2" t="n">
        <v>0</v>
      </c>
      <c r="BO63" s="2" t="n">
        <v>0</v>
      </c>
      <c r="BP63" s="2" t="n">
        <v>0</v>
      </c>
      <c r="BQ63" s="2" t="n">
        <v>1</v>
      </c>
      <c r="BR63" s="2"/>
      <c r="BS63" s="2" t="n">
        <v>2</v>
      </c>
      <c r="BT63" s="2" t="n">
        <v>2</v>
      </c>
      <c r="BU63" s="2" t="n">
        <v>2</v>
      </c>
      <c r="BV63" s="2" t="n">
        <v>1</v>
      </c>
      <c r="BW63" s="2" t="n">
        <v>2006</v>
      </c>
      <c r="BX63" s="2" t="n">
        <v>1</v>
      </c>
      <c r="BY63" s="2"/>
      <c r="BZ63" s="2" t="n">
        <v>1</v>
      </c>
      <c r="CA63" s="2" t="n">
        <v>1</v>
      </c>
      <c r="CB63" s="2" t="n">
        <v>1</v>
      </c>
      <c r="CC63" s="2" t="n">
        <v>0</v>
      </c>
      <c r="CD63" s="2" t="n">
        <v>0</v>
      </c>
      <c r="CE63" s="2" t="n">
        <v>1</v>
      </c>
      <c r="CF63" s="2"/>
      <c r="CG63" s="2" t="n">
        <v>4</v>
      </c>
      <c r="CH63" s="2"/>
      <c r="CI63" s="2"/>
      <c r="CJ63" s="2" t="n">
        <v>1</v>
      </c>
      <c r="CK63" s="2" t="n">
        <v>2006</v>
      </c>
      <c r="CL63" s="2" t="n">
        <v>1</v>
      </c>
      <c r="CM63" s="2"/>
      <c r="CN63" s="2" t="n">
        <v>1</v>
      </c>
      <c r="CO63" s="2" t="n">
        <v>1</v>
      </c>
      <c r="CP63" s="2" t="n">
        <v>1</v>
      </c>
      <c r="CQ63" s="2" t="n">
        <v>0</v>
      </c>
      <c r="CR63" s="2" t="n">
        <v>0</v>
      </c>
      <c r="CS63" s="2" t="n">
        <v>1</v>
      </c>
      <c r="CT63" s="2"/>
      <c r="CU63" s="2" t="n">
        <v>3</v>
      </c>
      <c r="CV63" s="2"/>
      <c r="CW63" s="2"/>
      <c r="CX63" s="2" t="n">
        <v>1</v>
      </c>
      <c r="CY63" s="2" t="n">
        <v>1</v>
      </c>
      <c r="CZ63" s="2" t="n">
        <v>1</v>
      </c>
      <c r="DA63" s="2"/>
      <c r="DB63" s="2" t="n">
        <v>2</v>
      </c>
      <c r="DC63" s="2" t="n">
        <v>1</v>
      </c>
      <c r="DD63" s="2" t="n">
        <v>1</v>
      </c>
      <c r="DE63" s="2" t="n">
        <v>1</v>
      </c>
      <c r="DF63" s="2" t="n">
        <v>0</v>
      </c>
      <c r="DG63" s="2" t="n">
        <v>0</v>
      </c>
      <c r="DH63" s="2" t="n">
        <v>0</v>
      </c>
      <c r="DI63" s="2"/>
      <c r="DJ63" s="2" t="n">
        <v>1</v>
      </c>
      <c r="DK63" s="2"/>
      <c r="DL63" s="2" t="n">
        <v>2</v>
      </c>
      <c r="DM63" s="2"/>
      <c r="DN63" s="2" t="n">
        <v>3</v>
      </c>
      <c r="DO63" s="2" t="n">
        <v>1</v>
      </c>
      <c r="DP63" s="2" t="n">
        <v>4299</v>
      </c>
      <c r="DQ63" s="2" t="n">
        <v>351</v>
      </c>
      <c r="DR63" s="2"/>
      <c r="DS63" s="2"/>
      <c r="DT63" s="2" t="n">
        <v>1336</v>
      </c>
      <c r="DU63" s="2" t="n">
        <v>364</v>
      </c>
      <c r="DV63" s="2" t="n">
        <v>250</v>
      </c>
      <c r="DW63" s="2" t="n">
        <v>12</v>
      </c>
      <c r="DX63" s="2"/>
      <c r="DY63" s="2"/>
      <c r="DZ63" s="2" t="n">
        <v>1</v>
      </c>
      <c r="EA63" s="2" t="n">
        <v>29</v>
      </c>
      <c r="EB63" s="2" t="n">
        <v>5</v>
      </c>
      <c r="EC63" s="2"/>
      <c r="ED63" s="2" t="n">
        <v>5</v>
      </c>
      <c r="EE63" s="2" t="n">
        <v>1986</v>
      </c>
      <c r="EF63" s="2" t="n">
        <v>2017</v>
      </c>
      <c r="EG63" s="2"/>
      <c r="EH63" s="2" t="n">
        <v>5.9</v>
      </c>
      <c r="EI63" s="2" t="n">
        <v>0.735</v>
      </c>
      <c r="EJ63" s="2" t="n">
        <v>1</v>
      </c>
      <c r="EK63" s="2" t="n">
        <v>1.4</v>
      </c>
      <c r="EL63" s="2" t="n">
        <v>1</v>
      </c>
      <c r="EM63" s="2" t="n">
        <v>3.31</v>
      </c>
      <c r="EN63" s="2" t="n">
        <v>1</v>
      </c>
      <c r="EO63" s="2" t="n">
        <v>1</v>
      </c>
      <c r="EP63" s="2" t="n">
        <v>1</v>
      </c>
      <c r="EQ63" s="2" t="n">
        <v>1</v>
      </c>
      <c r="ER63" s="2"/>
      <c r="ES63" s="2"/>
      <c r="ET63" s="2"/>
      <c r="EU63" s="2" t="s">
        <v>252</v>
      </c>
      <c r="EV63" s="2" t="n">
        <v>2</v>
      </c>
      <c r="EW63" s="2" t="n">
        <v>2</v>
      </c>
      <c r="EX63" s="2" t="n">
        <v>1</v>
      </c>
      <c r="EY63" s="2"/>
      <c r="EZ63" s="2" t="n">
        <v>95</v>
      </c>
      <c r="FA63" s="2" t="n">
        <v>0</v>
      </c>
      <c r="FB63" s="2" t="n">
        <v>5</v>
      </c>
      <c r="FC63" s="2" t="s">
        <v>362</v>
      </c>
      <c r="FD63" s="2" t="n">
        <v>1</v>
      </c>
      <c r="FE63" s="2" t="n">
        <v>4299</v>
      </c>
      <c r="FF63" s="2" t="n">
        <v>351</v>
      </c>
      <c r="FG63" s="2"/>
      <c r="FH63" s="2"/>
      <c r="FI63" s="2" t="n">
        <v>1336</v>
      </c>
      <c r="FJ63" s="2" t="n">
        <v>1</v>
      </c>
      <c r="FK63" s="2" t="n">
        <v>250</v>
      </c>
      <c r="FL63" s="2" t="n">
        <v>1</v>
      </c>
      <c r="FM63" s="2"/>
      <c r="FN63" s="2"/>
      <c r="FO63" s="2" t="n">
        <v>220</v>
      </c>
      <c r="FP63" s="2" t="n">
        <v>25</v>
      </c>
      <c r="FQ63" s="2" t="n">
        <v>10</v>
      </c>
      <c r="FR63" s="2" t="n">
        <v>2</v>
      </c>
      <c r="FS63" s="2" t="n">
        <v>2</v>
      </c>
      <c r="FT63" s="2" t="n">
        <v>0</v>
      </c>
      <c r="FU63" s="2" t="n">
        <v>0</v>
      </c>
      <c r="FV63" s="2" t="n">
        <v>0</v>
      </c>
      <c r="FW63" s="2" t="n">
        <v>0</v>
      </c>
      <c r="FX63" s="2" t="n">
        <v>0</v>
      </c>
      <c r="FY63" s="2" t="n">
        <v>1</v>
      </c>
      <c r="FZ63" s="2"/>
      <c r="GA63" s="2" t="n">
        <v>1958</v>
      </c>
      <c r="GB63" s="2" t="n">
        <v>2010</v>
      </c>
      <c r="GC63" s="2" t="n">
        <v>0.861</v>
      </c>
      <c r="GD63" s="2" t="n">
        <v>5</v>
      </c>
      <c r="GE63" s="2" t="n">
        <v>325</v>
      </c>
      <c r="GF63" s="2" t="n">
        <v>4.3</v>
      </c>
      <c r="GG63" s="2" t="n">
        <v>2.5</v>
      </c>
      <c r="GH63" s="2" t="n">
        <v>100</v>
      </c>
      <c r="GI63" s="2" t="s">
        <v>252</v>
      </c>
      <c r="GJ63" s="2" t="s">
        <v>230</v>
      </c>
      <c r="GK63" s="2" t="n">
        <v>2</v>
      </c>
      <c r="GL63" s="2" t="n">
        <v>1</v>
      </c>
      <c r="GM63" s="2" t="s">
        <v>504</v>
      </c>
      <c r="GN63" s="2" t="s">
        <v>505</v>
      </c>
      <c r="GO63" s="2" t="n">
        <v>1</v>
      </c>
      <c r="GP63" s="2" t="s">
        <v>506</v>
      </c>
      <c r="GQ63" s="2" t="n">
        <v>2</v>
      </c>
      <c r="GR63" s="2"/>
      <c r="GS63" s="2" t="s">
        <v>236</v>
      </c>
      <c r="GT63" s="2" t="n">
        <v>1</v>
      </c>
      <c r="GU63" s="2" t="n">
        <v>1336</v>
      </c>
      <c r="GV63" s="2" t="n">
        <v>1</v>
      </c>
      <c r="GW63" s="2" t="n">
        <v>250</v>
      </c>
      <c r="GX63" s="2" t="n">
        <v>1</v>
      </c>
      <c r="GY63" s="2"/>
      <c r="GZ63" s="2"/>
      <c r="HA63" s="2" t="n">
        <v>4.48</v>
      </c>
      <c r="HB63" s="2" t="s">
        <v>230</v>
      </c>
      <c r="HC63" s="2" t="n">
        <v>3000</v>
      </c>
      <c r="HD63" s="2" t="s">
        <v>236</v>
      </c>
      <c r="HE63" s="2" t="s">
        <v>236</v>
      </c>
    </row>
    <row r="64" customFormat="false" ht="15" hidden="false" customHeight="false" outlineLevel="0" collapsed="false">
      <c r="A64" s="2" t="s">
        <v>492</v>
      </c>
      <c r="B64" s="2" t="n">
        <v>2484</v>
      </c>
      <c r="C64" s="2" t="n">
        <v>3</v>
      </c>
      <c r="D64" s="2" t="n">
        <v>7</v>
      </c>
      <c r="E64" s="2" t="n">
        <v>1</v>
      </c>
      <c r="F64" s="2"/>
      <c r="G64" s="2" t="n">
        <v>1</v>
      </c>
      <c r="H64" s="2" t="n">
        <v>1</v>
      </c>
      <c r="I64" s="2" t="n">
        <v>1</v>
      </c>
      <c r="J64" s="2" t="n">
        <v>1</v>
      </c>
      <c r="K64" s="2" t="n">
        <v>1</v>
      </c>
      <c r="L64" s="2" t="n">
        <v>1</v>
      </c>
      <c r="M64" s="2" t="n">
        <v>1</v>
      </c>
      <c r="N64" s="2" t="n">
        <v>0</v>
      </c>
      <c r="O64" s="2" t="n">
        <v>1</v>
      </c>
      <c r="P64" s="2" t="n">
        <v>0</v>
      </c>
      <c r="Q64" s="2" t="n">
        <v>0</v>
      </c>
      <c r="R64" s="2" t="n">
        <v>1</v>
      </c>
      <c r="S64" s="2" t="n">
        <v>0</v>
      </c>
      <c r="T64" s="2"/>
      <c r="U64" s="2"/>
      <c r="V64" s="2"/>
      <c r="W64" s="2"/>
      <c r="X64" s="2"/>
      <c r="Y64" s="2"/>
      <c r="Z64" s="2"/>
      <c r="AA64" s="2"/>
      <c r="AB64" s="2"/>
      <c r="AC64" s="2" t="n">
        <v>2</v>
      </c>
      <c r="AD64" s="2"/>
      <c r="AE64" s="2" t="n">
        <v>3</v>
      </c>
      <c r="AF64" s="2" t="n">
        <v>2</v>
      </c>
      <c r="AG64" s="2" t="n">
        <v>60</v>
      </c>
      <c r="AH64" s="2" t="s">
        <v>507</v>
      </c>
      <c r="AI64" s="2"/>
      <c r="AJ64" s="2" t="n">
        <v>9</v>
      </c>
      <c r="AK64" s="2" t="n">
        <v>9</v>
      </c>
      <c r="AL64" s="2"/>
      <c r="AM64" s="2"/>
      <c r="AN64" s="2"/>
      <c r="AO64" s="2" t="n">
        <v>1</v>
      </c>
      <c r="AP64" s="2" t="n">
        <v>2</v>
      </c>
      <c r="AQ64" s="2" t="n">
        <v>2</v>
      </c>
      <c r="AR64" s="2" t="n">
        <v>2</v>
      </c>
      <c r="AS64" s="2" t="n">
        <v>2014</v>
      </c>
      <c r="AT64" s="2" t="s">
        <v>508</v>
      </c>
      <c r="AU64" s="2" t="s">
        <v>218</v>
      </c>
      <c r="AV64" s="2" t="n">
        <v>2006</v>
      </c>
      <c r="AW64" s="2" t="s">
        <v>249</v>
      </c>
      <c r="AX64" s="2" t="s">
        <v>249</v>
      </c>
      <c r="AY64" s="2" t="n">
        <v>2</v>
      </c>
      <c r="AZ64" s="2" t="n">
        <v>4</v>
      </c>
      <c r="BA64" s="2"/>
      <c r="BB64" s="2" t="s">
        <v>509</v>
      </c>
      <c r="BC64" s="2" t="n">
        <v>0</v>
      </c>
      <c r="BD64" s="2" t="n">
        <v>0</v>
      </c>
      <c r="BE64" s="2" t="n">
        <v>0</v>
      </c>
      <c r="BF64" s="2" t="n">
        <v>1</v>
      </c>
      <c r="BG64" s="2" t="n">
        <v>0</v>
      </c>
      <c r="BH64" s="2" t="n">
        <v>1</v>
      </c>
      <c r="BI64" s="2" t="s">
        <v>510</v>
      </c>
      <c r="BJ64" s="2" t="n">
        <v>2</v>
      </c>
      <c r="BK64" s="2" t="n">
        <v>0</v>
      </c>
      <c r="BL64" s="2" t="n">
        <v>0</v>
      </c>
      <c r="BM64" s="2" t="n">
        <v>0</v>
      </c>
      <c r="BN64" s="2" t="n">
        <v>0</v>
      </c>
      <c r="BO64" s="2" t="n">
        <v>1</v>
      </c>
      <c r="BP64" s="2" t="n">
        <v>0</v>
      </c>
      <c r="BQ64" s="2" t="n">
        <v>0</v>
      </c>
      <c r="BR64" s="2"/>
      <c r="BS64" s="2" t="n">
        <v>1</v>
      </c>
      <c r="BT64" s="2" t="n">
        <v>1</v>
      </c>
      <c r="BU64" s="2"/>
      <c r="BV64" s="2" t="n">
        <v>1</v>
      </c>
      <c r="BW64" s="2"/>
      <c r="BX64" s="2" t="n">
        <v>1</v>
      </c>
      <c r="BY64" s="2" t="n">
        <v>0.09</v>
      </c>
      <c r="BZ64" s="2" t="n">
        <v>0</v>
      </c>
      <c r="CA64" s="2" t="n">
        <v>1</v>
      </c>
      <c r="CB64" s="2" t="n">
        <v>0</v>
      </c>
      <c r="CC64" s="2" t="n">
        <v>0</v>
      </c>
      <c r="CD64" s="2" t="n">
        <v>0</v>
      </c>
      <c r="CE64" s="2" t="n">
        <v>0</v>
      </c>
      <c r="CF64" s="2"/>
      <c r="CG64" s="2" t="n">
        <v>5</v>
      </c>
      <c r="CH64" s="2" t="s">
        <v>511</v>
      </c>
      <c r="CI64" s="2" t="n">
        <v>29.24</v>
      </c>
      <c r="CJ64" s="2" t="n">
        <v>1</v>
      </c>
      <c r="CK64" s="2"/>
      <c r="CL64" s="2" t="n">
        <v>1</v>
      </c>
      <c r="CM64" s="2" t="n">
        <v>0.09</v>
      </c>
      <c r="CN64" s="2" t="n">
        <v>0</v>
      </c>
      <c r="CO64" s="2" t="n">
        <v>1</v>
      </c>
      <c r="CP64" s="2" t="n">
        <v>0</v>
      </c>
      <c r="CQ64" s="2" t="n">
        <v>0</v>
      </c>
      <c r="CR64" s="2" t="n">
        <v>0</v>
      </c>
      <c r="CS64" s="2" t="n">
        <v>0</v>
      </c>
      <c r="CT64" s="2"/>
      <c r="CU64" s="2" t="n">
        <v>2</v>
      </c>
      <c r="CV64" s="2"/>
      <c r="CW64" s="2" t="n">
        <v>44.76</v>
      </c>
      <c r="CX64" s="2" t="n">
        <v>1</v>
      </c>
      <c r="CY64" s="2" t="n">
        <v>2</v>
      </c>
      <c r="CZ64" s="2"/>
      <c r="DA64" s="2"/>
      <c r="DB64" s="2" t="n">
        <v>1</v>
      </c>
      <c r="DC64" s="2" t="n">
        <v>1</v>
      </c>
      <c r="DD64" s="2" t="n">
        <v>0</v>
      </c>
      <c r="DE64" s="2" t="n">
        <v>0</v>
      </c>
      <c r="DF64" s="2" t="n">
        <v>0</v>
      </c>
      <c r="DG64" s="2" t="n">
        <v>0</v>
      </c>
      <c r="DH64" s="2" t="n">
        <v>0</v>
      </c>
      <c r="DI64" s="2"/>
      <c r="DJ64" s="2" t="n">
        <v>2</v>
      </c>
      <c r="DK64" s="2" t="s">
        <v>512</v>
      </c>
      <c r="DL64" s="2" t="n">
        <v>2</v>
      </c>
      <c r="DM64" s="2"/>
      <c r="DN64" s="2"/>
      <c r="DO64" s="2" t="n">
        <v>1</v>
      </c>
      <c r="DP64" s="2" t="n">
        <v>2419</v>
      </c>
      <c r="DQ64" s="2" t="n">
        <v>53</v>
      </c>
      <c r="DR64" s="2"/>
      <c r="DS64" s="2"/>
      <c r="DT64" s="2" t="n">
        <v>658</v>
      </c>
      <c r="DU64" s="2" t="n">
        <v>21</v>
      </c>
      <c r="DV64" s="2" t="n">
        <v>104</v>
      </c>
      <c r="DW64" s="2"/>
      <c r="DX64" s="2" t="n">
        <v>30</v>
      </c>
      <c r="DY64" s="2"/>
      <c r="DZ64" s="2" t="n">
        <v>161178</v>
      </c>
      <c r="EA64" s="2" t="n">
        <v>15</v>
      </c>
      <c r="EB64" s="2" t="n">
        <v>15</v>
      </c>
      <c r="EC64" s="2" t="n">
        <v>1</v>
      </c>
      <c r="ED64" s="2" t="n">
        <v>0</v>
      </c>
      <c r="EE64" s="2" t="n">
        <v>1900</v>
      </c>
      <c r="EF64" s="2" t="n">
        <v>1994</v>
      </c>
      <c r="EG64" s="2"/>
      <c r="EH64" s="2"/>
      <c r="EI64" s="2" t="n">
        <v>0.45</v>
      </c>
      <c r="EJ64" s="2" t="n">
        <v>0.87</v>
      </c>
      <c r="EK64" s="2" t="n">
        <v>0.83</v>
      </c>
      <c r="EL64" s="2"/>
      <c r="EM64" s="2" t="n">
        <v>1.7</v>
      </c>
      <c r="EN64" s="2"/>
      <c r="EO64" s="2"/>
      <c r="EP64" s="2"/>
      <c r="EQ64" s="2"/>
      <c r="ER64" s="2"/>
      <c r="ES64" s="2"/>
      <c r="ET64" s="2"/>
      <c r="EU64" s="2" t="s">
        <v>513</v>
      </c>
      <c r="EV64" s="2" t="n">
        <v>1</v>
      </c>
      <c r="EW64" s="2" t="n">
        <v>1</v>
      </c>
      <c r="EX64" s="2" t="n">
        <v>1</v>
      </c>
      <c r="EY64" s="2"/>
      <c r="EZ64" s="2" t="n">
        <v>100</v>
      </c>
      <c r="FA64" s="2"/>
      <c r="FB64" s="2"/>
      <c r="FC64" s="2"/>
      <c r="FD64" s="2" t="n">
        <v>1</v>
      </c>
      <c r="FE64" s="2" t="n">
        <v>2419</v>
      </c>
      <c r="FF64" s="2"/>
      <c r="FG64" s="2"/>
      <c r="FH64" s="2"/>
      <c r="FI64" s="2" t="n">
        <v>658</v>
      </c>
      <c r="FJ64" s="2"/>
      <c r="FK64" s="2" t="n">
        <v>104</v>
      </c>
      <c r="FL64" s="2"/>
      <c r="FM64" s="2" t="n">
        <v>25</v>
      </c>
      <c r="FN64" s="2"/>
      <c r="FO64" s="2" t="n">
        <v>6840</v>
      </c>
      <c r="FP64" s="2" t="n">
        <v>10</v>
      </c>
      <c r="FQ64" s="2" t="n">
        <v>7</v>
      </c>
      <c r="FR64" s="2" t="n">
        <v>2</v>
      </c>
      <c r="FS64" s="2" t="n">
        <v>2</v>
      </c>
      <c r="FT64" s="2" t="n">
        <v>1</v>
      </c>
      <c r="FU64" s="2" t="n">
        <v>1</v>
      </c>
      <c r="FV64" s="2" t="n">
        <v>0</v>
      </c>
      <c r="FW64" s="2" t="n">
        <v>1</v>
      </c>
      <c r="FX64" s="2" t="n">
        <v>1</v>
      </c>
      <c r="FY64" s="2" t="n">
        <v>1</v>
      </c>
      <c r="FZ64" s="2"/>
      <c r="GA64" s="2" t="n">
        <v>1972</v>
      </c>
      <c r="GB64" s="2" t="n">
        <v>1994</v>
      </c>
      <c r="GC64" s="2" t="n">
        <v>0.43</v>
      </c>
      <c r="GD64" s="2" t="n">
        <v>0.85</v>
      </c>
      <c r="GE64" s="2" t="n">
        <v>0.34</v>
      </c>
      <c r="GF64" s="2" t="n">
        <v>0.84</v>
      </c>
      <c r="GG64" s="2" t="n">
        <v>0.84</v>
      </c>
      <c r="GH64" s="2" t="n">
        <v>79</v>
      </c>
      <c r="GI64" s="2" t="s">
        <v>513</v>
      </c>
      <c r="GJ64" s="2" t="s">
        <v>513</v>
      </c>
      <c r="GK64" s="2" t="n">
        <v>2</v>
      </c>
      <c r="GL64" s="2" t="n">
        <v>2</v>
      </c>
      <c r="GM64" s="2"/>
      <c r="GN64" s="2"/>
      <c r="GO64" s="2" t="n">
        <v>1</v>
      </c>
      <c r="GP64" s="2" t="s">
        <v>514</v>
      </c>
      <c r="GQ64" s="2" t="n">
        <v>2</v>
      </c>
      <c r="GR64" s="2"/>
      <c r="GS64" s="2"/>
      <c r="GT64" s="2" t="n">
        <v>1</v>
      </c>
      <c r="GU64" s="2"/>
      <c r="GV64" s="2"/>
      <c r="GW64" s="2"/>
      <c r="GX64" s="2"/>
      <c r="GY64" s="2"/>
      <c r="GZ64" s="2"/>
      <c r="HA64" s="2"/>
      <c r="HB64" s="2"/>
      <c r="HC64" s="2"/>
      <c r="HD64" s="2"/>
      <c r="HE64" s="2"/>
    </row>
    <row r="65" customFormat="false" ht="15" hidden="false" customHeight="false" outlineLevel="0" collapsed="false">
      <c r="A65" s="2" t="s">
        <v>515</v>
      </c>
      <c r="B65" s="2" t="n">
        <v>8176</v>
      </c>
      <c r="C65" s="2" t="n">
        <v>4</v>
      </c>
      <c r="D65" s="2" t="n">
        <v>3</v>
      </c>
      <c r="E65" s="2" t="n">
        <v>1</v>
      </c>
      <c r="F65" s="2"/>
      <c r="G65" s="2" t="n">
        <v>1</v>
      </c>
      <c r="H65" s="2" t="n">
        <v>1</v>
      </c>
      <c r="I65" s="2" t="n">
        <v>1</v>
      </c>
      <c r="J65" s="2" t="n">
        <v>1</v>
      </c>
      <c r="K65" s="2" t="n">
        <v>1</v>
      </c>
      <c r="L65" s="2" t="n">
        <v>1</v>
      </c>
      <c r="M65" s="2" t="n">
        <v>1</v>
      </c>
      <c r="N65" s="2" t="n">
        <v>1</v>
      </c>
      <c r="O65" s="2" t="n">
        <v>1</v>
      </c>
      <c r="P65" s="2" t="n">
        <v>1</v>
      </c>
      <c r="Q65" s="2" t="n">
        <v>0</v>
      </c>
      <c r="R65" s="2" t="n">
        <v>0</v>
      </c>
      <c r="S65" s="2" t="n">
        <v>0</v>
      </c>
      <c r="T65" s="2"/>
      <c r="U65" s="2" t="n">
        <v>35</v>
      </c>
      <c r="V65" s="2"/>
      <c r="W65" s="2"/>
      <c r="X65" s="2"/>
      <c r="Y65" s="2"/>
      <c r="Z65" s="2"/>
      <c r="AA65" s="2" t="n">
        <v>50</v>
      </c>
      <c r="AB65" s="2"/>
      <c r="AC65" s="2" t="n">
        <v>1</v>
      </c>
      <c r="AD65" s="2" t="s">
        <v>516</v>
      </c>
      <c r="AE65" s="2" t="n">
        <v>3</v>
      </c>
      <c r="AF65" s="2" t="n">
        <v>2</v>
      </c>
      <c r="AG65" s="2" t="n">
        <v>90</v>
      </c>
      <c r="AH65" s="2" t="s">
        <v>517</v>
      </c>
      <c r="AI65" s="2"/>
      <c r="AJ65" s="2" t="n">
        <v>14.3</v>
      </c>
      <c r="AK65" s="2" t="n">
        <v>18.1</v>
      </c>
      <c r="AL65" s="2" t="n">
        <v>8.5</v>
      </c>
      <c r="AM65" s="2"/>
      <c r="AN65" s="2"/>
      <c r="AO65" s="2"/>
      <c r="AP65" s="2" t="n">
        <v>2</v>
      </c>
      <c r="AQ65" s="2" t="n">
        <v>2</v>
      </c>
      <c r="AR65" s="2" t="n">
        <v>2</v>
      </c>
      <c r="AS65" s="2" t="n">
        <v>2023</v>
      </c>
      <c r="AT65" s="2" t="s">
        <v>231</v>
      </c>
      <c r="AU65" s="2" t="s">
        <v>231</v>
      </c>
      <c r="AV65" s="2" t="n">
        <v>2023</v>
      </c>
      <c r="AW65" s="2" t="s">
        <v>231</v>
      </c>
      <c r="AX65" s="2" t="s">
        <v>231</v>
      </c>
      <c r="AY65" s="2" t="n">
        <v>1</v>
      </c>
      <c r="AZ65" s="2" t="n">
        <v>2</v>
      </c>
      <c r="BA65" s="2"/>
      <c r="BB65" s="2"/>
      <c r="BC65" s="2" t="n">
        <v>0</v>
      </c>
      <c r="BD65" s="2" t="n">
        <v>0</v>
      </c>
      <c r="BE65" s="2" t="n">
        <v>0</v>
      </c>
      <c r="BF65" s="2" t="n">
        <v>1</v>
      </c>
      <c r="BG65" s="2" t="n">
        <v>1</v>
      </c>
      <c r="BH65" s="2" t="n">
        <v>1</v>
      </c>
      <c r="BI65" s="2" t="s">
        <v>518</v>
      </c>
      <c r="BJ65" s="2" t="n">
        <v>1</v>
      </c>
      <c r="BK65" s="2" t="n">
        <v>0</v>
      </c>
      <c r="BL65" s="2" t="n">
        <v>0</v>
      </c>
      <c r="BM65" s="2" t="n">
        <v>1</v>
      </c>
      <c r="BN65" s="2" t="n">
        <v>0</v>
      </c>
      <c r="BO65" s="2" t="n">
        <v>0</v>
      </c>
      <c r="BP65" s="2" t="n">
        <v>0</v>
      </c>
      <c r="BQ65" s="2" t="n">
        <v>0</v>
      </c>
      <c r="BR65" s="2" t="s">
        <v>518</v>
      </c>
      <c r="BS65" s="2" t="n">
        <v>2</v>
      </c>
      <c r="BT65" s="2" t="n">
        <v>2</v>
      </c>
      <c r="BU65" s="2" t="n">
        <v>2</v>
      </c>
      <c r="BV65" s="2" t="n">
        <v>1</v>
      </c>
      <c r="BW65" s="2" t="n">
        <v>2025</v>
      </c>
      <c r="BX65" s="2" t="n">
        <v>1</v>
      </c>
      <c r="BY65" s="2" t="n">
        <v>0.03</v>
      </c>
      <c r="BZ65" s="2" t="n">
        <v>0</v>
      </c>
      <c r="CA65" s="2" t="n">
        <v>0</v>
      </c>
      <c r="CB65" s="2" t="n">
        <v>0</v>
      </c>
      <c r="CC65" s="2" t="n">
        <v>1</v>
      </c>
      <c r="CD65" s="2" t="n">
        <v>0</v>
      </c>
      <c r="CE65" s="2" t="n">
        <v>0</v>
      </c>
      <c r="CF65" s="2" t="s">
        <v>519</v>
      </c>
      <c r="CG65" s="2" t="n">
        <v>1</v>
      </c>
      <c r="CH65" s="2"/>
      <c r="CI65" s="2"/>
      <c r="CJ65" s="2" t="n">
        <v>1</v>
      </c>
      <c r="CK65" s="2" t="n">
        <v>2025</v>
      </c>
      <c r="CL65" s="2" t="n">
        <v>1</v>
      </c>
      <c r="CM65" s="2"/>
      <c r="CN65" s="2" t="n">
        <v>0</v>
      </c>
      <c r="CO65" s="2" t="n">
        <v>0</v>
      </c>
      <c r="CP65" s="2" t="n">
        <v>0</v>
      </c>
      <c r="CQ65" s="2" t="n">
        <v>1</v>
      </c>
      <c r="CR65" s="2" t="n">
        <v>0</v>
      </c>
      <c r="CS65" s="2" t="n">
        <v>0</v>
      </c>
      <c r="CT65" s="2" t="s">
        <v>519</v>
      </c>
      <c r="CU65" s="2" t="n">
        <v>4</v>
      </c>
      <c r="CV65" s="2" t="s">
        <v>520</v>
      </c>
      <c r="CW65" s="2" t="n">
        <v>75.35</v>
      </c>
      <c r="CX65" s="2" t="n">
        <v>1</v>
      </c>
      <c r="CY65" s="2" t="n">
        <v>10</v>
      </c>
      <c r="CZ65" s="2" t="n">
        <v>1</v>
      </c>
      <c r="DA65" s="2" t="n">
        <v>0.03</v>
      </c>
      <c r="DB65" s="2" t="n">
        <v>1</v>
      </c>
      <c r="DC65" s="2" t="n">
        <v>0</v>
      </c>
      <c r="DD65" s="2" t="n">
        <v>0</v>
      </c>
      <c r="DE65" s="2" t="n">
        <v>0</v>
      </c>
      <c r="DF65" s="2" t="n">
        <v>1</v>
      </c>
      <c r="DG65" s="2" t="n">
        <v>0</v>
      </c>
      <c r="DH65" s="2" t="n">
        <v>0</v>
      </c>
      <c r="DI65" s="2" t="s">
        <v>519</v>
      </c>
      <c r="DJ65" s="2" t="n">
        <v>1</v>
      </c>
      <c r="DK65" s="2"/>
      <c r="DL65" s="2" t="n">
        <v>2</v>
      </c>
      <c r="DM65" s="2"/>
      <c r="DN65" s="2" t="n">
        <v>13.02</v>
      </c>
      <c r="DO65" s="2" t="n">
        <v>1</v>
      </c>
      <c r="DP65" s="2" t="n">
        <v>8176</v>
      </c>
      <c r="DQ65" s="2" t="n">
        <v>0</v>
      </c>
      <c r="DR65" s="2" t="n">
        <v>8176</v>
      </c>
      <c r="DS65" s="2" t="n">
        <v>0</v>
      </c>
      <c r="DT65" s="2" t="n">
        <v>2531</v>
      </c>
      <c r="DU65" s="2" t="n">
        <v>0</v>
      </c>
      <c r="DV65" s="2" t="n">
        <v>229</v>
      </c>
      <c r="DW65" s="2" t="n">
        <v>1</v>
      </c>
      <c r="DX65" s="2" t="n">
        <v>55</v>
      </c>
      <c r="DY65" s="2"/>
      <c r="DZ65" s="2" t="n">
        <v>273348000</v>
      </c>
      <c r="EA65" s="2" t="n">
        <v>44.5</v>
      </c>
      <c r="EB65" s="2" t="n">
        <v>2</v>
      </c>
      <c r="EC65" s="2" t="n">
        <v>2</v>
      </c>
      <c r="ED65" s="2" t="n">
        <v>1</v>
      </c>
      <c r="EE65" s="2"/>
      <c r="EF65" s="2" t="n">
        <v>2009</v>
      </c>
      <c r="EG65" s="2"/>
      <c r="EH65" s="2" t="n">
        <v>7</v>
      </c>
      <c r="EI65" s="2"/>
      <c r="EJ65" s="2"/>
      <c r="EK65" s="2" t="n">
        <v>3800</v>
      </c>
      <c r="EL65" s="2"/>
      <c r="EM65" s="2" t="n">
        <v>5.4</v>
      </c>
      <c r="EN65" s="2"/>
      <c r="EO65" s="2"/>
      <c r="EP65" s="2"/>
      <c r="EQ65" s="2"/>
      <c r="ER65" s="2" t="s">
        <v>521</v>
      </c>
      <c r="ES65" s="2" t="n">
        <v>3</v>
      </c>
      <c r="ET65" s="2"/>
      <c r="EU65" s="2" t="s">
        <v>522</v>
      </c>
      <c r="EV65" s="2" t="n">
        <v>2</v>
      </c>
      <c r="EW65" s="2" t="n">
        <v>1</v>
      </c>
      <c r="EX65" s="2" t="n">
        <v>4</v>
      </c>
      <c r="EY65" s="2" t="s">
        <v>523</v>
      </c>
      <c r="EZ65" s="2" t="n">
        <v>100</v>
      </c>
      <c r="FA65" s="2"/>
      <c r="FB65" s="2"/>
      <c r="FC65" s="2"/>
      <c r="FD65" s="2" t="n">
        <v>1</v>
      </c>
      <c r="FE65" s="2" t="n">
        <v>8176</v>
      </c>
      <c r="FF65" s="2" t="n">
        <v>0</v>
      </c>
      <c r="FG65" s="2" t="n">
        <v>8176</v>
      </c>
      <c r="FH65" s="2" t="n">
        <v>0</v>
      </c>
      <c r="FI65" s="2" t="n">
        <v>2483</v>
      </c>
      <c r="FJ65" s="2" t="n">
        <v>1</v>
      </c>
      <c r="FK65" s="2" t="n">
        <v>194</v>
      </c>
      <c r="FL65" s="2" t="n">
        <v>1</v>
      </c>
      <c r="FM65" s="2" t="n">
        <v>44</v>
      </c>
      <c r="FN65" s="2" t="n">
        <v>1</v>
      </c>
      <c r="FO65" s="2"/>
      <c r="FP65" s="2" t="n">
        <v>39</v>
      </c>
      <c r="FQ65" s="2"/>
      <c r="FR65" s="2" t="n">
        <v>2</v>
      </c>
      <c r="FS65" s="2" t="n">
        <v>2</v>
      </c>
      <c r="FT65" s="2" t="n">
        <v>0</v>
      </c>
      <c r="FU65" s="2" t="n">
        <v>1</v>
      </c>
      <c r="FV65" s="2" t="n">
        <v>0</v>
      </c>
      <c r="FW65" s="2" t="n">
        <v>1</v>
      </c>
      <c r="FX65" s="2" t="n">
        <v>1</v>
      </c>
      <c r="FY65" s="2" t="n">
        <v>0</v>
      </c>
      <c r="FZ65" s="2"/>
      <c r="GA65" s="2" t="n">
        <v>1996</v>
      </c>
      <c r="GB65" s="2" t="n">
        <v>2012</v>
      </c>
      <c r="GC65" s="2" t="n">
        <v>2.71</v>
      </c>
      <c r="GD65" s="2" t="n">
        <v>6.87</v>
      </c>
      <c r="GE65" s="2" t="n">
        <v>615</v>
      </c>
      <c r="GF65" s="2" t="n">
        <v>5.24</v>
      </c>
      <c r="GG65" s="2" t="n">
        <v>2.87</v>
      </c>
      <c r="GH65" s="2" t="n">
        <v>100</v>
      </c>
      <c r="GI65" s="2" t="s">
        <v>287</v>
      </c>
      <c r="GJ65" s="2"/>
      <c r="GK65" s="2" t="n">
        <v>2</v>
      </c>
      <c r="GL65" s="2" t="n">
        <v>1</v>
      </c>
      <c r="GM65" s="2" t="s">
        <v>524</v>
      </c>
      <c r="GN65" s="2" t="s">
        <v>525</v>
      </c>
      <c r="GO65" s="2" t="n">
        <v>1</v>
      </c>
      <c r="GP65" s="2" t="s">
        <v>526</v>
      </c>
      <c r="GQ65" s="2" t="n">
        <v>2</v>
      </c>
      <c r="GR65" s="2"/>
      <c r="GS65" s="2" t="s">
        <v>527</v>
      </c>
      <c r="GT65" s="2" t="n">
        <v>1</v>
      </c>
      <c r="GU65" s="2" t="n">
        <v>2511</v>
      </c>
      <c r="GV65" s="2" t="n">
        <v>1</v>
      </c>
      <c r="GW65" s="2" t="n">
        <v>232</v>
      </c>
      <c r="GX65" s="2" t="n">
        <v>1</v>
      </c>
      <c r="GY65" s="2"/>
      <c r="GZ65" s="2"/>
      <c r="HA65" s="2" t="n">
        <v>29</v>
      </c>
      <c r="HB65" s="2" t="s">
        <v>528</v>
      </c>
      <c r="HC65" s="2" t="n">
        <v>2500</v>
      </c>
      <c r="HD65" s="2"/>
      <c r="HE65" s="2"/>
    </row>
    <row r="66" customFormat="false" ht="15" hidden="false" customHeight="false" outlineLevel="0" collapsed="false">
      <c r="A66" s="2" t="s">
        <v>529</v>
      </c>
      <c r="B66" s="2" t="n">
        <v>11992</v>
      </c>
      <c r="C66" s="2" t="n">
        <v>5</v>
      </c>
      <c r="D66" s="2" t="n">
        <v>2</v>
      </c>
      <c r="E66" s="2" t="n">
        <v>1</v>
      </c>
      <c r="F66" s="2"/>
      <c r="G66" s="2" t="n">
        <v>1</v>
      </c>
      <c r="H66" s="2" t="n">
        <v>1</v>
      </c>
      <c r="I66" s="2" t="n">
        <v>1</v>
      </c>
      <c r="J66" s="2" t="n">
        <v>0</v>
      </c>
      <c r="K66" s="2" t="n">
        <v>1</v>
      </c>
      <c r="L66" s="2" t="n">
        <v>1</v>
      </c>
      <c r="M66" s="2" t="n">
        <v>1</v>
      </c>
      <c r="N66" s="2" t="n">
        <v>0</v>
      </c>
      <c r="O66" s="2" t="n">
        <v>1</v>
      </c>
      <c r="P66" s="2" t="n">
        <v>1</v>
      </c>
      <c r="Q66" s="2" t="n">
        <v>0</v>
      </c>
      <c r="R66" s="2" t="n">
        <v>1</v>
      </c>
      <c r="S66" s="2" t="n">
        <v>0</v>
      </c>
      <c r="T66" s="2"/>
      <c r="U66" s="2" t="n">
        <v>7</v>
      </c>
      <c r="V66" s="2"/>
      <c r="W66" s="2" t="n">
        <v>5</v>
      </c>
      <c r="X66" s="2"/>
      <c r="Y66" s="2"/>
      <c r="Z66" s="2" t="n">
        <v>10</v>
      </c>
      <c r="AA66" s="2"/>
      <c r="AB66" s="2"/>
      <c r="AC66" s="2" t="n">
        <v>1</v>
      </c>
      <c r="AD66" s="3" t="s">
        <v>530</v>
      </c>
      <c r="AE66" s="2" t="n">
        <v>3</v>
      </c>
      <c r="AF66" s="2" t="n">
        <v>2</v>
      </c>
      <c r="AG66" s="2"/>
      <c r="AH66" s="2" t="s">
        <v>531</v>
      </c>
      <c r="AI66" s="2"/>
      <c r="AJ66" s="2"/>
      <c r="AK66" s="2"/>
      <c r="AL66" s="2"/>
      <c r="AM66" s="2" t="n">
        <v>1</v>
      </c>
      <c r="AN66" s="2" t="n">
        <v>1</v>
      </c>
      <c r="AO66" s="2" t="n">
        <v>1</v>
      </c>
      <c r="AP66" s="2" t="n">
        <v>1</v>
      </c>
      <c r="AQ66" s="2" t="n">
        <v>1</v>
      </c>
      <c r="AR66" s="2" t="n">
        <v>1</v>
      </c>
      <c r="AS66" s="2" t="n">
        <v>2014</v>
      </c>
      <c r="AT66" s="2" t="s">
        <v>532</v>
      </c>
      <c r="AU66" s="2" t="s">
        <v>428</v>
      </c>
      <c r="AV66" s="2" t="n">
        <v>2014</v>
      </c>
      <c r="AW66" s="2" t="s">
        <v>532</v>
      </c>
      <c r="AX66" s="2" t="s">
        <v>428</v>
      </c>
      <c r="AY66" s="2" t="n">
        <v>1</v>
      </c>
      <c r="AZ66" s="2" t="n">
        <v>2</v>
      </c>
      <c r="BA66" s="2"/>
      <c r="BB66" s="2"/>
      <c r="BC66" s="2" t="n">
        <v>0</v>
      </c>
      <c r="BD66" s="2" t="n">
        <v>0</v>
      </c>
      <c r="BE66" s="2" t="n">
        <v>1</v>
      </c>
      <c r="BF66" s="2" t="n">
        <v>0</v>
      </c>
      <c r="BG66" s="2" t="n">
        <v>0</v>
      </c>
      <c r="BH66" s="2" t="n">
        <v>0</v>
      </c>
      <c r="BI66" s="2"/>
      <c r="BJ66" s="2" t="n">
        <v>1</v>
      </c>
      <c r="BK66" s="2" t="n">
        <v>0</v>
      </c>
      <c r="BL66" s="2" t="n">
        <v>0</v>
      </c>
      <c r="BM66" s="2" t="n">
        <v>1</v>
      </c>
      <c r="BN66" s="2" t="n">
        <v>0</v>
      </c>
      <c r="BO66" s="2" t="n">
        <v>0</v>
      </c>
      <c r="BP66" s="2" t="n">
        <v>0</v>
      </c>
      <c r="BQ66" s="2" t="n">
        <v>0</v>
      </c>
      <c r="BR66" s="2" t="s">
        <v>533</v>
      </c>
      <c r="BS66" s="2"/>
      <c r="BT66" s="2"/>
      <c r="BU66" s="2"/>
      <c r="BV66" s="2" t="n">
        <v>1</v>
      </c>
      <c r="BW66" s="2" t="n">
        <v>2024</v>
      </c>
      <c r="BX66" s="2" t="n">
        <v>1</v>
      </c>
      <c r="BY66" s="2" t="n">
        <v>0.04</v>
      </c>
      <c r="BZ66" s="2" t="n">
        <v>0</v>
      </c>
      <c r="CA66" s="2" t="n">
        <v>1</v>
      </c>
      <c r="CB66" s="2" t="n">
        <v>0</v>
      </c>
      <c r="CC66" s="2" t="n">
        <v>1</v>
      </c>
      <c r="CD66" s="2" t="n">
        <v>0</v>
      </c>
      <c r="CE66" s="2" t="n">
        <v>0</v>
      </c>
      <c r="CF66" s="2" t="s">
        <v>534</v>
      </c>
      <c r="CG66" s="2" t="n">
        <v>3</v>
      </c>
      <c r="CH66" s="2"/>
      <c r="CI66" s="2" t="n">
        <v>44.34</v>
      </c>
      <c r="CJ66" s="2" t="n">
        <v>1</v>
      </c>
      <c r="CK66" s="2" t="n">
        <v>2025</v>
      </c>
      <c r="CL66" s="2" t="n">
        <v>1</v>
      </c>
      <c r="CM66" s="2"/>
      <c r="CN66" s="2" t="n">
        <v>0</v>
      </c>
      <c r="CO66" s="2" t="n">
        <v>0</v>
      </c>
      <c r="CP66" s="2" t="n">
        <v>0</v>
      </c>
      <c r="CQ66" s="2" t="n">
        <v>1</v>
      </c>
      <c r="CR66" s="2" t="n">
        <v>0</v>
      </c>
      <c r="CS66" s="2" t="n">
        <v>0</v>
      </c>
      <c r="CT66" s="2" t="s">
        <v>535</v>
      </c>
      <c r="CU66" s="2" t="n">
        <v>4</v>
      </c>
      <c r="CV66" s="2" t="s">
        <v>535</v>
      </c>
      <c r="CW66" s="2"/>
      <c r="CX66" s="2" t="n">
        <v>1</v>
      </c>
      <c r="CY66" s="2" t="n">
        <v>7</v>
      </c>
      <c r="CZ66" s="2" t="n">
        <v>1</v>
      </c>
      <c r="DA66" s="2" t="n">
        <v>0.04</v>
      </c>
      <c r="DB66" s="2" t="n">
        <v>1</v>
      </c>
      <c r="DC66" s="2" t="n">
        <v>1</v>
      </c>
      <c r="DD66" s="2" t="n">
        <v>1</v>
      </c>
      <c r="DE66" s="2" t="n">
        <v>0</v>
      </c>
      <c r="DF66" s="2" t="n">
        <v>1</v>
      </c>
      <c r="DG66" s="2" t="n">
        <v>0</v>
      </c>
      <c r="DH66" s="2" t="n">
        <v>0</v>
      </c>
      <c r="DI66" s="2" t="s">
        <v>536</v>
      </c>
      <c r="DJ66" s="2" t="n">
        <v>1</v>
      </c>
      <c r="DK66" s="2"/>
      <c r="DL66" s="2" t="n">
        <v>1</v>
      </c>
      <c r="DM66" s="2" t="s">
        <v>537</v>
      </c>
      <c r="DN66" s="2" t="n">
        <v>15.44</v>
      </c>
      <c r="DO66" s="2" t="n">
        <v>1</v>
      </c>
      <c r="DP66" s="2" t="n">
        <v>3700</v>
      </c>
      <c r="DQ66" s="2"/>
      <c r="DR66" s="2"/>
      <c r="DS66" s="2"/>
      <c r="DT66" s="2"/>
      <c r="DU66" s="2"/>
      <c r="DV66" s="2"/>
      <c r="DW66" s="2"/>
      <c r="DX66" s="2"/>
      <c r="DY66" s="2"/>
      <c r="DZ66" s="2"/>
      <c r="EA66" s="2" t="n">
        <v>39</v>
      </c>
      <c r="EB66" s="2" t="n">
        <v>2</v>
      </c>
      <c r="EC66" s="2" t="n">
        <v>3</v>
      </c>
      <c r="ED66" s="2" t="n">
        <v>2</v>
      </c>
      <c r="EE66" s="2" t="n">
        <v>1920</v>
      </c>
      <c r="EF66" s="2" t="n">
        <v>2000</v>
      </c>
      <c r="EG66" s="2" t="n">
        <v>42</v>
      </c>
      <c r="EH66" s="2" t="n">
        <v>20</v>
      </c>
      <c r="EI66" s="2" t="n">
        <v>1.31</v>
      </c>
      <c r="EJ66" s="2"/>
      <c r="EK66" s="2"/>
      <c r="EL66" s="2" t="n">
        <v>7</v>
      </c>
      <c r="EM66" s="2" t="n">
        <v>2.2</v>
      </c>
      <c r="EN66" s="2" t="n">
        <v>5</v>
      </c>
      <c r="EO66" s="2" t="n">
        <v>10</v>
      </c>
      <c r="EP66" s="2" t="n">
        <v>7</v>
      </c>
      <c r="EQ66" s="2" t="n">
        <v>6</v>
      </c>
      <c r="ER66" s="2"/>
      <c r="ES66" s="2"/>
      <c r="ET66" s="2"/>
      <c r="EU66" s="2" t="s">
        <v>538</v>
      </c>
      <c r="EV66" s="2" t="n">
        <v>1</v>
      </c>
      <c r="EW66" s="2" t="n">
        <v>1</v>
      </c>
      <c r="EX66" s="2" t="n">
        <v>1</v>
      </c>
      <c r="EY66" s="2"/>
      <c r="EZ66" s="2" t="n">
        <v>0.02</v>
      </c>
      <c r="FA66" s="2"/>
      <c r="FB66" s="2" t="n">
        <v>0.98</v>
      </c>
      <c r="FC66" s="2"/>
      <c r="FD66" s="2" t="n">
        <v>1</v>
      </c>
      <c r="FE66" s="2" t="n">
        <v>13000</v>
      </c>
      <c r="FF66" s="2"/>
      <c r="FG66" s="2"/>
      <c r="FH66" s="2"/>
      <c r="FI66" s="2"/>
      <c r="FJ66" s="2"/>
      <c r="FK66" s="2"/>
      <c r="FL66" s="2"/>
      <c r="FM66" s="2"/>
      <c r="FN66" s="2"/>
      <c r="FO66" s="2"/>
      <c r="FP66" s="2" t="n">
        <v>35</v>
      </c>
      <c r="FQ66" s="2" t="n">
        <v>1</v>
      </c>
      <c r="FR66" s="2" t="n">
        <v>8</v>
      </c>
      <c r="FS66" s="2" t="n">
        <v>11</v>
      </c>
      <c r="FT66" s="2" t="n">
        <v>0</v>
      </c>
      <c r="FU66" s="2" t="n">
        <v>0</v>
      </c>
      <c r="FV66" s="2" t="n">
        <v>1</v>
      </c>
      <c r="FW66" s="2" t="n">
        <v>0</v>
      </c>
      <c r="FX66" s="2" t="n">
        <v>0</v>
      </c>
      <c r="FY66" s="2" t="n">
        <v>0</v>
      </c>
      <c r="FZ66" s="2" t="s">
        <v>535</v>
      </c>
      <c r="GA66" s="2"/>
      <c r="GB66" s="2"/>
      <c r="GC66" s="2"/>
      <c r="GD66" s="2"/>
      <c r="GE66" s="2"/>
      <c r="GF66" s="2"/>
      <c r="GG66" s="2"/>
      <c r="GH66" s="2" t="n">
        <v>0.85</v>
      </c>
      <c r="GI66" s="2" t="s">
        <v>252</v>
      </c>
      <c r="GJ66" s="2" t="s">
        <v>252</v>
      </c>
      <c r="GK66" s="2" t="n">
        <v>2</v>
      </c>
      <c r="GL66" s="2" t="n">
        <v>2</v>
      </c>
      <c r="GM66" s="2" t="s">
        <v>218</v>
      </c>
      <c r="GN66" s="2"/>
      <c r="GO66" s="2" t="n">
        <v>2</v>
      </c>
      <c r="GP66" s="2"/>
      <c r="GQ66" s="2" t="n">
        <v>2</v>
      </c>
      <c r="GR66" s="2"/>
      <c r="GS66" s="2"/>
      <c r="GT66" s="2" t="n">
        <v>1</v>
      </c>
      <c r="GU66" s="2" t="n">
        <v>3700</v>
      </c>
      <c r="GV66" s="2"/>
      <c r="GW66" s="2"/>
      <c r="GX66" s="2"/>
      <c r="GY66" s="2"/>
      <c r="GZ66" s="2"/>
      <c r="HA66" s="2" t="n">
        <v>30</v>
      </c>
      <c r="HB66" s="2" t="s">
        <v>539</v>
      </c>
      <c r="HC66" s="2"/>
      <c r="HD66" s="2"/>
      <c r="HE66" s="2"/>
    </row>
    <row r="67" customFormat="false" ht="15" hidden="false" customHeight="false" outlineLevel="0" collapsed="false">
      <c r="A67" s="2" t="s">
        <v>540</v>
      </c>
      <c r="B67" s="2" t="n">
        <v>1791</v>
      </c>
      <c r="C67" s="2" t="n">
        <v>3</v>
      </c>
      <c r="D67" s="2" t="n">
        <v>1</v>
      </c>
      <c r="E67" s="2" t="n">
        <v>1</v>
      </c>
      <c r="F67" s="2"/>
      <c r="G67" s="2" t="n">
        <v>1</v>
      </c>
      <c r="H67" s="2" t="n">
        <v>1</v>
      </c>
      <c r="I67" s="2" t="n">
        <v>1</v>
      </c>
      <c r="J67" s="2" t="n">
        <v>1</v>
      </c>
      <c r="K67" s="2" t="n">
        <v>1</v>
      </c>
      <c r="L67" s="2" t="n">
        <v>0</v>
      </c>
      <c r="M67" s="2" t="n">
        <v>1</v>
      </c>
      <c r="N67" s="2" t="n">
        <v>1</v>
      </c>
      <c r="O67" s="2" t="n">
        <v>1</v>
      </c>
      <c r="P67" s="2" t="n">
        <v>1</v>
      </c>
      <c r="Q67" s="2" t="n">
        <v>0</v>
      </c>
      <c r="R67" s="2" t="n">
        <v>0</v>
      </c>
      <c r="S67" s="2" t="n">
        <v>0</v>
      </c>
      <c r="T67" s="2"/>
      <c r="U67" s="2" t="n">
        <v>10</v>
      </c>
      <c r="V67" s="2"/>
      <c r="W67" s="2" t="n">
        <v>45</v>
      </c>
      <c r="X67" s="2"/>
      <c r="Y67" s="2"/>
      <c r="Z67" s="2" t="n">
        <v>38</v>
      </c>
      <c r="AA67" s="2"/>
      <c r="AB67" s="2"/>
      <c r="AC67" s="2" t="n">
        <v>1</v>
      </c>
      <c r="AD67" s="2" t="s">
        <v>541</v>
      </c>
      <c r="AE67" s="2" t="n">
        <v>3</v>
      </c>
      <c r="AF67" s="2" t="n">
        <v>3</v>
      </c>
      <c r="AG67" s="2"/>
      <c r="AH67" s="2" t="s">
        <v>542</v>
      </c>
      <c r="AI67" s="2" t="s">
        <v>543</v>
      </c>
      <c r="AJ67" s="2"/>
      <c r="AK67" s="2"/>
      <c r="AL67" s="2"/>
      <c r="AM67" s="2" t="n">
        <v>1</v>
      </c>
      <c r="AN67" s="2" t="n">
        <v>1</v>
      </c>
      <c r="AO67" s="2" t="n">
        <v>1</v>
      </c>
      <c r="AP67" s="2" t="n">
        <v>1</v>
      </c>
      <c r="AQ67" s="2" t="n">
        <v>1</v>
      </c>
      <c r="AR67" s="2" t="n">
        <v>1</v>
      </c>
      <c r="AS67" s="2"/>
      <c r="AT67" s="2"/>
      <c r="AU67" s="2"/>
      <c r="AV67" s="2"/>
      <c r="AW67" s="2"/>
      <c r="AX67" s="2"/>
      <c r="AY67" s="2" t="n">
        <v>2</v>
      </c>
      <c r="AZ67" s="2" t="n">
        <v>4</v>
      </c>
      <c r="BA67" s="2"/>
      <c r="BB67" s="2" t="s">
        <v>544</v>
      </c>
      <c r="BC67" s="2" t="n">
        <v>0</v>
      </c>
      <c r="BD67" s="2" t="n">
        <v>1</v>
      </c>
      <c r="BE67" s="2" t="n">
        <v>0</v>
      </c>
      <c r="BF67" s="2" t="n">
        <v>0</v>
      </c>
      <c r="BG67" s="2" t="n">
        <v>1</v>
      </c>
      <c r="BH67" s="2" t="n">
        <v>0</v>
      </c>
      <c r="BI67" s="2"/>
      <c r="BJ67" s="2" t="n">
        <v>1</v>
      </c>
      <c r="BK67" s="2" t="n">
        <v>0</v>
      </c>
      <c r="BL67" s="2" t="n">
        <v>0</v>
      </c>
      <c r="BM67" s="2" t="n">
        <v>1</v>
      </c>
      <c r="BN67" s="2" t="n">
        <v>0</v>
      </c>
      <c r="BO67" s="2" t="n">
        <v>0</v>
      </c>
      <c r="BP67" s="2" t="n">
        <v>0</v>
      </c>
      <c r="BQ67" s="2" t="n">
        <v>0</v>
      </c>
      <c r="BR67" s="2" t="s">
        <v>545</v>
      </c>
      <c r="BS67" s="2" t="n">
        <v>2</v>
      </c>
      <c r="BT67" s="2" t="n">
        <v>2</v>
      </c>
      <c r="BU67" s="2" t="n">
        <v>2</v>
      </c>
      <c r="BV67" s="2" t="n">
        <v>2</v>
      </c>
      <c r="BW67" s="2"/>
      <c r="BX67" s="2"/>
      <c r="BY67" s="2"/>
      <c r="BZ67" s="2"/>
      <c r="CA67" s="2"/>
      <c r="CB67" s="2"/>
      <c r="CC67" s="2"/>
      <c r="CD67" s="2"/>
      <c r="CE67" s="2"/>
      <c r="CF67" s="2"/>
      <c r="CG67" s="2"/>
      <c r="CH67" s="2"/>
      <c r="CI67" s="2"/>
      <c r="CJ67" s="2" t="n">
        <v>2</v>
      </c>
      <c r="CK67" s="2"/>
      <c r="CL67" s="2"/>
      <c r="CM67" s="2"/>
      <c r="CN67" s="2"/>
      <c r="CO67" s="2"/>
      <c r="CP67" s="2"/>
      <c r="CQ67" s="2"/>
      <c r="CR67" s="2"/>
      <c r="CS67" s="2"/>
      <c r="CT67" s="2"/>
      <c r="CU67" s="2"/>
      <c r="CV67" s="2"/>
      <c r="CW67" s="2"/>
      <c r="CX67" s="2" t="n">
        <v>2</v>
      </c>
      <c r="CY67" s="2"/>
      <c r="CZ67" s="2"/>
      <c r="DA67" s="2"/>
      <c r="DB67" s="2"/>
      <c r="DC67" s="2"/>
      <c r="DD67" s="2"/>
      <c r="DE67" s="2"/>
      <c r="DF67" s="2"/>
      <c r="DG67" s="2"/>
      <c r="DH67" s="2"/>
      <c r="DI67" s="2"/>
      <c r="DJ67" s="2"/>
      <c r="DK67" s="2"/>
      <c r="DL67" s="2"/>
      <c r="DM67" s="2"/>
      <c r="DN67" s="2"/>
      <c r="DO67" s="2" t="n">
        <v>1</v>
      </c>
      <c r="DP67" s="2" t="n">
        <v>639</v>
      </c>
      <c r="DQ67" s="2" t="n">
        <v>171</v>
      </c>
      <c r="DR67" s="2"/>
      <c r="DS67" s="2"/>
      <c r="DT67" s="2" t="n">
        <v>639</v>
      </c>
      <c r="DU67" s="2" t="n">
        <v>171</v>
      </c>
      <c r="DV67" s="2" t="n">
        <v>93</v>
      </c>
      <c r="DW67" s="2"/>
      <c r="DX67" s="2"/>
      <c r="DY67" s="2"/>
      <c r="DZ67" s="2" t="n">
        <v>13000000</v>
      </c>
      <c r="EA67" s="2" t="n">
        <v>40</v>
      </c>
      <c r="EB67" s="2" t="n">
        <v>3</v>
      </c>
      <c r="EC67" s="2" t="n">
        <v>15</v>
      </c>
      <c r="ED67" s="2" t="n">
        <v>3</v>
      </c>
      <c r="EE67" s="2" t="n">
        <v>1976</v>
      </c>
      <c r="EF67" s="2"/>
      <c r="EG67" s="2" t="n">
        <v>50000</v>
      </c>
      <c r="EH67" s="2"/>
      <c r="EI67" s="2"/>
      <c r="EJ67" s="2"/>
      <c r="EK67" s="2"/>
      <c r="EL67" s="2"/>
      <c r="EM67" s="2"/>
      <c r="EN67" s="2"/>
      <c r="EO67" s="2"/>
      <c r="EP67" s="2"/>
      <c r="EQ67" s="2"/>
      <c r="ER67" s="2"/>
      <c r="ES67" s="2"/>
      <c r="ET67" s="2"/>
      <c r="EU67" s="2"/>
      <c r="EV67" s="2"/>
      <c r="EW67" s="2"/>
      <c r="EX67" s="2"/>
      <c r="EY67" s="2"/>
      <c r="EZ67" s="2"/>
      <c r="FA67" s="2"/>
      <c r="FB67" s="2"/>
      <c r="FC67" s="2" t="s">
        <v>546</v>
      </c>
      <c r="FD67" s="2" t="n">
        <v>1</v>
      </c>
      <c r="FE67" s="2" t="n">
        <v>783</v>
      </c>
      <c r="FF67" s="2" t="n">
        <v>172</v>
      </c>
      <c r="FG67" s="2"/>
      <c r="FH67" s="2"/>
      <c r="FI67" s="2"/>
      <c r="FJ67" s="2"/>
      <c r="FK67" s="2"/>
      <c r="FL67" s="2"/>
      <c r="FM67" s="2"/>
      <c r="FN67" s="2"/>
      <c r="FO67" s="2"/>
      <c r="FP67" s="2" t="n">
        <v>12</v>
      </c>
      <c r="FQ67" s="2" t="n">
        <v>2</v>
      </c>
      <c r="FR67" s="2" t="n">
        <v>2</v>
      </c>
      <c r="FS67" s="2"/>
      <c r="FT67" s="2" t="n">
        <v>0</v>
      </c>
      <c r="FU67" s="2" t="n">
        <v>0</v>
      </c>
      <c r="FV67" s="2" t="n">
        <v>1</v>
      </c>
      <c r="FW67" s="2" t="n">
        <v>0</v>
      </c>
      <c r="FX67" s="2" t="n">
        <v>0</v>
      </c>
      <c r="FY67" s="2" t="n">
        <v>0</v>
      </c>
      <c r="FZ67" s="2" t="s">
        <v>547</v>
      </c>
      <c r="GA67" s="2" t="n">
        <v>1974</v>
      </c>
      <c r="GB67" s="2"/>
      <c r="GC67" s="2"/>
      <c r="GD67" s="2"/>
      <c r="GE67" s="2"/>
      <c r="GF67" s="2"/>
      <c r="GG67" s="2"/>
      <c r="GH67" s="2"/>
      <c r="GI67" s="2"/>
      <c r="GJ67" s="2"/>
      <c r="GK67" s="2"/>
      <c r="GL67" s="2"/>
      <c r="GM67" s="2"/>
      <c r="GN67" s="2"/>
      <c r="GO67" s="2"/>
      <c r="GP67" s="2"/>
      <c r="GQ67" s="2"/>
      <c r="GR67" s="2"/>
      <c r="GS67" s="2" t="s">
        <v>548</v>
      </c>
      <c r="GT67" s="2" t="n">
        <v>2</v>
      </c>
      <c r="GU67" s="2"/>
      <c r="GV67" s="2"/>
      <c r="GW67" s="2"/>
      <c r="GX67" s="2"/>
      <c r="GY67" s="2"/>
      <c r="GZ67" s="2"/>
      <c r="HA67" s="2"/>
      <c r="HB67" s="2"/>
      <c r="HC67" s="2"/>
      <c r="HD67" s="2"/>
      <c r="HE67" s="2" t="s">
        <v>549</v>
      </c>
    </row>
    <row r="68" customFormat="false" ht="15" hidden="false" customHeight="false" outlineLevel="0" collapsed="false">
      <c r="A68" s="2" t="s">
        <v>400</v>
      </c>
      <c r="B68" s="2" t="n">
        <v>115233</v>
      </c>
      <c r="C68" s="2" t="n">
        <v>5</v>
      </c>
      <c r="D68" s="2" t="n">
        <v>2</v>
      </c>
      <c r="E68" s="2" t="n">
        <v>2</v>
      </c>
      <c r="F68" s="2"/>
      <c r="G68" s="2" t="n">
        <v>1</v>
      </c>
      <c r="H68" s="2" t="n">
        <v>1</v>
      </c>
      <c r="I68" s="2" t="n">
        <v>1</v>
      </c>
      <c r="J68" s="2" t="n">
        <v>1</v>
      </c>
      <c r="K68" s="2" t="n">
        <v>1</v>
      </c>
      <c r="L68" s="2" t="n">
        <v>1</v>
      </c>
      <c r="M68" s="2" t="n">
        <v>1</v>
      </c>
      <c r="N68" s="2" t="n">
        <v>1</v>
      </c>
      <c r="O68" s="2" t="n">
        <v>1</v>
      </c>
      <c r="P68" s="2" t="n">
        <v>1</v>
      </c>
      <c r="Q68" s="2" t="n">
        <v>0</v>
      </c>
      <c r="R68" s="2" t="n">
        <v>1</v>
      </c>
      <c r="S68" s="2" t="n">
        <v>1</v>
      </c>
      <c r="T68" s="2" t="s">
        <v>550</v>
      </c>
      <c r="U68" s="2"/>
      <c r="V68" s="2"/>
      <c r="W68" s="2"/>
      <c r="X68" s="2"/>
      <c r="Y68" s="2"/>
      <c r="Z68" s="2" t="n">
        <v>47</v>
      </c>
      <c r="AA68" s="2"/>
      <c r="AB68" s="2" t="n">
        <v>30</v>
      </c>
      <c r="AC68" s="2" t="n">
        <v>1</v>
      </c>
      <c r="AD68" s="3" t="s">
        <v>551</v>
      </c>
      <c r="AE68" s="2" t="n">
        <v>3</v>
      </c>
      <c r="AF68" s="2" t="n">
        <v>2</v>
      </c>
      <c r="AG68" s="2" t="n">
        <v>120</v>
      </c>
      <c r="AH68" s="2"/>
      <c r="AI68" s="2"/>
      <c r="AJ68" s="2" t="n">
        <v>7.73</v>
      </c>
      <c r="AK68" s="2" t="n">
        <v>1.72</v>
      </c>
      <c r="AL68" s="2" t="n">
        <v>2.04</v>
      </c>
      <c r="AM68" s="2"/>
      <c r="AN68" s="2"/>
      <c r="AO68" s="2"/>
      <c r="AP68" s="2" t="n">
        <v>1</v>
      </c>
      <c r="AQ68" s="2" t="n">
        <v>2</v>
      </c>
      <c r="AR68" s="2" t="n">
        <v>2</v>
      </c>
      <c r="AS68" s="2" t="n">
        <v>2021</v>
      </c>
      <c r="AT68" s="2" t="s">
        <v>286</v>
      </c>
      <c r="AU68" s="2" t="s">
        <v>286</v>
      </c>
      <c r="AV68" s="2" t="n">
        <v>2023</v>
      </c>
      <c r="AW68" s="2" t="s">
        <v>436</v>
      </c>
      <c r="AX68" s="2" t="s">
        <v>436</v>
      </c>
      <c r="AY68" s="2" t="n">
        <v>1</v>
      </c>
      <c r="AZ68" s="2" t="n">
        <v>4</v>
      </c>
      <c r="BA68" s="2"/>
      <c r="BB68" s="2" t="s">
        <v>552</v>
      </c>
      <c r="BC68" s="2" t="n">
        <v>0</v>
      </c>
      <c r="BD68" s="2" t="n">
        <v>0</v>
      </c>
      <c r="BE68" s="2" t="n">
        <v>0</v>
      </c>
      <c r="BF68" s="2" t="n">
        <v>1</v>
      </c>
      <c r="BG68" s="2" t="n">
        <v>1</v>
      </c>
      <c r="BH68" s="2" t="n">
        <v>1</v>
      </c>
      <c r="BI68" s="2" t="s">
        <v>553</v>
      </c>
      <c r="BJ68" s="2" t="n">
        <v>1</v>
      </c>
      <c r="BK68" s="2" t="n">
        <v>1</v>
      </c>
      <c r="BL68" s="2" t="n">
        <v>0</v>
      </c>
      <c r="BM68" s="2" t="n">
        <v>1</v>
      </c>
      <c r="BN68" s="2" t="n">
        <v>1</v>
      </c>
      <c r="BO68" s="2" t="n">
        <v>1</v>
      </c>
      <c r="BP68" s="2" t="n">
        <v>0</v>
      </c>
      <c r="BQ68" s="2" t="n">
        <v>0</v>
      </c>
      <c r="BR68" s="2" t="s">
        <v>554</v>
      </c>
      <c r="BS68" s="2" t="n">
        <v>2</v>
      </c>
      <c r="BT68" s="2" t="n">
        <v>2</v>
      </c>
      <c r="BU68" s="2" t="n">
        <v>2</v>
      </c>
      <c r="BV68" s="2" t="n">
        <v>1</v>
      </c>
      <c r="BW68" s="2" t="n">
        <v>2025</v>
      </c>
      <c r="BX68" s="2" t="n">
        <v>1</v>
      </c>
      <c r="BY68" s="2" t="n">
        <v>9.31</v>
      </c>
      <c r="BZ68" s="2" t="n">
        <v>1</v>
      </c>
      <c r="CA68" s="2" t="n">
        <v>1</v>
      </c>
      <c r="CB68" s="2" t="n">
        <v>1</v>
      </c>
      <c r="CC68" s="2" t="n">
        <v>1</v>
      </c>
      <c r="CD68" s="2" t="n">
        <v>0</v>
      </c>
      <c r="CE68" s="2" t="n">
        <v>1</v>
      </c>
      <c r="CF68" s="2" t="s">
        <v>555</v>
      </c>
      <c r="CG68" s="2" t="n">
        <v>5</v>
      </c>
      <c r="CH68" s="2" t="s">
        <v>556</v>
      </c>
      <c r="CI68" s="2" t="n">
        <v>114.52</v>
      </c>
      <c r="CJ68" s="2" t="n">
        <v>1</v>
      </c>
      <c r="CK68" s="2" t="n">
        <v>2025</v>
      </c>
      <c r="CL68" s="2" t="n">
        <v>1</v>
      </c>
      <c r="CM68" s="2" t="n">
        <v>9.43</v>
      </c>
      <c r="CN68" s="2" t="n">
        <v>1</v>
      </c>
      <c r="CO68" s="2" t="n">
        <v>1</v>
      </c>
      <c r="CP68" s="2" t="n">
        <v>1</v>
      </c>
      <c r="CQ68" s="2" t="n">
        <v>0</v>
      </c>
      <c r="CR68" s="2" t="n">
        <v>0</v>
      </c>
      <c r="CS68" s="2" t="n">
        <v>0</v>
      </c>
      <c r="CT68" s="2"/>
      <c r="CU68" s="2" t="n">
        <v>4</v>
      </c>
      <c r="CV68" s="2" t="s">
        <v>557</v>
      </c>
      <c r="CW68" s="2" t="n">
        <v>40.88</v>
      </c>
      <c r="CX68" s="2" t="n">
        <v>1</v>
      </c>
      <c r="CY68" s="2" t="n">
        <v>7</v>
      </c>
      <c r="CZ68" s="2" t="n">
        <v>1</v>
      </c>
      <c r="DA68" s="2" t="n">
        <v>9.43</v>
      </c>
      <c r="DB68" s="2" t="n">
        <v>3</v>
      </c>
      <c r="DC68" s="2" t="n">
        <v>1</v>
      </c>
      <c r="DD68" s="2" t="n">
        <v>1</v>
      </c>
      <c r="DE68" s="2" t="n">
        <v>1</v>
      </c>
      <c r="DF68" s="2" t="n">
        <v>0</v>
      </c>
      <c r="DG68" s="2" t="n">
        <v>0</v>
      </c>
      <c r="DH68" s="2" t="n">
        <v>0</v>
      </c>
      <c r="DI68" s="2"/>
      <c r="DJ68" s="2" t="n">
        <v>1</v>
      </c>
      <c r="DK68" s="2"/>
      <c r="DL68" s="2" t="n">
        <v>1</v>
      </c>
      <c r="DM68" s="2" t="s">
        <v>558</v>
      </c>
      <c r="DN68" s="2" t="n">
        <v>19.48</v>
      </c>
      <c r="DO68" s="2" t="n">
        <v>1</v>
      </c>
      <c r="DP68" s="2" t="n">
        <v>73932</v>
      </c>
      <c r="DQ68" s="2"/>
      <c r="DR68" s="2" t="n">
        <v>73932</v>
      </c>
      <c r="DS68" s="2"/>
      <c r="DT68" s="2" t="n">
        <v>17668</v>
      </c>
      <c r="DU68" s="2"/>
      <c r="DV68" s="2" t="n">
        <v>753</v>
      </c>
      <c r="DW68" s="2"/>
      <c r="DX68" s="2" t="n">
        <v>139</v>
      </c>
      <c r="DY68" s="2"/>
      <c r="DZ68" s="2" t="n">
        <v>4680</v>
      </c>
      <c r="EA68" s="2" t="n">
        <v>280</v>
      </c>
      <c r="EB68" s="2" t="n">
        <v>9</v>
      </c>
      <c r="EC68" s="2" t="n">
        <v>11</v>
      </c>
      <c r="ED68" s="2" t="n">
        <v>0</v>
      </c>
      <c r="EE68" s="2"/>
      <c r="EF68" s="2" t="n">
        <v>2025</v>
      </c>
      <c r="EG68" s="2" t="n">
        <v>18</v>
      </c>
      <c r="EH68" s="2" t="n">
        <v>30</v>
      </c>
      <c r="EI68" s="2" t="n">
        <v>6378000</v>
      </c>
      <c r="EJ68" s="2" t="n">
        <v>6377000</v>
      </c>
      <c r="EK68" s="2" t="n">
        <v>10639000</v>
      </c>
      <c r="EL68" s="2" t="n">
        <v>4</v>
      </c>
      <c r="EM68" s="2" t="n">
        <v>0</v>
      </c>
      <c r="EN68" s="2" t="n">
        <v>1</v>
      </c>
      <c r="EO68" s="2" t="n">
        <v>1</v>
      </c>
      <c r="EP68" s="2" t="n">
        <v>1</v>
      </c>
      <c r="EQ68" s="2" t="n">
        <v>1</v>
      </c>
      <c r="ER68" s="2" t="s">
        <v>250</v>
      </c>
      <c r="ES68" s="2" t="n">
        <v>0</v>
      </c>
      <c r="ET68" s="2" t="s">
        <v>372</v>
      </c>
      <c r="EU68" s="2" t="s">
        <v>513</v>
      </c>
      <c r="EV68" s="2" t="n">
        <v>1</v>
      </c>
      <c r="EW68" s="2" t="n">
        <v>1</v>
      </c>
      <c r="EX68" s="2" t="n">
        <v>2</v>
      </c>
      <c r="EY68" s="2"/>
      <c r="EZ68" s="2" t="n">
        <v>100</v>
      </c>
      <c r="FA68" s="2" t="n">
        <v>0</v>
      </c>
      <c r="FB68" s="2" t="n">
        <v>0</v>
      </c>
      <c r="FC68" s="2" t="s">
        <v>254</v>
      </c>
      <c r="FD68" s="2" t="n">
        <v>1</v>
      </c>
      <c r="FE68" s="2" t="n">
        <v>124000</v>
      </c>
      <c r="FF68" s="2" t="n">
        <v>0</v>
      </c>
      <c r="FG68" s="2"/>
      <c r="FH68" s="2"/>
      <c r="FI68" s="2" t="n">
        <v>24627</v>
      </c>
      <c r="FJ68" s="2" t="n">
        <v>1</v>
      </c>
      <c r="FK68" s="2" t="n">
        <v>1092</v>
      </c>
      <c r="FL68" s="2" t="n">
        <v>1</v>
      </c>
      <c r="FM68" s="2" t="n">
        <v>155</v>
      </c>
      <c r="FN68" s="2" t="n">
        <v>1</v>
      </c>
      <c r="FO68" s="2"/>
      <c r="FP68" s="2" t="n">
        <v>327</v>
      </c>
      <c r="FQ68" s="2" t="n">
        <v>6</v>
      </c>
      <c r="FR68" s="2" t="n">
        <v>2</v>
      </c>
      <c r="FS68" s="2" t="n">
        <v>2</v>
      </c>
      <c r="FT68" s="2" t="n">
        <v>0</v>
      </c>
      <c r="FU68" s="2" t="n">
        <v>0</v>
      </c>
      <c r="FV68" s="2" t="n">
        <v>1</v>
      </c>
      <c r="FW68" s="2" t="n">
        <v>0</v>
      </c>
      <c r="FX68" s="2" t="n">
        <v>0</v>
      </c>
      <c r="FY68" s="2" t="n">
        <v>1</v>
      </c>
      <c r="FZ68" s="2" t="s">
        <v>559</v>
      </c>
      <c r="GA68" s="2" t="n">
        <v>1954</v>
      </c>
      <c r="GB68" s="2" t="n">
        <v>2000</v>
      </c>
      <c r="GC68" s="2" t="n">
        <v>15</v>
      </c>
      <c r="GD68" s="2" t="n">
        <v>25</v>
      </c>
      <c r="GE68" s="2" t="n">
        <v>12.21</v>
      </c>
      <c r="GF68" s="2" t="n">
        <v>35.46</v>
      </c>
      <c r="GG68" s="2" t="n">
        <v>24.78</v>
      </c>
      <c r="GH68" s="2" t="n">
        <v>61</v>
      </c>
      <c r="GI68" s="2" t="s">
        <v>560</v>
      </c>
      <c r="GJ68" s="2" t="s">
        <v>560</v>
      </c>
      <c r="GK68" s="2" t="n">
        <v>1</v>
      </c>
      <c r="GL68" s="2" t="n">
        <v>2</v>
      </c>
      <c r="GM68" s="2" t="s">
        <v>372</v>
      </c>
      <c r="GN68" s="2"/>
      <c r="GO68" s="2" t="n">
        <v>1</v>
      </c>
      <c r="GP68" s="2" t="s">
        <v>561</v>
      </c>
      <c r="GQ68" s="2" t="n">
        <v>2</v>
      </c>
      <c r="GR68" s="2"/>
      <c r="GS68" s="2" t="s">
        <v>254</v>
      </c>
      <c r="GT68" s="2" t="n">
        <v>1</v>
      </c>
      <c r="GU68" s="2" t="n">
        <v>24671</v>
      </c>
      <c r="GV68" s="2"/>
      <c r="GW68" s="2" t="n">
        <v>1034</v>
      </c>
      <c r="GX68" s="2"/>
      <c r="GY68" s="2" t="n">
        <v>168</v>
      </c>
      <c r="GZ68" s="2"/>
      <c r="HA68" s="2"/>
      <c r="HB68" s="2" t="s">
        <v>230</v>
      </c>
      <c r="HC68" s="2" t="n">
        <v>2500</v>
      </c>
      <c r="HD68" s="2" t="s">
        <v>254</v>
      </c>
      <c r="HE68" s="2"/>
    </row>
    <row r="69" customFormat="false" ht="15" hidden="false" customHeight="false" outlineLevel="0" collapsed="false">
      <c r="A69" s="2" t="s">
        <v>562</v>
      </c>
      <c r="B69" s="2" t="n">
        <v>410</v>
      </c>
      <c r="C69" s="2" t="n">
        <v>1</v>
      </c>
      <c r="D69" s="2" t="n">
        <v>11</v>
      </c>
      <c r="E69" s="2" t="n">
        <v>1</v>
      </c>
      <c r="F69" s="2"/>
      <c r="G69" s="2" t="n">
        <v>1</v>
      </c>
      <c r="H69" s="2" t="n">
        <v>1</v>
      </c>
      <c r="I69" s="2" t="n">
        <v>1</v>
      </c>
      <c r="J69" s="2" t="n">
        <v>1</v>
      </c>
      <c r="K69" s="2" t="n">
        <v>1</v>
      </c>
      <c r="L69" s="2" t="n">
        <v>1</v>
      </c>
      <c r="M69" s="2" t="n">
        <v>1</v>
      </c>
      <c r="N69" s="2" t="n">
        <v>1</v>
      </c>
      <c r="O69" s="2" t="n">
        <v>1</v>
      </c>
      <c r="P69" s="2" t="n">
        <v>1</v>
      </c>
      <c r="Q69" s="2" t="n">
        <v>0</v>
      </c>
      <c r="R69" s="2" t="n">
        <v>1</v>
      </c>
      <c r="S69" s="2" t="n">
        <v>0</v>
      </c>
      <c r="T69" s="2"/>
      <c r="U69" s="2" t="n">
        <v>20</v>
      </c>
      <c r="V69" s="2"/>
      <c r="W69" s="2" t="n">
        <v>5</v>
      </c>
      <c r="X69" s="2"/>
      <c r="Y69" s="2"/>
      <c r="Z69" s="2" t="n">
        <v>60</v>
      </c>
      <c r="AA69" s="2" t="n">
        <v>10</v>
      </c>
      <c r="AB69" s="2" t="n">
        <v>5</v>
      </c>
      <c r="AC69" s="2" t="n">
        <v>2</v>
      </c>
      <c r="AD69" s="2"/>
      <c r="AE69" s="2" t="n">
        <v>2</v>
      </c>
      <c r="AF69" s="2"/>
      <c r="AG69" s="2"/>
      <c r="AH69" s="2" t="s">
        <v>563</v>
      </c>
      <c r="AI69" s="2"/>
      <c r="AJ69" s="2" t="n">
        <v>12.88</v>
      </c>
      <c r="AK69" s="2"/>
      <c r="AL69" s="2"/>
      <c r="AM69" s="2"/>
      <c r="AN69" s="2"/>
      <c r="AO69" s="2"/>
      <c r="AP69" s="2" t="n">
        <v>1</v>
      </c>
      <c r="AQ69" s="2"/>
      <c r="AR69" s="2"/>
      <c r="AS69" s="2" t="n">
        <v>2015</v>
      </c>
      <c r="AT69" s="2"/>
      <c r="AU69" s="2"/>
      <c r="AV69" s="2" t="n">
        <v>2018</v>
      </c>
      <c r="AW69" s="2"/>
      <c r="AX69" s="2"/>
      <c r="AY69" s="2" t="n">
        <v>2</v>
      </c>
      <c r="AZ69" s="2" t="n">
        <v>2</v>
      </c>
      <c r="BA69" s="2"/>
      <c r="BB69" s="2"/>
      <c r="BC69" s="2" t="n">
        <v>1</v>
      </c>
      <c r="BD69" s="2" t="n">
        <v>1</v>
      </c>
      <c r="BE69" s="2" t="n">
        <v>0</v>
      </c>
      <c r="BF69" s="2" t="n">
        <v>1</v>
      </c>
      <c r="BG69" s="2" t="n">
        <v>1</v>
      </c>
      <c r="BH69" s="2" t="n">
        <v>1</v>
      </c>
      <c r="BI69" s="2" t="s">
        <v>564</v>
      </c>
      <c r="BJ69" s="2" t="n">
        <v>2</v>
      </c>
      <c r="BK69" s="2"/>
      <c r="BL69" s="2"/>
      <c r="BM69" s="2"/>
      <c r="BN69" s="2"/>
      <c r="BO69" s="2"/>
      <c r="BP69" s="2"/>
      <c r="BQ69" s="2"/>
      <c r="BR69" s="2"/>
      <c r="BS69" s="2" t="n">
        <v>2</v>
      </c>
      <c r="BT69" s="2"/>
      <c r="BU69" s="2"/>
      <c r="BV69" s="2" t="n">
        <v>2</v>
      </c>
      <c r="BW69" s="2"/>
      <c r="BX69" s="2"/>
      <c r="BY69" s="2"/>
      <c r="BZ69" s="2"/>
      <c r="CA69" s="2"/>
      <c r="CB69" s="2"/>
      <c r="CC69" s="2"/>
      <c r="CD69" s="2"/>
      <c r="CE69" s="2"/>
      <c r="CF69" s="2"/>
      <c r="CG69" s="2"/>
      <c r="CH69" s="2"/>
      <c r="CI69" s="2"/>
      <c r="CJ69" s="2" t="n">
        <v>2</v>
      </c>
      <c r="CK69" s="2"/>
      <c r="CL69" s="2"/>
      <c r="CM69" s="2"/>
      <c r="CN69" s="2"/>
      <c r="CO69" s="2"/>
      <c r="CP69" s="2"/>
      <c r="CQ69" s="2"/>
      <c r="CR69" s="2"/>
      <c r="CS69" s="2"/>
      <c r="CT69" s="2"/>
      <c r="CU69" s="2"/>
      <c r="CV69" s="2"/>
      <c r="CW69" s="2"/>
      <c r="CX69" s="2" t="n">
        <v>2</v>
      </c>
      <c r="CY69" s="2"/>
      <c r="CZ69" s="2"/>
      <c r="DA69" s="2"/>
      <c r="DB69" s="2"/>
      <c r="DC69" s="2"/>
      <c r="DD69" s="2"/>
      <c r="DE69" s="2"/>
      <c r="DF69" s="2"/>
      <c r="DG69" s="2"/>
      <c r="DH69" s="2"/>
      <c r="DI69" s="2"/>
      <c r="DJ69" s="2"/>
      <c r="DK69" s="2"/>
      <c r="DL69" s="2"/>
      <c r="DM69" s="2"/>
      <c r="DN69" s="2"/>
      <c r="DO69" s="2" t="n">
        <v>2</v>
      </c>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t="n">
        <v>2</v>
      </c>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t="n">
        <v>2</v>
      </c>
      <c r="GU69" s="2"/>
      <c r="GV69" s="2"/>
      <c r="GW69" s="2"/>
      <c r="GX69" s="2"/>
      <c r="GY69" s="2"/>
      <c r="GZ69" s="2"/>
      <c r="HA69" s="2"/>
      <c r="HB69" s="2"/>
      <c r="HC69" s="2"/>
      <c r="HD69" s="2"/>
      <c r="HE69" s="2"/>
    </row>
    <row r="70" customFormat="false" ht="15" hidden="false" customHeight="false" outlineLevel="0" collapsed="false">
      <c r="A70" s="2" t="s">
        <v>565</v>
      </c>
      <c r="B70" s="2" t="n">
        <v>177567</v>
      </c>
      <c r="C70" s="2" t="n">
        <v>5</v>
      </c>
      <c r="D70" s="2" t="n">
        <v>3</v>
      </c>
      <c r="E70" s="2" t="n">
        <v>1</v>
      </c>
      <c r="F70" s="2"/>
      <c r="G70" s="2" t="n">
        <v>1</v>
      </c>
      <c r="H70" s="2" t="n">
        <v>1</v>
      </c>
      <c r="I70" s="2" t="n">
        <v>1</v>
      </c>
      <c r="J70" s="2" t="n">
        <v>1</v>
      </c>
      <c r="K70" s="2" t="n">
        <v>1</v>
      </c>
      <c r="L70" s="2" t="n">
        <v>1</v>
      </c>
      <c r="M70" s="2" t="n">
        <v>1</v>
      </c>
      <c r="N70" s="2" t="n">
        <v>1</v>
      </c>
      <c r="O70" s="2" t="n">
        <v>1</v>
      </c>
      <c r="P70" s="2" t="n">
        <v>0</v>
      </c>
      <c r="Q70" s="2" t="n">
        <v>0</v>
      </c>
      <c r="R70" s="2" t="n">
        <v>1</v>
      </c>
      <c r="S70" s="2" t="n">
        <v>0</v>
      </c>
      <c r="T70" s="2"/>
      <c r="U70" s="2"/>
      <c r="V70" s="2"/>
      <c r="W70" s="2"/>
      <c r="X70" s="2"/>
      <c r="Y70" s="2"/>
      <c r="Z70" s="2" t="n">
        <v>16</v>
      </c>
      <c r="AA70" s="2" t="n">
        <v>25.01</v>
      </c>
      <c r="AB70" s="2" t="n">
        <v>23</v>
      </c>
      <c r="AC70" s="2" t="n">
        <v>1</v>
      </c>
      <c r="AD70" s="2" t="s">
        <v>566</v>
      </c>
      <c r="AE70" s="2" t="n">
        <v>3</v>
      </c>
      <c r="AF70" s="2" t="n">
        <v>3</v>
      </c>
      <c r="AG70" s="2"/>
      <c r="AH70" s="2" t="s">
        <v>567</v>
      </c>
      <c r="AI70" s="2" t="s">
        <v>568</v>
      </c>
      <c r="AJ70" s="2" t="n">
        <v>13</v>
      </c>
      <c r="AK70" s="2" t="n">
        <v>14</v>
      </c>
      <c r="AL70" s="2" t="n">
        <v>1</v>
      </c>
      <c r="AM70" s="2"/>
      <c r="AN70" s="2"/>
      <c r="AO70" s="2"/>
      <c r="AP70" s="2" t="n">
        <v>1</v>
      </c>
      <c r="AQ70" s="2" t="n">
        <v>1</v>
      </c>
      <c r="AR70" s="2" t="n">
        <v>1</v>
      </c>
      <c r="AS70" s="2" t="n">
        <v>2024</v>
      </c>
      <c r="AT70" s="2" t="s">
        <v>294</v>
      </c>
      <c r="AU70" s="2" t="s">
        <v>294</v>
      </c>
      <c r="AV70" s="2" t="n">
        <v>2018</v>
      </c>
      <c r="AW70" s="2" t="s">
        <v>569</v>
      </c>
      <c r="AX70" s="2" t="s">
        <v>569</v>
      </c>
      <c r="AY70" s="2" t="n">
        <v>2</v>
      </c>
      <c r="AZ70" s="2" t="n">
        <v>1</v>
      </c>
      <c r="BA70" s="2" t="s">
        <v>570</v>
      </c>
      <c r="BB70" s="2"/>
      <c r="BC70" s="2" t="n">
        <v>1</v>
      </c>
      <c r="BD70" s="2" t="n">
        <v>1</v>
      </c>
      <c r="BE70" s="2" t="n">
        <v>0</v>
      </c>
      <c r="BF70" s="2" t="n">
        <v>0</v>
      </c>
      <c r="BG70" s="2" t="n">
        <v>1</v>
      </c>
      <c r="BH70" s="2" t="n">
        <v>1</v>
      </c>
      <c r="BI70" s="2"/>
      <c r="BJ70" s="2" t="n">
        <v>1</v>
      </c>
      <c r="BK70" s="2" t="n">
        <v>0</v>
      </c>
      <c r="BL70" s="2" t="n">
        <v>0</v>
      </c>
      <c r="BM70" s="2" t="n">
        <v>1</v>
      </c>
      <c r="BN70" s="2" t="n">
        <v>0</v>
      </c>
      <c r="BO70" s="2" t="n">
        <v>0</v>
      </c>
      <c r="BP70" s="2" t="n">
        <v>0</v>
      </c>
      <c r="BQ70" s="2" t="n">
        <v>0</v>
      </c>
      <c r="BR70" s="2" t="s">
        <v>571</v>
      </c>
      <c r="BS70" s="2" t="n">
        <v>2</v>
      </c>
      <c r="BT70" s="2" t="n">
        <v>2</v>
      </c>
      <c r="BU70" s="2" t="n">
        <v>2</v>
      </c>
      <c r="BV70" s="2" t="n">
        <v>1</v>
      </c>
      <c r="BW70" s="2" t="n">
        <v>2025</v>
      </c>
      <c r="BX70" s="2" t="n">
        <v>1</v>
      </c>
      <c r="BY70" s="2" t="n">
        <v>4.5</v>
      </c>
      <c r="BZ70" s="2" t="n">
        <v>1</v>
      </c>
      <c r="CA70" s="2" t="n">
        <v>1</v>
      </c>
      <c r="CB70" s="2" t="n">
        <v>1</v>
      </c>
      <c r="CC70" s="2" t="n">
        <v>0</v>
      </c>
      <c r="CD70" s="2" t="n">
        <v>0</v>
      </c>
      <c r="CE70" s="2" t="n">
        <v>1</v>
      </c>
      <c r="CF70" s="2"/>
      <c r="CG70" s="2" t="n">
        <v>4</v>
      </c>
      <c r="CH70" s="2"/>
      <c r="CI70" s="2"/>
      <c r="CJ70" s="2" t="n">
        <v>1</v>
      </c>
      <c r="CK70" s="2" t="n">
        <v>2025</v>
      </c>
      <c r="CL70" s="2" t="n">
        <v>1</v>
      </c>
      <c r="CM70" s="2" t="n">
        <v>4.5</v>
      </c>
      <c r="CN70" s="2" t="n">
        <v>1</v>
      </c>
      <c r="CO70" s="2" t="n">
        <v>1</v>
      </c>
      <c r="CP70" s="2" t="n">
        <v>1</v>
      </c>
      <c r="CQ70" s="2" t="n">
        <v>0</v>
      </c>
      <c r="CR70" s="2" t="n">
        <v>0</v>
      </c>
      <c r="CS70" s="2" t="n">
        <v>1</v>
      </c>
      <c r="CT70" s="2"/>
      <c r="CU70" s="2" t="n">
        <v>4</v>
      </c>
      <c r="CV70" s="2" t="s">
        <v>572</v>
      </c>
      <c r="CW70" s="2"/>
      <c r="CX70" s="2" t="n">
        <v>1</v>
      </c>
      <c r="CY70" s="2" t="n">
        <v>7</v>
      </c>
      <c r="CZ70" s="2" t="n">
        <v>1</v>
      </c>
      <c r="DA70" s="2" t="n">
        <v>4.5</v>
      </c>
      <c r="DB70" s="2" t="n">
        <v>1</v>
      </c>
      <c r="DC70" s="2" t="n">
        <v>0</v>
      </c>
      <c r="DD70" s="2" t="n">
        <v>1</v>
      </c>
      <c r="DE70" s="2" t="n">
        <v>1</v>
      </c>
      <c r="DF70" s="2" t="n">
        <v>0</v>
      </c>
      <c r="DG70" s="2" t="n">
        <v>1</v>
      </c>
      <c r="DH70" s="2" t="n">
        <v>0</v>
      </c>
      <c r="DI70" s="2"/>
      <c r="DJ70" s="2" t="n">
        <v>1</v>
      </c>
      <c r="DK70" s="2"/>
      <c r="DL70" s="2" t="n">
        <v>1</v>
      </c>
      <c r="DM70" s="2" t="s">
        <v>573</v>
      </c>
      <c r="DN70" s="2" t="n">
        <v>21.64</v>
      </c>
      <c r="DO70" s="2" t="n">
        <v>1</v>
      </c>
      <c r="DP70" s="2" t="n">
        <v>177567</v>
      </c>
      <c r="DQ70" s="2" t="n">
        <v>35557</v>
      </c>
      <c r="DR70" s="2" t="n">
        <v>177567</v>
      </c>
      <c r="DS70" s="2" t="n">
        <v>35557</v>
      </c>
      <c r="DT70" s="2" t="n">
        <v>42329</v>
      </c>
      <c r="DU70" s="2" t="n">
        <v>8269</v>
      </c>
      <c r="DV70" s="2" t="n">
        <v>3029</v>
      </c>
      <c r="DW70" s="2" t="n">
        <v>8</v>
      </c>
      <c r="DX70" s="2" t="n">
        <v>2957</v>
      </c>
      <c r="DY70" s="2" t="n">
        <v>4</v>
      </c>
      <c r="DZ70" s="2" t="n">
        <v>66305</v>
      </c>
      <c r="EA70" s="2" t="n">
        <v>790.5</v>
      </c>
      <c r="EB70" s="2"/>
      <c r="EC70" s="2" t="n">
        <v>28</v>
      </c>
      <c r="ED70" s="2" t="n">
        <v>13</v>
      </c>
      <c r="EE70" s="2" t="n">
        <v>1936</v>
      </c>
      <c r="EF70" s="2" t="n">
        <v>2021</v>
      </c>
      <c r="EG70" s="2"/>
      <c r="EH70" s="2"/>
      <c r="EI70" s="2" t="n">
        <v>28.8</v>
      </c>
      <c r="EJ70" s="2" t="n">
        <v>0.8585</v>
      </c>
      <c r="EK70" s="2" t="n">
        <v>50.76</v>
      </c>
      <c r="EL70" s="2"/>
      <c r="EM70" s="2"/>
      <c r="EN70" s="2"/>
      <c r="EO70" s="2" t="n">
        <v>3</v>
      </c>
      <c r="EP70" s="2"/>
      <c r="EQ70" s="2" t="n">
        <v>5</v>
      </c>
      <c r="ER70" s="2"/>
      <c r="ES70" s="2"/>
      <c r="ET70" s="2"/>
      <c r="EU70" s="2" t="s">
        <v>297</v>
      </c>
      <c r="EV70" s="2" t="n">
        <v>1</v>
      </c>
      <c r="EW70" s="2" t="n">
        <v>1</v>
      </c>
      <c r="EX70" s="2" t="n">
        <v>1</v>
      </c>
      <c r="EY70" s="2"/>
      <c r="EZ70" s="2" t="n">
        <v>8</v>
      </c>
      <c r="FA70" s="2" t="n">
        <v>92</v>
      </c>
      <c r="FB70" s="2"/>
      <c r="FC70" s="2"/>
      <c r="FD70" s="2" t="n">
        <v>1</v>
      </c>
      <c r="FE70" s="2" t="n">
        <v>177567</v>
      </c>
      <c r="FF70" s="2" t="n">
        <v>77211</v>
      </c>
      <c r="FG70" s="2" t="n">
        <v>177567</v>
      </c>
      <c r="FH70" s="2" t="n">
        <v>77211</v>
      </c>
      <c r="FI70" s="2" t="n">
        <v>42241</v>
      </c>
      <c r="FJ70" s="2" t="n">
        <v>5</v>
      </c>
      <c r="FK70" s="2" t="n">
        <v>3014</v>
      </c>
      <c r="FL70" s="2" t="n">
        <v>8</v>
      </c>
      <c r="FM70" s="2" t="n">
        <v>2242</v>
      </c>
      <c r="FN70" s="2" t="n">
        <v>4</v>
      </c>
      <c r="FO70" s="2" t="n">
        <v>5.26</v>
      </c>
      <c r="FP70" s="2" t="n">
        <v>833.1</v>
      </c>
      <c r="FQ70" s="2" t="n">
        <v>31</v>
      </c>
      <c r="FR70" s="2" t="n">
        <v>3</v>
      </c>
      <c r="FS70" s="2" t="n">
        <v>10</v>
      </c>
      <c r="FT70" s="2" t="n">
        <v>0</v>
      </c>
      <c r="FU70" s="2" t="n">
        <v>0</v>
      </c>
      <c r="FV70" s="2" t="n">
        <v>0</v>
      </c>
      <c r="FW70" s="2" t="n">
        <v>0</v>
      </c>
      <c r="FX70" s="2" t="n">
        <v>0</v>
      </c>
      <c r="FY70" s="2" t="n">
        <v>1</v>
      </c>
      <c r="FZ70" s="2"/>
      <c r="GA70" s="2" t="n">
        <v>1964</v>
      </c>
      <c r="GB70" s="2" t="n">
        <v>2021</v>
      </c>
      <c r="GC70" s="2" t="n">
        <v>35</v>
      </c>
      <c r="GD70" s="2" t="n">
        <v>205</v>
      </c>
      <c r="GE70" s="2" t="n">
        <v>146.38</v>
      </c>
      <c r="GF70" s="2" t="n">
        <v>16117</v>
      </c>
      <c r="GG70" s="2" t="n">
        <v>76.86</v>
      </c>
      <c r="GH70" s="2"/>
      <c r="GI70" s="2"/>
      <c r="GJ70" s="2"/>
      <c r="GK70" s="2" t="n">
        <v>1</v>
      </c>
      <c r="GL70" s="2" t="n">
        <v>1</v>
      </c>
      <c r="GM70" s="2" t="s">
        <v>574</v>
      </c>
      <c r="GN70" s="2" t="s">
        <v>575</v>
      </c>
      <c r="GO70" s="2" t="n">
        <v>1</v>
      </c>
      <c r="GP70" s="2" t="s">
        <v>576</v>
      </c>
      <c r="GQ70" s="2" t="n">
        <v>2</v>
      </c>
      <c r="GR70" s="2"/>
      <c r="GS70" s="2"/>
      <c r="GT70" s="2" t="n">
        <v>1</v>
      </c>
      <c r="GU70" s="2" t="n">
        <v>42696</v>
      </c>
      <c r="GV70" s="2"/>
      <c r="GW70" s="2" t="n">
        <v>2552</v>
      </c>
      <c r="GX70" s="2"/>
      <c r="GY70" s="2" t="n">
        <v>1972</v>
      </c>
      <c r="GZ70" s="2"/>
      <c r="HA70" s="2" t="n">
        <v>520.8</v>
      </c>
      <c r="HB70" s="2" t="s">
        <v>577</v>
      </c>
      <c r="HC70" s="2" t="n">
        <v>3000</v>
      </c>
      <c r="HD70" s="2"/>
      <c r="HE70" s="2"/>
    </row>
    <row r="71" customFormat="false" ht="15" hidden="false" customHeight="false" outlineLevel="0" collapsed="false">
      <c r="A71" s="2" t="s">
        <v>457</v>
      </c>
      <c r="B71" s="2" t="n">
        <v>2456</v>
      </c>
      <c r="C71" s="2" t="n">
        <v>3</v>
      </c>
      <c r="D71" s="2" t="n">
        <v>3</v>
      </c>
      <c r="E71" s="2" t="n">
        <v>1</v>
      </c>
      <c r="F71" s="2"/>
      <c r="G71" s="2" t="n">
        <v>1</v>
      </c>
      <c r="H71" s="2" t="n">
        <v>1</v>
      </c>
      <c r="I71" s="2" t="n">
        <v>1</v>
      </c>
      <c r="J71" s="2" t="n">
        <v>0</v>
      </c>
      <c r="K71" s="2" t="n">
        <v>1</v>
      </c>
      <c r="L71" s="2" t="n">
        <v>0</v>
      </c>
      <c r="M71" s="2" t="n">
        <v>1</v>
      </c>
      <c r="N71" s="2" t="n">
        <v>1</v>
      </c>
      <c r="O71" s="2" t="n">
        <v>1</v>
      </c>
      <c r="P71" s="2" t="n">
        <v>1</v>
      </c>
      <c r="Q71" s="2" t="n">
        <v>0</v>
      </c>
      <c r="R71" s="2" t="n">
        <v>1</v>
      </c>
      <c r="S71" s="2" t="n">
        <v>0</v>
      </c>
      <c r="T71" s="2"/>
      <c r="U71" s="2" t="n">
        <v>5</v>
      </c>
      <c r="V71" s="2"/>
      <c r="W71" s="2" t="n">
        <v>1</v>
      </c>
      <c r="X71" s="2"/>
      <c r="Y71" s="2"/>
      <c r="Z71" s="2" t="n">
        <v>30</v>
      </c>
      <c r="AA71" s="2"/>
      <c r="AB71" s="2" t="n">
        <v>30</v>
      </c>
      <c r="AC71" s="2" t="n">
        <v>2</v>
      </c>
      <c r="AD71" s="2"/>
      <c r="AE71" s="2" t="n">
        <v>1</v>
      </c>
      <c r="AF71" s="2"/>
      <c r="AG71" s="2" t="n">
        <v>30</v>
      </c>
      <c r="AH71" s="2"/>
      <c r="AI71" s="2"/>
      <c r="AJ71" s="2" t="n">
        <v>27</v>
      </c>
      <c r="AK71" s="2" t="n">
        <v>19</v>
      </c>
      <c r="AL71" s="2"/>
      <c r="AM71" s="2"/>
      <c r="AN71" s="2"/>
      <c r="AO71" s="2" t="n">
        <v>1</v>
      </c>
      <c r="AP71" s="2" t="n">
        <v>2</v>
      </c>
      <c r="AQ71" s="2" t="n">
        <v>2</v>
      </c>
      <c r="AR71" s="2" t="n">
        <v>2</v>
      </c>
      <c r="AS71" s="2" t="n">
        <v>2025</v>
      </c>
      <c r="AT71" s="2" t="s">
        <v>287</v>
      </c>
      <c r="AU71" s="2" t="s">
        <v>250</v>
      </c>
      <c r="AV71" s="2" t="n">
        <v>2025</v>
      </c>
      <c r="AW71" s="2" t="s">
        <v>287</v>
      </c>
      <c r="AX71" s="2" t="s">
        <v>250</v>
      </c>
      <c r="AY71" s="2" t="n">
        <v>1</v>
      </c>
      <c r="AZ71" s="2" t="n">
        <v>4</v>
      </c>
      <c r="BA71" s="2"/>
      <c r="BB71" s="2" t="s">
        <v>578</v>
      </c>
      <c r="BC71" s="2" t="n">
        <v>0</v>
      </c>
      <c r="BD71" s="2" t="n">
        <v>1</v>
      </c>
      <c r="BE71" s="2" t="n">
        <v>0</v>
      </c>
      <c r="BF71" s="2" t="n">
        <v>0</v>
      </c>
      <c r="BG71" s="2" t="n">
        <v>1</v>
      </c>
      <c r="BH71" s="2" t="n">
        <v>1</v>
      </c>
      <c r="BI71" s="2"/>
      <c r="BJ71" s="2" t="n">
        <v>2</v>
      </c>
      <c r="BK71" s="2" t="n">
        <v>0</v>
      </c>
      <c r="BL71" s="2" t="n">
        <v>0</v>
      </c>
      <c r="BM71" s="2" t="n">
        <v>1</v>
      </c>
      <c r="BN71" s="2" t="n">
        <v>0</v>
      </c>
      <c r="BO71" s="2" t="n">
        <v>0</v>
      </c>
      <c r="BP71" s="2" t="n">
        <v>0</v>
      </c>
      <c r="BQ71" s="2" t="n">
        <v>0</v>
      </c>
      <c r="BR71" s="2" t="s">
        <v>254</v>
      </c>
      <c r="BS71" s="2" t="n">
        <v>1</v>
      </c>
      <c r="BT71" s="2" t="n">
        <v>1</v>
      </c>
      <c r="BU71" s="2"/>
      <c r="BV71" s="2" t="n">
        <v>1</v>
      </c>
      <c r="BW71" s="2" t="n">
        <v>2025</v>
      </c>
      <c r="BX71" s="2" t="n">
        <v>1</v>
      </c>
      <c r="BY71" s="2" t="n">
        <v>2.9</v>
      </c>
      <c r="BZ71" s="2" t="n">
        <v>0</v>
      </c>
      <c r="CA71" s="2" t="n">
        <v>1</v>
      </c>
      <c r="CB71" s="2" t="n">
        <v>0</v>
      </c>
      <c r="CC71" s="2" t="n">
        <v>0</v>
      </c>
      <c r="CD71" s="2" t="n">
        <v>0</v>
      </c>
      <c r="CE71" s="2" t="n">
        <v>0</v>
      </c>
      <c r="CF71" s="2"/>
      <c r="CG71" s="2" t="n">
        <v>5</v>
      </c>
      <c r="CH71" s="2" t="s">
        <v>579</v>
      </c>
      <c r="CI71" s="2" t="n">
        <v>97.42</v>
      </c>
      <c r="CJ71" s="2" t="n">
        <v>1</v>
      </c>
      <c r="CK71" s="2" t="n">
        <v>2025</v>
      </c>
      <c r="CL71" s="2" t="n">
        <v>1</v>
      </c>
      <c r="CM71" s="2" t="n">
        <v>6.9</v>
      </c>
      <c r="CN71" s="2" t="n">
        <v>0</v>
      </c>
      <c r="CO71" s="2" t="n">
        <v>1</v>
      </c>
      <c r="CP71" s="2" t="n">
        <v>0</v>
      </c>
      <c r="CQ71" s="2" t="n">
        <v>0</v>
      </c>
      <c r="CR71" s="2" t="n">
        <v>0</v>
      </c>
      <c r="CS71" s="2" t="n">
        <v>0</v>
      </c>
      <c r="CT71" s="2"/>
      <c r="CU71" s="2" t="n">
        <v>4</v>
      </c>
      <c r="CV71" s="2" t="s">
        <v>580</v>
      </c>
      <c r="CW71" s="2" t="n">
        <v>132.59</v>
      </c>
      <c r="CX71" s="2" t="n">
        <v>2</v>
      </c>
      <c r="CY71" s="2"/>
      <c r="CZ71" s="2"/>
      <c r="DA71" s="2"/>
      <c r="DB71" s="2"/>
      <c r="DC71" s="2"/>
      <c r="DD71" s="2"/>
      <c r="DE71" s="2"/>
      <c r="DF71" s="2"/>
      <c r="DG71" s="2"/>
      <c r="DH71" s="2"/>
      <c r="DI71" s="2"/>
      <c r="DJ71" s="2"/>
      <c r="DK71" s="2"/>
      <c r="DL71" s="2"/>
      <c r="DM71" s="2"/>
      <c r="DN71" s="2"/>
      <c r="DO71" s="2" t="n">
        <v>1</v>
      </c>
      <c r="DP71" s="2" t="n">
        <v>1027</v>
      </c>
      <c r="DQ71" s="2" t="n">
        <v>104</v>
      </c>
      <c r="DR71" s="2"/>
      <c r="DS71" s="2"/>
      <c r="DT71" s="2" t="n">
        <v>1021</v>
      </c>
      <c r="DU71" s="2" t="n">
        <v>99</v>
      </c>
      <c r="DV71" s="2" t="n">
        <v>6</v>
      </c>
      <c r="DW71" s="2" t="n">
        <v>7</v>
      </c>
      <c r="DX71" s="2" t="n">
        <v>7</v>
      </c>
      <c r="DY71" s="2" t="n">
        <v>5</v>
      </c>
      <c r="DZ71" s="2" t="n">
        <v>78000000</v>
      </c>
      <c r="EA71" s="2" t="n">
        <v>13</v>
      </c>
      <c r="EB71" s="2" t="n">
        <v>0</v>
      </c>
      <c r="EC71" s="2" t="n">
        <v>1</v>
      </c>
      <c r="ED71" s="2" t="n">
        <v>8</v>
      </c>
      <c r="EE71" s="2" t="n">
        <v>1920</v>
      </c>
      <c r="EF71" s="2" t="n">
        <v>2022</v>
      </c>
      <c r="EG71" s="2" t="n">
        <v>12</v>
      </c>
      <c r="EH71" s="2" t="n">
        <v>1.3</v>
      </c>
      <c r="EI71" s="2" t="n">
        <v>0.344</v>
      </c>
      <c r="EJ71" s="2" t="n">
        <v>0.87</v>
      </c>
      <c r="EK71" s="2" t="n">
        <v>661000</v>
      </c>
      <c r="EL71" s="2" t="n">
        <v>8</v>
      </c>
      <c r="EM71" s="2" t="n">
        <v>1.75</v>
      </c>
      <c r="EN71" s="2" t="n">
        <v>6</v>
      </c>
      <c r="EO71" s="2" t="n">
        <v>11</v>
      </c>
      <c r="EP71" s="2" t="n">
        <v>8</v>
      </c>
      <c r="EQ71" s="2" t="n">
        <v>7</v>
      </c>
      <c r="ER71" s="2" t="s">
        <v>581</v>
      </c>
      <c r="ES71" s="2" t="n">
        <v>9</v>
      </c>
      <c r="ET71" s="2" t="s">
        <v>221</v>
      </c>
      <c r="EU71" s="2" t="s">
        <v>582</v>
      </c>
      <c r="EV71" s="2" t="n">
        <v>1</v>
      </c>
      <c r="EW71" s="2" t="n">
        <v>1</v>
      </c>
      <c r="EX71" s="2" t="n">
        <v>1</v>
      </c>
      <c r="EY71" s="2"/>
      <c r="EZ71" s="2" t="n">
        <v>100</v>
      </c>
      <c r="FA71" s="2" t="n">
        <v>0</v>
      </c>
      <c r="FB71" s="2" t="n">
        <v>0</v>
      </c>
      <c r="FC71" s="2"/>
      <c r="FD71" s="2" t="n">
        <v>1</v>
      </c>
      <c r="FE71" s="2" t="n">
        <v>1041</v>
      </c>
      <c r="FF71" s="2" t="n">
        <v>0</v>
      </c>
      <c r="FG71" s="2" t="n">
        <v>0</v>
      </c>
      <c r="FH71" s="2" t="n">
        <v>0</v>
      </c>
      <c r="FI71" s="2" t="n">
        <v>980</v>
      </c>
      <c r="FJ71" s="2" t="n">
        <v>1</v>
      </c>
      <c r="FK71" s="2" t="n">
        <v>0</v>
      </c>
      <c r="FL71" s="2" t="n">
        <v>1</v>
      </c>
      <c r="FM71" s="2" t="n">
        <v>0</v>
      </c>
      <c r="FN71" s="2" t="n">
        <v>1</v>
      </c>
      <c r="FO71" s="2" t="n">
        <v>600</v>
      </c>
      <c r="FP71" s="2" t="n">
        <v>4.5</v>
      </c>
      <c r="FQ71" s="2"/>
      <c r="FR71" s="2" t="n">
        <v>2</v>
      </c>
      <c r="FS71" s="2" t="n">
        <v>2</v>
      </c>
      <c r="FT71" s="2" t="n">
        <v>0</v>
      </c>
      <c r="FU71" s="2" t="n">
        <v>0</v>
      </c>
      <c r="FV71" s="2" t="n">
        <v>0</v>
      </c>
      <c r="FW71" s="2" t="n">
        <v>0</v>
      </c>
      <c r="FX71" s="2" t="n">
        <v>1</v>
      </c>
      <c r="FY71" s="2" t="n">
        <v>1</v>
      </c>
      <c r="FZ71" s="2"/>
      <c r="GA71" s="2" t="n">
        <v>1989</v>
      </c>
      <c r="GB71" s="2" t="n">
        <v>2025</v>
      </c>
      <c r="GC71" s="2" t="n">
        <v>0.3</v>
      </c>
      <c r="GD71" s="2"/>
      <c r="GE71" s="2" t="n">
        <v>92.4</v>
      </c>
      <c r="GF71" s="2" t="n">
        <v>3.69</v>
      </c>
      <c r="GG71" s="2" t="n">
        <v>0.44</v>
      </c>
      <c r="GH71" s="2" t="n">
        <v>100</v>
      </c>
      <c r="GI71" s="2" t="s">
        <v>287</v>
      </c>
      <c r="GJ71" s="2" t="s">
        <v>287</v>
      </c>
      <c r="GK71" s="2" t="n">
        <v>2</v>
      </c>
      <c r="GL71" s="2" t="n">
        <v>1</v>
      </c>
      <c r="GM71" s="2" t="s">
        <v>583</v>
      </c>
      <c r="GN71" s="2" t="s">
        <v>584</v>
      </c>
      <c r="GO71" s="2" t="n">
        <v>2</v>
      </c>
      <c r="GP71" s="2"/>
      <c r="GQ71" s="2" t="n">
        <v>2</v>
      </c>
      <c r="GR71" s="2"/>
      <c r="GS71" s="2" t="s">
        <v>221</v>
      </c>
      <c r="GT71" s="2" t="n">
        <v>2</v>
      </c>
      <c r="GU71" s="2"/>
      <c r="GV71" s="2"/>
      <c r="GW71" s="2"/>
      <c r="GX71" s="2"/>
      <c r="GY71" s="2"/>
      <c r="GZ71" s="2"/>
      <c r="HA71" s="2"/>
      <c r="HB71" s="2"/>
      <c r="HC71" s="2"/>
      <c r="HD71" s="2"/>
      <c r="HE71" s="2"/>
    </row>
    <row r="72" customFormat="false" ht="15" hidden="false" customHeight="false" outlineLevel="0" collapsed="false">
      <c r="A72" s="2" t="s">
        <v>585</v>
      </c>
      <c r="B72" s="2" t="n">
        <v>1304</v>
      </c>
      <c r="C72" s="2" t="n">
        <v>2</v>
      </c>
      <c r="D72" s="2" t="n">
        <v>4</v>
      </c>
      <c r="E72" s="2" t="n">
        <v>1</v>
      </c>
      <c r="F72" s="2"/>
      <c r="G72" s="2" t="n">
        <v>1</v>
      </c>
      <c r="H72" s="2" t="n">
        <v>1</v>
      </c>
      <c r="I72" s="2" t="n">
        <v>1</v>
      </c>
      <c r="J72" s="2" t="n">
        <v>1</v>
      </c>
      <c r="K72" s="2" t="n">
        <v>1</v>
      </c>
      <c r="L72" s="2" t="n">
        <v>1</v>
      </c>
      <c r="M72" s="2" t="n">
        <v>1</v>
      </c>
      <c r="N72" s="2" t="n">
        <v>1</v>
      </c>
      <c r="O72" s="2" t="n">
        <v>1</v>
      </c>
      <c r="P72" s="2" t="n">
        <v>1</v>
      </c>
      <c r="Q72" s="2" t="n">
        <v>0</v>
      </c>
      <c r="R72" s="2" t="n">
        <v>1</v>
      </c>
      <c r="S72" s="2" t="n">
        <v>0</v>
      </c>
      <c r="T72" s="2"/>
      <c r="U72" s="2"/>
      <c r="V72" s="2"/>
      <c r="W72" s="2" t="n">
        <v>1</v>
      </c>
      <c r="X72" s="2"/>
      <c r="Y72" s="2"/>
      <c r="Z72" s="2" t="n">
        <v>16</v>
      </c>
      <c r="AA72" s="2"/>
      <c r="AB72" s="2" t="n">
        <v>90</v>
      </c>
      <c r="AC72" s="2" t="n">
        <v>1</v>
      </c>
      <c r="AD72" s="2" t="s">
        <v>586</v>
      </c>
      <c r="AE72" s="2" t="n">
        <v>3</v>
      </c>
      <c r="AF72" s="2" t="n">
        <v>2</v>
      </c>
      <c r="AG72" s="2" t="n">
        <v>60</v>
      </c>
      <c r="AH72" s="2"/>
      <c r="AI72" s="2"/>
      <c r="AJ72" s="2"/>
      <c r="AK72" s="2"/>
      <c r="AL72" s="2"/>
      <c r="AM72" s="2" t="n">
        <v>1</v>
      </c>
      <c r="AN72" s="2" t="n">
        <v>1</v>
      </c>
      <c r="AO72" s="2" t="n">
        <v>1</v>
      </c>
      <c r="AP72" s="2" t="n">
        <v>1</v>
      </c>
      <c r="AQ72" s="2" t="n">
        <v>1</v>
      </c>
      <c r="AR72" s="2" t="n">
        <v>1</v>
      </c>
      <c r="AS72" s="2"/>
      <c r="AT72" s="2" t="s">
        <v>250</v>
      </c>
      <c r="AU72" s="2" t="s">
        <v>250</v>
      </c>
      <c r="AV72" s="2"/>
      <c r="AW72" s="2" t="s">
        <v>250</v>
      </c>
      <c r="AX72" s="2" t="s">
        <v>250</v>
      </c>
      <c r="AY72" s="2" t="n">
        <v>2</v>
      </c>
      <c r="AZ72" s="2" t="n">
        <v>1</v>
      </c>
      <c r="BA72" s="2" t="s">
        <v>587</v>
      </c>
      <c r="BB72" s="2"/>
      <c r="BC72" s="2" t="n">
        <v>0</v>
      </c>
      <c r="BD72" s="2" t="n">
        <v>0</v>
      </c>
      <c r="BE72" s="2" t="n">
        <v>0</v>
      </c>
      <c r="BF72" s="2" t="n">
        <v>0</v>
      </c>
      <c r="BG72" s="2" t="n">
        <v>1</v>
      </c>
      <c r="BH72" s="2" t="n">
        <v>0</v>
      </c>
      <c r="BI72" s="2"/>
      <c r="BJ72" s="2" t="n">
        <v>2</v>
      </c>
      <c r="BK72" s="2"/>
      <c r="BL72" s="2"/>
      <c r="BM72" s="2"/>
      <c r="BN72" s="2"/>
      <c r="BO72" s="2"/>
      <c r="BP72" s="2"/>
      <c r="BQ72" s="2"/>
      <c r="BR72" s="2"/>
      <c r="BS72" s="2" t="n">
        <v>2</v>
      </c>
      <c r="BT72" s="2" t="n">
        <v>2</v>
      </c>
      <c r="BU72" s="2" t="n">
        <v>2</v>
      </c>
      <c r="BV72" s="2" t="n">
        <v>1</v>
      </c>
      <c r="BW72" s="2" t="n">
        <v>2025</v>
      </c>
      <c r="BX72" s="2" t="n">
        <v>1</v>
      </c>
      <c r="BY72" s="2" t="n">
        <v>3.5</v>
      </c>
      <c r="BZ72" s="2" t="n">
        <v>0</v>
      </c>
      <c r="CA72" s="2" t="n">
        <v>1</v>
      </c>
      <c r="CB72" s="2" t="n">
        <v>0</v>
      </c>
      <c r="CC72" s="2" t="n">
        <v>0</v>
      </c>
      <c r="CD72" s="2" t="n">
        <v>0</v>
      </c>
      <c r="CE72" s="2" t="n">
        <v>0</v>
      </c>
      <c r="CF72" s="2"/>
      <c r="CG72" s="2" t="n">
        <v>1</v>
      </c>
      <c r="CH72" s="2"/>
      <c r="CI72" s="2" t="n">
        <v>70.37</v>
      </c>
      <c r="CJ72" s="2" t="n">
        <v>1</v>
      </c>
      <c r="CK72" s="2" t="n">
        <v>2025</v>
      </c>
      <c r="CL72" s="2" t="n">
        <v>1</v>
      </c>
      <c r="CM72" s="2" t="n">
        <v>3.5</v>
      </c>
      <c r="CN72" s="2" t="n">
        <v>0</v>
      </c>
      <c r="CO72" s="2" t="n">
        <v>1</v>
      </c>
      <c r="CP72" s="2" t="n">
        <v>0</v>
      </c>
      <c r="CQ72" s="2" t="n">
        <v>0</v>
      </c>
      <c r="CR72" s="2" t="n">
        <v>0</v>
      </c>
      <c r="CS72" s="2" t="n">
        <v>0</v>
      </c>
      <c r="CT72" s="2"/>
      <c r="CU72" s="2" t="n">
        <v>1</v>
      </c>
      <c r="CV72" s="2"/>
      <c r="CW72" s="2" t="n">
        <v>74.52</v>
      </c>
      <c r="CX72" s="2" t="n">
        <v>2</v>
      </c>
      <c r="CY72" s="2"/>
      <c r="CZ72" s="2"/>
      <c r="DA72" s="2"/>
      <c r="DB72" s="2"/>
      <c r="DC72" s="2"/>
      <c r="DD72" s="2"/>
      <c r="DE72" s="2"/>
      <c r="DF72" s="2"/>
      <c r="DG72" s="2"/>
      <c r="DH72" s="2"/>
      <c r="DI72" s="2"/>
      <c r="DJ72" s="2"/>
      <c r="DK72" s="2"/>
      <c r="DL72" s="2"/>
      <c r="DM72" s="2"/>
      <c r="DN72" s="2"/>
      <c r="DO72" s="2" t="n">
        <v>1</v>
      </c>
      <c r="DP72" s="2" t="n">
        <v>1270</v>
      </c>
      <c r="DQ72" s="2" t="n">
        <v>0</v>
      </c>
      <c r="DR72" s="2"/>
      <c r="DS72" s="2"/>
      <c r="DT72" s="2" t="n">
        <v>466</v>
      </c>
      <c r="DU72" s="2" t="n">
        <v>0</v>
      </c>
      <c r="DV72" s="2" t="n">
        <v>42</v>
      </c>
      <c r="DW72" s="2" t="n">
        <v>1</v>
      </c>
      <c r="DX72" s="2" t="n">
        <v>12</v>
      </c>
      <c r="DY72" s="2" t="n">
        <v>1</v>
      </c>
      <c r="DZ72" s="2" t="n">
        <v>3500</v>
      </c>
      <c r="EA72" s="2" t="n">
        <v>7.5</v>
      </c>
      <c r="EB72" s="2" t="n">
        <v>1</v>
      </c>
      <c r="EC72" s="2" t="n">
        <v>0</v>
      </c>
      <c r="ED72" s="2" t="n">
        <v>0</v>
      </c>
      <c r="EE72" s="2" t="n">
        <v>1950</v>
      </c>
      <c r="EF72" s="2" t="n">
        <v>2004</v>
      </c>
      <c r="EG72" s="2" t="n">
        <v>1</v>
      </c>
      <c r="EH72" s="2" t="n">
        <v>0.288</v>
      </c>
      <c r="EI72" s="2" t="n">
        <v>0.127</v>
      </c>
      <c r="EJ72" s="2" t="n">
        <v>85</v>
      </c>
      <c r="EK72" s="2" t="n">
        <v>0.288</v>
      </c>
      <c r="EL72" s="2" t="n">
        <v>1</v>
      </c>
      <c r="EM72" s="2" t="n">
        <v>1</v>
      </c>
      <c r="EN72" s="2" t="n">
        <v>1</v>
      </c>
      <c r="EO72" s="2" t="n">
        <v>1</v>
      </c>
      <c r="EP72" s="2" t="n">
        <v>1</v>
      </c>
      <c r="EQ72" s="2" t="n">
        <v>1</v>
      </c>
      <c r="ER72" s="2"/>
      <c r="ES72" s="2"/>
      <c r="ET72" s="2"/>
      <c r="EU72" s="2" t="s">
        <v>588</v>
      </c>
      <c r="EV72" s="2" t="n">
        <v>1</v>
      </c>
      <c r="EW72" s="2" t="n">
        <v>1</v>
      </c>
      <c r="EX72" s="2" t="n">
        <v>2</v>
      </c>
      <c r="EY72" s="2"/>
      <c r="EZ72" s="2" t="n">
        <v>100</v>
      </c>
      <c r="FA72" s="2"/>
      <c r="FB72" s="2"/>
      <c r="FC72" s="2"/>
      <c r="FD72" s="2" t="n">
        <v>1</v>
      </c>
      <c r="FE72" s="2" t="n">
        <v>1270</v>
      </c>
      <c r="FF72" s="2" t="n">
        <v>0</v>
      </c>
      <c r="FG72" s="2"/>
      <c r="FH72" s="2"/>
      <c r="FI72" s="2" t="n">
        <v>476</v>
      </c>
      <c r="FJ72" s="2" t="n">
        <v>1</v>
      </c>
      <c r="FK72" s="2" t="n">
        <v>30</v>
      </c>
      <c r="FL72" s="2" t="n">
        <v>1</v>
      </c>
      <c r="FM72" s="2" t="n">
        <v>12</v>
      </c>
      <c r="FN72" s="2" t="n">
        <v>2</v>
      </c>
      <c r="FO72" s="2"/>
      <c r="FP72" s="2" t="n">
        <v>8.25</v>
      </c>
      <c r="FQ72" s="2" t="n">
        <v>1</v>
      </c>
      <c r="FR72" s="2" t="n">
        <v>2</v>
      </c>
      <c r="FS72" s="2" t="n">
        <v>2</v>
      </c>
      <c r="FT72" s="2" t="n">
        <v>1</v>
      </c>
      <c r="FU72" s="2" t="n">
        <v>0</v>
      </c>
      <c r="FV72" s="2" t="n">
        <v>0</v>
      </c>
      <c r="FW72" s="2" t="n">
        <v>0</v>
      </c>
      <c r="FX72" s="2" t="n">
        <v>1</v>
      </c>
      <c r="FY72" s="2" t="n">
        <v>1</v>
      </c>
      <c r="FZ72" s="2"/>
      <c r="GA72" s="2" t="n">
        <v>1954</v>
      </c>
      <c r="GB72" s="2" t="n">
        <v>2004</v>
      </c>
      <c r="GC72" s="2" t="n">
        <v>0.3</v>
      </c>
      <c r="GD72" s="2" t="n">
        <v>1.5</v>
      </c>
      <c r="GE72" s="2" t="n">
        <v>63</v>
      </c>
      <c r="GF72" s="2" t="n">
        <v>0.992</v>
      </c>
      <c r="GG72" s="2" t="n">
        <v>1.452</v>
      </c>
      <c r="GH72" s="2" t="n">
        <v>50</v>
      </c>
      <c r="GI72" s="2" t="s">
        <v>250</v>
      </c>
      <c r="GJ72" s="2" t="s">
        <v>250</v>
      </c>
      <c r="GK72" s="2" t="n">
        <v>2</v>
      </c>
      <c r="GL72" s="2" t="n">
        <v>2</v>
      </c>
      <c r="GM72" s="2" t="s">
        <v>372</v>
      </c>
      <c r="GN72" s="2"/>
      <c r="GO72" s="2" t="n">
        <v>2</v>
      </c>
      <c r="GP72" s="2"/>
      <c r="GQ72" s="2" t="n">
        <v>2</v>
      </c>
      <c r="GR72" s="2"/>
      <c r="GS72" s="2"/>
      <c r="GT72" s="2" t="n">
        <v>1</v>
      </c>
      <c r="GU72" s="2" t="n">
        <v>0</v>
      </c>
      <c r="GV72" s="2"/>
      <c r="GW72" s="2" t="n">
        <v>0</v>
      </c>
      <c r="GX72" s="2"/>
      <c r="GY72" s="2" t="n">
        <v>0</v>
      </c>
      <c r="GZ72" s="2"/>
      <c r="HA72" s="2" t="n">
        <v>3</v>
      </c>
      <c r="HB72" s="2" t="s">
        <v>589</v>
      </c>
      <c r="HC72" s="2"/>
      <c r="HD72" s="2"/>
      <c r="HE72" s="2"/>
    </row>
    <row r="73" customFormat="false" ht="15" hidden="false" customHeight="false" outlineLevel="0" collapsed="false">
      <c r="A73" s="2" t="s">
        <v>316</v>
      </c>
      <c r="B73" s="2" t="n">
        <v>1643</v>
      </c>
      <c r="C73" s="2" t="n">
        <v>3</v>
      </c>
      <c r="D73" s="2" t="n">
        <v>7</v>
      </c>
      <c r="E73" s="2" t="n">
        <v>1</v>
      </c>
      <c r="F73" s="2"/>
      <c r="G73" s="2" t="n">
        <v>1</v>
      </c>
      <c r="H73" s="2" t="n">
        <v>1</v>
      </c>
      <c r="I73" s="2" t="n">
        <v>1</v>
      </c>
      <c r="J73" s="2" t="n">
        <v>0</v>
      </c>
      <c r="K73" s="2" t="n">
        <v>1</v>
      </c>
      <c r="L73" s="2" t="n">
        <v>0</v>
      </c>
      <c r="M73" s="2" t="n">
        <v>1</v>
      </c>
      <c r="N73" s="2" t="n">
        <v>1</v>
      </c>
      <c r="O73" s="2" t="n">
        <v>1</v>
      </c>
      <c r="P73" s="2" t="n">
        <v>1</v>
      </c>
      <c r="Q73" s="2" t="n">
        <v>0</v>
      </c>
      <c r="R73" s="2" t="n">
        <v>1</v>
      </c>
      <c r="S73" s="2" t="n">
        <v>0</v>
      </c>
      <c r="T73" s="2"/>
      <c r="U73" s="2" t="n">
        <v>10</v>
      </c>
      <c r="V73" s="2"/>
      <c r="W73" s="2" t="n">
        <v>15</v>
      </c>
      <c r="X73" s="2"/>
      <c r="Y73" s="2"/>
      <c r="Z73" s="2" t="n">
        <v>2</v>
      </c>
      <c r="AA73" s="2"/>
      <c r="AB73" s="2"/>
      <c r="AC73" s="2" t="n">
        <v>2</v>
      </c>
      <c r="AD73" s="2"/>
      <c r="AE73" s="2" t="n">
        <v>3</v>
      </c>
      <c r="AF73" s="2" t="n">
        <v>1</v>
      </c>
      <c r="AG73" s="2" t="n">
        <v>90</v>
      </c>
      <c r="AH73" s="2"/>
      <c r="AI73" s="2" t="s">
        <v>590</v>
      </c>
      <c r="AJ73" s="2"/>
      <c r="AK73" s="2" t="n">
        <v>30</v>
      </c>
      <c r="AL73" s="2"/>
      <c r="AM73" s="2" t="n">
        <v>1</v>
      </c>
      <c r="AN73" s="2"/>
      <c r="AO73" s="2" t="n">
        <v>1</v>
      </c>
      <c r="AP73" s="2" t="n">
        <v>2</v>
      </c>
      <c r="AQ73" s="2" t="n">
        <v>2</v>
      </c>
      <c r="AR73" s="2" t="n">
        <v>2</v>
      </c>
      <c r="AS73" s="2" t="n">
        <v>2023</v>
      </c>
      <c r="AT73" s="2" t="s">
        <v>293</v>
      </c>
      <c r="AU73" s="2"/>
      <c r="AV73" s="2"/>
      <c r="AW73" s="2"/>
      <c r="AX73" s="2"/>
      <c r="AY73" s="2" t="n">
        <v>2</v>
      </c>
      <c r="AZ73" s="2" t="n">
        <v>4</v>
      </c>
      <c r="BA73" s="2"/>
      <c r="BB73" s="2" t="s">
        <v>591</v>
      </c>
      <c r="BC73" s="2" t="n">
        <v>0</v>
      </c>
      <c r="BD73" s="2" t="n">
        <v>0</v>
      </c>
      <c r="BE73" s="2" t="n">
        <v>1</v>
      </c>
      <c r="BF73" s="2" t="n">
        <v>0</v>
      </c>
      <c r="BG73" s="2" t="n">
        <v>0</v>
      </c>
      <c r="BH73" s="2" t="n">
        <v>0</v>
      </c>
      <c r="BI73" s="2"/>
      <c r="BJ73" s="2" t="n">
        <v>2</v>
      </c>
      <c r="BK73" s="2" t="n">
        <v>0</v>
      </c>
      <c r="BL73" s="2" t="n">
        <v>0</v>
      </c>
      <c r="BM73" s="2" t="n">
        <v>1</v>
      </c>
      <c r="BN73" s="2" t="n">
        <v>0</v>
      </c>
      <c r="BO73" s="2" t="n">
        <v>0</v>
      </c>
      <c r="BP73" s="2" t="n">
        <v>0</v>
      </c>
      <c r="BQ73" s="2" t="n">
        <v>0</v>
      </c>
      <c r="BR73" s="2" t="s">
        <v>207</v>
      </c>
      <c r="BS73" s="2" t="n">
        <v>2</v>
      </c>
      <c r="BT73" s="2" t="n">
        <v>2</v>
      </c>
      <c r="BU73" s="2" t="n">
        <v>2</v>
      </c>
      <c r="BV73" s="2" t="n">
        <v>1</v>
      </c>
      <c r="BW73" s="2"/>
      <c r="BX73" s="2" t="n">
        <v>1</v>
      </c>
      <c r="BY73" s="2" t="n">
        <v>10</v>
      </c>
      <c r="BZ73" s="2" t="n">
        <v>1</v>
      </c>
      <c r="CA73" s="2" t="n">
        <v>0</v>
      </c>
      <c r="CB73" s="2" t="n">
        <v>0</v>
      </c>
      <c r="CC73" s="2" t="n">
        <v>0</v>
      </c>
      <c r="CD73" s="2" t="n">
        <v>0</v>
      </c>
      <c r="CE73" s="2" t="n">
        <v>0</v>
      </c>
      <c r="CF73" s="2"/>
      <c r="CG73" s="2" t="n">
        <v>5</v>
      </c>
      <c r="CH73" s="2" t="s">
        <v>592</v>
      </c>
      <c r="CI73" s="2" t="n">
        <v>26.74</v>
      </c>
      <c r="CJ73" s="2" t="n">
        <v>1</v>
      </c>
      <c r="CK73" s="2" t="n">
        <v>2016</v>
      </c>
      <c r="CL73" s="2" t="n">
        <v>1</v>
      </c>
      <c r="CM73" s="2" t="n">
        <v>10</v>
      </c>
      <c r="CN73" s="2" t="n">
        <v>1</v>
      </c>
      <c r="CO73" s="2" t="n">
        <v>0</v>
      </c>
      <c r="CP73" s="2" t="n">
        <v>0</v>
      </c>
      <c r="CQ73" s="2" t="n">
        <v>0</v>
      </c>
      <c r="CR73" s="2" t="n">
        <v>0</v>
      </c>
      <c r="CS73" s="2" t="n">
        <v>0</v>
      </c>
      <c r="CT73" s="2"/>
      <c r="CU73" s="2" t="n">
        <v>4</v>
      </c>
      <c r="CV73" s="2" t="s">
        <v>593</v>
      </c>
      <c r="CW73" s="2" t="n">
        <v>7</v>
      </c>
      <c r="CX73" s="2" t="n">
        <v>2</v>
      </c>
      <c r="CY73" s="2"/>
      <c r="CZ73" s="2"/>
      <c r="DA73" s="2"/>
      <c r="DB73" s="2"/>
      <c r="DC73" s="2"/>
      <c r="DD73" s="2"/>
      <c r="DE73" s="2"/>
      <c r="DF73" s="2"/>
      <c r="DG73" s="2"/>
      <c r="DH73" s="2"/>
      <c r="DI73" s="2"/>
      <c r="DJ73" s="2"/>
      <c r="DK73" s="2"/>
      <c r="DL73" s="2"/>
      <c r="DM73" s="2"/>
      <c r="DN73" s="2"/>
      <c r="DO73" s="2" t="n">
        <v>1</v>
      </c>
      <c r="DP73" s="2" t="n">
        <v>1662</v>
      </c>
      <c r="DQ73" s="2"/>
      <c r="DR73" s="2" t="n">
        <v>1662</v>
      </c>
      <c r="DS73" s="2"/>
      <c r="DT73" s="2" t="n">
        <v>533</v>
      </c>
      <c r="DU73" s="2" t="n">
        <v>28</v>
      </c>
      <c r="DV73" s="2" t="n">
        <v>117</v>
      </c>
      <c r="DW73" s="2" t="n">
        <v>4</v>
      </c>
      <c r="DX73" s="2"/>
      <c r="DY73" s="2"/>
      <c r="DZ73" s="2"/>
      <c r="EA73" s="2" t="n">
        <v>5.9</v>
      </c>
      <c r="EB73" s="2" t="n">
        <v>1</v>
      </c>
      <c r="EC73" s="2"/>
      <c r="ED73" s="2" t="n">
        <v>0.25</v>
      </c>
      <c r="EE73" s="2" t="n">
        <v>1978</v>
      </c>
      <c r="EF73" s="2" t="n">
        <v>2001</v>
      </c>
      <c r="EG73" s="2" t="n">
        <v>300</v>
      </c>
      <c r="EH73" s="2" t="n">
        <v>600</v>
      </c>
      <c r="EI73" s="2"/>
      <c r="EJ73" s="2" t="n">
        <v>77</v>
      </c>
      <c r="EK73" s="2" t="n">
        <v>500</v>
      </c>
      <c r="EL73" s="2" t="n">
        <v>1</v>
      </c>
      <c r="EM73" s="2" t="n">
        <v>1753000</v>
      </c>
      <c r="EN73" s="2" t="n">
        <v>1</v>
      </c>
      <c r="EO73" s="2" t="n">
        <v>1</v>
      </c>
      <c r="EP73" s="2" t="n">
        <v>4</v>
      </c>
      <c r="EQ73" s="2" t="n">
        <v>1</v>
      </c>
      <c r="ER73" s="2" t="s">
        <v>594</v>
      </c>
      <c r="ES73" s="2"/>
      <c r="ET73" s="2" t="s">
        <v>595</v>
      </c>
      <c r="EU73" s="2" t="s">
        <v>268</v>
      </c>
      <c r="EV73" s="2" t="n">
        <v>2</v>
      </c>
      <c r="EW73" s="2" t="n">
        <v>1</v>
      </c>
      <c r="EX73" s="2" t="n">
        <v>1</v>
      </c>
      <c r="EY73" s="2"/>
      <c r="EZ73" s="2" t="n">
        <v>100</v>
      </c>
      <c r="FA73" s="2"/>
      <c r="FB73" s="2"/>
      <c r="FC73" s="2"/>
      <c r="FD73" s="2" t="n">
        <v>1</v>
      </c>
      <c r="FE73" s="2" t="n">
        <v>1662</v>
      </c>
      <c r="FF73" s="2"/>
      <c r="FG73" s="2" t="n">
        <v>1662</v>
      </c>
      <c r="FH73" s="2"/>
      <c r="FI73" s="2" t="n">
        <v>415</v>
      </c>
      <c r="FJ73" s="2" t="n">
        <v>3</v>
      </c>
      <c r="FK73" s="2" t="n">
        <v>86</v>
      </c>
      <c r="FL73" s="2" t="n">
        <v>5</v>
      </c>
      <c r="FM73" s="2"/>
      <c r="FN73" s="2"/>
      <c r="FO73" s="2"/>
      <c r="FP73" s="2" t="n">
        <v>7.27</v>
      </c>
      <c r="FQ73" s="2" t="n">
        <v>0</v>
      </c>
      <c r="FR73" s="2" t="n">
        <v>2</v>
      </c>
      <c r="FS73" s="2" t="n">
        <v>2</v>
      </c>
      <c r="FT73" s="2" t="n">
        <v>1</v>
      </c>
      <c r="FU73" s="2" t="n">
        <v>1</v>
      </c>
      <c r="FV73" s="2" t="n">
        <v>1</v>
      </c>
      <c r="FW73" s="2" t="n">
        <v>1</v>
      </c>
      <c r="FX73" s="2" t="n">
        <v>1</v>
      </c>
      <c r="FY73" s="2" t="n">
        <v>1</v>
      </c>
      <c r="FZ73" s="2" t="s">
        <v>596</v>
      </c>
      <c r="GA73" s="2" t="n">
        <v>2019</v>
      </c>
      <c r="GB73" s="2" t="n">
        <v>2019</v>
      </c>
      <c r="GC73" s="2" t="n">
        <v>2.2</v>
      </c>
      <c r="GD73" s="2" t="n">
        <v>2.2</v>
      </c>
      <c r="GE73" s="2" t="n">
        <v>109500000</v>
      </c>
      <c r="GF73" s="2" t="n">
        <v>1.7</v>
      </c>
      <c r="GG73" s="2" t="n">
        <v>0.27</v>
      </c>
      <c r="GH73" s="2" t="n">
        <v>30</v>
      </c>
      <c r="GI73" s="2"/>
      <c r="GJ73" s="2"/>
      <c r="GK73" s="2" t="n">
        <v>2</v>
      </c>
      <c r="GL73" s="2" t="n">
        <v>2</v>
      </c>
      <c r="GM73" s="2" t="s">
        <v>597</v>
      </c>
      <c r="GN73" s="2"/>
      <c r="GO73" s="2" t="n">
        <v>2</v>
      </c>
      <c r="GP73" s="2"/>
      <c r="GQ73" s="2" t="n">
        <v>1</v>
      </c>
      <c r="GR73" s="2" t="n">
        <v>1</v>
      </c>
      <c r="GS73" s="2"/>
      <c r="GT73" s="2" t="n">
        <v>2</v>
      </c>
      <c r="GU73" s="2"/>
      <c r="GV73" s="2"/>
      <c r="GW73" s="2"/>
      <c r="GX73" s="2"/>
      <c r="GY73" s="2"/>
      <c r="GZ73" s="2"/>
      <c r="HA73" s="2"/>
      <c r="HB73" s="2"/>
      <c r="HC73" s="2"/>
      <c r="HD73" s="2"/>
      <c r="HE73" s="2"/>
    </row>
    <row r="74" customFormat="false" ht="15" hidden="false" customHeight="false" outlineLevel="0" collapsed="false">
      <c r="A74" s="2" t="s">
        <v>598</v>
      </c>
      <c r="B74" s="2" t="n">
        <v>7321</v>
      </c>
      <c r="C74" s="2" t="n">
        <v>4</v>
      </c>
      <c r="D74" s="2" t="n">
        <v>11</v>
      </c>
      <c r="E74" s="2" t="n">
        <v>1</v>
      </c>
      <c r="F74" s="2"/>
      <c r="G74" s="2" t="n">
        <v>1</v>
      </c>
      <c r="H74" s="2" t="n">
        <v>1</v>
      </c>
      <c r="I74" s="2" t="n">
        <v>1</v>
      </c>
      <c r="J74" s="2" t="n">
        <v>0</v>
      </c>
      <c r="K74" s="2" t="n">
        <v>1</v>
      </c>
      <c r="L74" s="2" t="n">
        <v>1</v>
      </c>
      <c r="M74" s="2" t="n">
        <v>1</v>
      </c>
      <c r="N74" s="2" t="n">
        <v>1</v>
      </c>
      <c r="O74" s="2" t="n">
        <v>0</v>
      </c>
      <c r="P74" s="2" t="n">
        <v>1</v>
      </c>
      <c r="Q74" s="2" t="n">
        <v>0</v>
      </c>
      <c r="R74" s="2" t="n">
        <v>0</v>
      </c>
      <c r="S74" s="2" t="n">
        <v>0</v>
      </c>
      <c r="T74" s="2"/>
      <c r="U74" s="2" t="n">
        <v>10</v>
      </c>
      <c r="V74" s="2"/>
      <c r="W74" s="2" t="n">
        <v>30</v>
      </c>
      <c r="X74" s="2"/>
      <c r="Y74" s="2"/>
      <c r="Z74" s="2"/>
      <c r="AA74" s="2"/>
      <c r="AB74" s="2" t="n">
        <v>365</v>
      </c>
      <c r="AC74" s="2" t="n">
        <v>2</v>
      </c>
      <c r="AD74" s="2"/>
      <c r="AE74" s="2" t="n">
        <v>3</v>
      </c>
      <c r="AF74" s="2" t="n">
        <v>2</v>
      </c>
      <c r="AG74" s="2" t="n">
        <v>730</v>
      </c>
      <c r="AH74" s="2" t="s">
        <v>599</v>
      </c>
      <c r="AI74" s="2"/>
      <c r="AJ74" s="2"/>
      <c r="AK74" s="2"/>
      <c r="AL74" s="2"/>
      <c r="AM74" s="2" t="n">
        <v>1</v>
      </c>
      <c r="AN74" s="2" t="n">
        <v>1</v>
      </c>
      <c r="AO74" s="2" t="n">
        <v>1</v>
      </c>
      <c r="AP74" s="2"/>
      <c r="AQ74" s="2"/>
      <c r="AR74" s="2"/>
      <c r="AS74" s="2" t="n">
        <v>2009</v>
      </c>
      <c r="AT74" s="2" t="s">
        <v>320</v>
      </c>
      <c r="AU74" s="2" t="s">
        <v>600</v>
      </c>
      <c r="AV74" s="2" t="n">
        <v>2009</v>
      </c>
      <c r="AW74" s="2" t="s">
        <v>320</v>
      </c>
      <c r="AX74" s="2" t="s">
        <v>600</v>
      </c>
      <c r="AY74" s="2" t="n">
        <v>2</v>
      </c>
      <c r="AZ74" s="2" t="n">
        <v>4</v>
      </c>
      <c r="BA74" s="2"/>
      <c r="BB74" s="2" t="s">
        <v>601</v>
      </c>
      <c r="BC74" s="2" t="n">
        <v>0</v>
      </c>
      <c r="BD74" s="2" t="n">
        <v>1</v>
      </c>
      <c r="BE74" s="2" t="n">
        <v>0</v>
      </c>
      <c r="BF74" s="2" t="n">
        <v>1</v>
      </c>
      <c r="BG74" s="2" t="n">
        <v>1</v>
      </c>
      <c r="BH74" s="2" t="n">
        <v>1</v>
      </c>
      <c r="BI74" s="2" t="s">
        <v>602</v>
      </c>
      <c r="BJ74" s="2" t="n">
        <v>2</v>
      </c>
      <c r="BK74" s="2" t="n">
        <v>0</v>
      </c>
      <c r="BL74" s="2" t="n">
        <v>0</v>
      </c>
      <c r="BM74" s="2" t="n">
        <v>1</v>
      </c>
      <c r="BN74" s="2" t="n">
        <v>0</v>
      </c>
      <c r="BO74" s="2" t="n">
        <v>0</v>
      </c>
      <c r="BP74" s="2" t="n">
        <v>0</v>
      </c>
      <c r="BQ74" s="2" t="n">
        <v>0</v>
      </c>
      <c r="BR74" s="2" t="s">
        <v>254</v>
      </c>
      <c r="BS74" s="2" t="n">
        <v>2</v>
      </c>
      <c r="BT74" s="2" t="n">
        <v>2</v>
      </c>
      <c r="BU74" s="2" t="n">
        <v>2</v>
      </c>
      <c r="BV74" s="2" t="n">
        <v>1</v>
      </c>
      <c r="BW74" s="2" t="n">
        <v>2025</v>
      </c>
      <c r="BX74" s="2" t="n">
        <v>1</v>
      </c>
      <c r="BY74" s="2" t="n">
        <v>5</v>
      </c>
      <c r="BZ74" s="2" t="n">
        <v>1</v>
      </c>
      <c r="CA74" s="2" t="n">
        <v>1</v>
      </c>
      <c r="CB74" s="2" t="n">
        <v>1</v>
      </c>
      <c r="CC74" s="2" t="n">
        <v>0</v>
      </c>
      <c r="CD74" s="2" t="n">
        <v>1</v>
      </c>
      <c r="CE74" s="2" t="n">
        <v>1</v>
      </c>
      <c r="CF74" s="2"/>
      <c r="CG74" s="2" t="n">
        <v>1</v>
      </c>
      <c r="CH74" s="2"/>
      <c r="CI74" s="2" t="n">
        <v>34.31</v>
      </c>
      <c r="CJ74" s="2" t="n">
        <v>1</v>
      </c>
      <c r="CK74" s="2" t="n">
        <v>2025</v>
      </c>
      <c r="CL74" s="2" t="n">
        <v>1</v>
      </c>
      <c r="CM74" s="2" t="n">
        <v>5</v>
      </c>
      <c r="CN74" s="2" t="n">
        <v>1</v>
      </c>
      <c r="CO74" s="2" t="n">
        <v>1</v>
      </c>
      <c r="CP74" s="2" t="n">
        <v>1</v>
      </c>
      <c r="CQ74" s="2" t="n">
        <v>0</v>
      </c>
      <c r="CR74" s="2" t="n">
        <v>1</v>
      </c>
      <c r="CS74" s="2" t="n">
        <v>1</v>
      </c>
      <c r="CT74" s="2"/>
      <c r="CU74" s="2" t="n">
        <v>1</v>
      </c>
      <c r="CV74" s="2"/>
      <c r="CW74" s="2" t="n">
        <v>36.36</v>
      </c>
      <c r="CX74" s="2" t="n">
        <v>2</v>
      </c>
      <c r="CY74" s="2"/>
      <c r="CZ74" s="2"/>
      <c r="DA74" s="2"/>
      <c r="DB74" s="2"/>
      <c r="DC74" s="2"/>
      <c r="DD74" s="2"/>
      <c r="DE74" s="2"/>
      <c r="DF74" s="2"/>
      <c r="DG74" s="2"/>
      <c r="DH74" s="2"/>
      <c r="DI74" s="2"/>
      <c r="DJ74" s="2"/>
      <c r="DK74" s="2"/>
      <c r="DL74" s="2"/>
      <c r="DM74" s="2"/>
      <c r="DN74" s="2"/>
      <c r="DO74" s="2" t="n">
        <v>1</v>
      </c>
      <c r="DP74" s="2" t="n">
        <v>7289</v>
      </c>
      <c r="DQ74" s="2" t="n">
        <v>50</v>
      </c>
      <c r="DR74" s="2" t="n">
        <v>7289</v>
      </c>
      <c r="DS74" s="2" t="n">
        <v>50</v>
      </c>
      <c r="DT74" s="2" t="n">
        <v>2161</v>
      </c>
      <c r="DU74" s="2" t="n">
        <v>25</v>
      </c>
      <c r="DV74" s="2" t="n">
        <v>222</v>
      </c>
      <c r="DW74" s="2" t="n">
        <v>11</v>
      </c>
      <c r="DX74" s="2" t="n">
        <v>61</v>
      </c>
      <c r="DY74" s="2" t="n">
        <v>1</v>
      </c>
      <c r="DZ74" s="2" t="n">
        <v>52000</v>
      </c>
      <c r="EA74" s="2"/>
      <c r="EB74" s="2" t="n">
        <v>7</v>
      </c>
      <c r="EC74" s="2" t="n">
        <v>4</v>
      </c>
      <c r="ED74" s="2" t="n">
        <v>0.6</v>
      </c>
      <c r="EE74" s="2"/>
      <c r="EF74" s="2" t="n">
        <v>2023</v>
      </c>
      <c r="EG74" s="2" t="n">
        <v>24.528</v>
      </c>
      <c r="EH74" s="2"/>
      <c r="EI74" s="2" t="n">
        <v>1.93</v>
      </c>
      <c r="EJ74" s="2"/>
      <c r="EK74" s="2" t="n">
        <v>4.4</v>
      </c>
      <c r="EL74" s="2" t="n">
        <v>1</v>
      </c>
      <c r="EM74" s="2" t="n">
        <v>3</v>
      </c>
      <c r="EN74" s="2" t="n">
        <v>1</v>
      </c>
      <c r="EO74" s="2" t="n">
        <v>1</v>
      </c>
      <c r="EP74" s="2" t="n">
        <v>1</v>
      </c>
      <c r="EQ74" s="2" t="n">
        <v>1</v>
      </c>
      <c r="ER74" s="2"/>
      <c r="ES74" s="2"/>
      <c r="ET74" s="2"/>
      <c r="EU74" s="2"/>
      <c r="EV74" s="2" t="n">
        <v>1</v>
      </c>
      <c r="EW74" s="2" t="n">
        <v>1</v>
      </c>
      <c r="EX74" s="2" t="n">
        <v>2</v>
      </c>
      <c r="EY74" s="2"/>
      <c r="EZ74" s="2" t="n">
        <v>99</v>
      </c>
      <c r="FA74" s="2" t="n">
        <v>0</v>
      </c>
      <c r="FB74" s="2" t="n">
        <v>1</v>
      </c>
      <c r="FC74" s="2"/>
      <c r="FD74" s="2" t="n">
        <v>1</v>
      </c>
      <c r="FE74" s="2" t="n">
        <v>7289</v>
      </c>
      <c r="FF74" s="2" t="n">
        <v>0</v>
      </c>
      <c r="FG74" s="2" t="n">
        <v>7289</v>
      </c>
      <c r="FH74" s="2" t="n">
        <v>0</v>
      </c>
      <c r="FI74" s="2" t="n">
        <v>2277</v>
      </c>
      <c r="FJ74" s="2" t="n">
        <v>1</v>
      </c>
      <c r="FK74" s="2" t="n">
        <v>243</v>
      </c>
      <c r="FL74" s="2" t="n">
        <v>3</v>
      </c>
      <c r="FM74" s="2" t="n">
        <v>6</v>
      </c>
      <c r="FN74" s="2" t="n">
        <v>1</v>
      </c>
      <c r="FO74" s="2"/>
      <c r="FP74" s="2" t="n">
        <v>29</v>
      </c>
      <c r="FQ74" s="2" t="n">
        <v>4</v>
      </c>
      <c r="FR74" s="2" t="n">
        <v>2</v>
      </c>
      <c r="FS74" s="2" t="n">
        <v>6</v>
      </c>
      <c r="FT74" s="2" t="n">
        <v>1</v>
      </c>
      <c r="FU74" s="2" t="n">
        <v>0</v>
      </c>
      <c r="FV74" s="2" t="n">
        <v>0</v>
      </c>
      <c r="FW74" s="2" t="n">
        <v>0</v>
      </c>
      <c r="FX74" s="2" t="n">
        <v>1</v>
      </c>
      <c r="FY74" s="2" t="n">
        <v>1</v>
      </c>
      <c r="FZ74" s="2"/>
      <c r="GA74" s="2" t="n">
        <v>1948</v>
      </c>
      <c r="GB74" s="2" t="n">
        <v>2015</v>
      </c>
      <c r="GC74" s="2" t="n">
        <v>0.86</v>
      </c>
      <c r="GD74" s="2" t="n">
        <v>0.86</v>
      </c>
      <c r="GE74" s="2" t="n">
        <v>148413000</v>
      </c>
      <c r="GF74" s="2" t="n">
        <v>0.421</v>
      </c>
      <c r="GG74" s="2" t="n">
        <v>0.324</v>
      </c>
      <c r="GH74" s="2"/>
      <c r="GI74" s="2"/>
      <c r="GJ74" s="2"/>
      <c r="GK74" s="2" t="n">
        <v>2</v>
      </c>
      <c r="GL74" s="2" t="n">
        <v>2</v>
      </c>
      <c r="GM74" s="2"/>
      <c r="GN74" s="2"/>
      <c r="GO74" s="2" t="n">
        <v>2</v>
      </c>
      <c r="GP74" s="2"/>
      <c r="GQ74" s="2" t="n">
        <v>1</v>
      </c>
      <c r="GR74" s="2" t="n">
        <v>1</v>
      </c>
      <c r="GS74" s="2"/>
      <c r="GT74" s="2" t="n">
        <v>1</v>
      </c>
      <c r="GU74" s="2" t="n">
        <v>0</v>
      </c>
      <c r="GV74" s="2" t="n">
        <v>1</v>
      </c>
      <c r="GW74" s="2" t="n">
        <v>0</v>
      </c>
      <c r="GX74" s="2" t="n">
        <v>1</v>
      </c>
      <c r="GY74" s="2" t="n">
        <v>0</v>
      </c>
      <c r="GZ74" s="2" t="n">
        <v>1</v>
      </c>
      <c r="HA74" s="2"/>
      <c r="HB74" s="2"/>
      <c r="HC74" s="2"/>
      <c r="HD74" s="2"/>
      <c r="HE74" s="2"/>
    </row>
    <row r="75" customFormat="false" ht="15" hidden="false" customHeight="false" outlineLevel="0" collapsed="false">
      <c r="A75" s="2" t="s">
        <v>603</v>
      </c>
      <c r="B75" s="2" t="n">
        <v>20781</v>
      </c>
      <c r="C75" s="2" t="n">
        <v>5</v>
      </c>
      <c r="D75" s="2" t="n">
        <v>2</v>
      </c>
      <c r="E75" s="2" t="n">
        <v>1</v>
      </c>
      <c r="F75" s="2"/>
      <c r="G75" s="2" t="n">
        <v>1</v>
      </c>
      <c r="H75" s="2" t="n">
        <v>1</v>
      </c>
      <c r="I75" s="2" t="n">
        <v>1</v>
      </c>
      <c r="J75" s="2" t="n">
        <v>0</v>
      </c>
      <c r="K75" s="2" t="n">
        <v>1</v>
      </c>
      <c r="L75" s="2" t="n">
        <v>1</v>
      </c>
      <c r="M75" s="2" t="n">
        <v>1</v>
      </c>
      <c r="N75" s="2" t="n">
        <v>1</v>
      </c>
      <c r="O75" s="2" t="n">
        <v>1</v>
      </c>
      <c r="P75" s="2" t="n">
        <v>1</v>
      </c>
      <c r="Q75" s="2" t="n">
        <v>0</v>
      </c>
      <c r="R75" s="2" t="n">
        <v>0</v>
      </c>
      <c r="S75" s="2" t="n">
        <v>0</v>
      </c>
      <c r="T75" s="2"/>
      <c r="U75" s="2" t="n">
        <v>11.9</v>
      </c>
      <c r="V75" s="2"/>
      <c r="W75" s="2" t="n">
        <v>10</v>
      </c>
      <c r="X75" s="2"/>
      <c r="Y75" s="2"/>
      <c r="Z75" s="2" t="n">
        <v>15</v>
      </c>
      <c r="AA75" s="2" t="n">
        <v>24.99</v>
      </c>
      <c r="AB75" s="2" t="n">
        <v>30</v>
      </c>
      <c r="AC75" s="2" t="n">
        <v>1</v>
      </c>
      <c r="AD75" s="3" t="s">
        <v>604</v>
      </c>
      <c r="AE75" s="2" t="n">
        <v>3</v>
      </c>
      <c r="AF75" s="2" t="n">
        <v>3</v>
      </c>
      <c r="AG75" s="2" t="n">
        <v>30</v>
      </c>
      <c r="AH75" s="2" t="s">
        <v>605</v>
      </c>
      <c r="AI75" s="2" t="s">
        <v>606</v>
      </c>
      <c r="AJ75" s="2" t="n">
        <v>17</v>
      </c>
      <c r="AK75" s="2" t="n">
        <v>10</v>
      </c>
      <c r="AL75" s="2" t="n">
        <v>0</v>
      </c>
      <c r="AM75" s="2"/>
      <c r="AN75" s="2"/>
      <c r="AO75" s="2"/>
      <c r="AP75" s="2" t="n">
        <v>1</v>
      </c>
      <c r="AQ75" s="2" t="n">
        <v>1</v>
      </c>
      <c r="AR75" s="2" t="n">
        <v>1</v>
      </c>
      <c r="AS75" s="2" t="n">
        <v>2022</v>
      </c>
      <c r="AT75" s="2" t="s">
        <v>241</v>
      </c>
      <c r="AU75" s="2" t="s">
        <v>241</v>
      </c>
      <c r="AV75" s="2" t="n">
        <v>2022</v>
      </c>
      <c r="AW75" s="2" t="s">
        <v>241</v>
      </c>
      <c r="AX75" s="2" t="s">
        <v>241</v>
      </c>
      <c r="AY75" s="2" t="n">
        <v>1</v>
      </c>
      <c r="AZ75" s="2" t="n">
        <v>1</v>
      </c>
      <c r="BA75" s="2" t="s">
        <v>607</v>
      </c>
      <c r="BB75" s="2"/>
      <c r="BC75" s="2" t="n">
        <v>1</v>
      </c>
      <c r="BD75" s="2" t="n">
        <v>1</v>
      </c>
      <c r="BE75" s="2" t="n">
        <v>0</v>
      </c>
      <c r="BF75" s="2" t="n">
        <v>0</v>
      </c>
      <c r="BG75" s="2" t="n">
        <v>1</v>
      </c>
      <c r="BH75" s="2" t="n">
        <v>1</v>
      </c>
      <c r="BI75" s="2"/>
      <c r="BJ75" s="2" t="n">
        <v>1</v>
      </c>
      <c r="BK75" s="2" t="n">
        <v>0</v>
      </c>
      <c r="BL75" s="2" t="n">
        <v>0</v>
      </c>
      <c r="BM75" s="2" t="n">
        <v>0</v>
      </c>
      <c r="BN75" s="2" t="n">
        <v>0</v>
      </c>
      <c r="BO75" s="2" t="n">
        <v>0</v>
      </c>
      <c r="BP75" s="2" t="n">
        <v>1</v>
      </c>
      <c r="BQ75" s="2" t="n">
        <v>1</v>
      </c>
      <c r="BR75" s="2"/>
      <c r="BS75" s="2" t="n">
        <v>2</v>
      </c>
      <c r="BT75" s="2" t="n">
        <v>2</v>
      </c>
      <c r="BU75" s="2" t="n">
        <v>2</v>
      </c>
      <c r="BV75" s="2" t="n">
        <v>1</v>
      </c>
      <c r="BW75" s="2"/>
      <c r="BX75" s="2" t="n">
        <v>1</v>
      </c>
      <c r="BY75" s="2" t="n">
        <v>0.02</v>
      </c>
      <c r="BZ75" s="2" t="n">
        <v>1</v>
      </c>
      <c r="CA75" s="2" t="n">
        <v>1</v>
      </c>
      <c r="CB75" s="2" t="n">
        <v>1</v>
      </c>
      <c r="CC75" s="2" t="n">
        <v>0</v>
      </c>
      <c r="CD75" s="2" t="n">
        <v>1</v>
      </c>
      <c r="CE75" s="2" t="n">
        <v>1</v>
      </c>
      <c r="CF75" s="2"/>
      <c r="CG75" s="2" t="n">
        <v>3</v>
      </c>
      <c r="CH75" s="2"/>
      <c r="CI75" s="2" t="n">
        <v>55.76</v>
      </c>
      <c r="CJ75" s="2" t="n">
        <v>1</v>
      </c>
      <c r="CK75" s="2" t="n">
        <v>2025</v>
      </c>
      <c r="CL75" s="2" t="n">
        <v>1</v>
      </c>
      <c r="CM75" s="2"/>
      <c r="CN75" s="2" t="n">
        <v>0</v>
      </c>
      <c r="CO75" s="2" t="n">
        <v>1</v>
      </c>
      <c r="CP75" s="2" t="n">
        <v>1</v>
      </c>
      <c r="CQ75" s="2" t="n">
        <v>0</v>
      </c>
      <c r="CR75" s="2" t="n">
        <v>1</v>
      </c>
      <c r="CS75" s="2" t="n">
        <v>0</v>
      </c>
      <c r="CT75" s="2"/>
      <c r="CU75" s="2" t="n">
        <v>3</v>
      </c>
      <c r="CV75" s="2"/>
      <c r="CW75" s="2" t="n">
        <v>58.17</v>
      </c>
      <c r="CX75" s="2" t="n">
        <v>1</v>
      </c>
      <c r="CY75" s="2" t="n">
        <v>7</v>
      </c>
      <c r="CZ75" s="2" t="n">
        <v>1</v>
      </c>
      <c r="DA75" s="2"/>
      <c r="DB75" s="2" t="n">
        <v>1</v>
      </c>
      <c r="DC75" s="2" t="n">
        <v>0</v>
      </c>
      <c r="DD75" s="2" t="n">
        <v>1</v>
      </c>
      <c r="DE75" s="2" t="n">
        <v>1</v>
      </c>
      <c r="DF75" s="2" t="n">
        <v>0</v>
      </c>
      <c r="DG75" s="2" t="n">
        <v>1</v>
      </c>
      <c r="DH75" s="2" t="n">
        <v>0</v>
      </c>
      <c r="DI75" s="2"/>
      <c r="DJ75" s="2" t="n">
        <v>1</v>
      </c>
      <c r="DK75" s="2"/>
      <c r="DL75" s="2" t="n">
        <v>1</v>
      </c>
      <c r="DM75" s="2" t="s">
        <v>608</v>
      </c>
      <c r="DN75" s="2" t="n">
        <v>19.15</v>
      </c>
      <c r="DO75" s="2" t="n">
        <v>1</v>
      </c>
      <c r="DP75" s="2" t="n">
        <v>20450</v>
      </c>
      <c r="DQ75" s="2" t="n">
        <v>0</v>
      </c>
      <c r="DR75" s="2" t="n">
        <v>0</v>
      </c>
      <c r="DS75" s="2" t="n">
        <v>0</v>
      </c>
      <c r="DT75" s="2" t="n">
        <v>5798</v>
      </c>
      <c r="DU75" s="2"/>
      <c r="DV75" s="2" t="n">
        <v>230</v>
      </c>
      <c r="DW75" s="2"/>
      <c r="DX75" s="2"/>
      <c r="DY75" s="2"/>
      <c r="DZ75" s="2" t="n">
        <v>715</v>
      </c>
      <c r="EA75" s="2" t="n">
        <v>88</v>
      </c>
      <c r="EB75" s="2" t="n">
        <v>2</v>
      </c>
      <c r="EC75" s="2" t="n">
        <v>4</v>
      </c>
      <c r="ED75" s="2" t="n">
        <v>5</v>
      </c>
      <c r="EE75" s="2" t="n">
        <v>1893</v>
      </c>
      <c r="EF75" s="2" t="n">
        <v>2011</v>
      </c>
      <c r="EG75" s="2" t="n">
        <v>6.7</v>
      </c>
      <c r="EH75" s="2" t="n">
        <v>30</v>
      </c>
      <c r="EI75" s="2" t="n">
        <v>1.97</v>
      </c>
      <c r="EJ75" s="2" t="n">
        <v>1.97</v>
      </c>
      <c r="EK75" s="2" t="n">
        <v>4.5</v>
      </c>
      <c r="EL75" s="2"/>
      <c r="EM75" s="2" t="n">
        <v>9</v>
      </c>
      <c r="EN75" s="2"/>
      <c r="EO75" s="2"/>
      <c r="EP75" s="2"/>
      <c r="EQ75" s="2"/>
      <c r="ER75" s="2"/>
      <c r="ES75" s="2"/>
      <c r="ET75" s="2"/>
      <c r="EU75" s="2" t="s">
        <v>609</v>
      </c>
      <c r="EV75" s="2"/>
      <c r="EW75" s="2" t="n">
        <v>1</v>
      </c>
      <c r="EX75" s="2" t="n">
        <v>1</v>
      </c>
      <c r="EY75" s="2"/>
      <c r="EZ75" s="2" t="n">
        <v>1</v>
      </c>
      <c r="FA75" s="2"/>
      <c r="FB75" s="2"/>
      <c r="FC75" s="2"/>
      <c r="FD75" s="2" t="n">
        <v>1</v>
      </c>
      <c r="FE75" s="2" t="n">
        <v>20450</v>
      </c>
      <c r="FF75" s="2" t="n">
        <v>0</v>
      </c>
      <c r="FG75" s="2" t="n">
        <v>0</v>
      </c>
      <c r="FH75" s="2" t="n">
        <v>0</v>
      </c>
      <c r="FI75" s="2" t="n">
        <v>5798</v>
      </c>
      <c r="FJ75" s="2" t="n">
        <v>1</v>
      </c>
      <c r="FK75" s="2" t="n">
        <v>230</v>
      </c>
      <c r="FL75" s="2" t="n">
        <v>1</v>
      </c>
      <c r="FM75" s="2"/>
      <c r="FN75" s="2" t="n">
        <v>1</v>
      </c>
      <c r="FO75" s="2" t="n">
        <v>6000</v>
      </c>
      <c r="FP75" s="2" t="n">
        <v>64.4</v>
      </c>
      <c r="FQ75" s="2" t="n">
        <v>0</v>
      </c>
      <c r="FR75" s="2" t="n">
        <v>2</v>
      </c>
      <c r="FS75" s="2" t="n">
        <v>2</v>
      </c>
      <c r="FT75" s="2" t="n">
        <v>0</v>
      </c>
      <c r="FU75" s="2" t="n">
        <v>0</v>
      </c>
      <c r="FV75" s="2" t="n">
        <v>1</v>
      </c>
      <c r="FW75" s="2" t="n">
        <v>0</v>
      </c>
      <c r="FX75" s="2" t="n">
        <v>0</v>
      </c>
      <c r="FY75" s="2" t="n">
        <v>0</v>
      </c>
      <c r="FZ75" s="2" t="s">
        <v>610</v>
      </c>
      <c r="GA75" s="2"/>
      <c r="GB75" s="2"/>
      <c r="GC75" s="2"/>
      <c r="GD75" s="2"/>
      <c r="GE75" s="2"/>
      <c r="GF75" s="2"/>
      <c r="GG75" s="2"/>
      <c r="GH75" s="2"/>
      <c r="GI75" s="2"/>
      <c r="GJ75" s="2"/>
      <c r="GK75" s="2" t="n">
        <v>1</v>
      </c>
      <c r="GL75" s="2" t="n">
        <v>2</v>
      </c>
      <c r="GM75" s="2" t="s">
        <v>372</v>
      </c>
      <c r="GN75" s="2"/>
      <c r="GO75" s="2" t="n">
        <v>2</v>
      </c>
      <c r="GP75" s="2"/>
      <c r="GQ75" s="2" t="n">
        <v>2</v>
      </c>
      <c r="GR75" s="2"/>
      <c r="GS75" s="2"/>
      <c r="GT75" s="2" t="n">
        <v>1</v>
      </c>
      <c r="GU75" s="2" t="n">
        <v>5798</v>
      </c>
      <c r="GV75" s="2" t="n">
        <v>1</v>
      </c>
      <c r="GW75" s="2" t="n">
        <v>230</v>
      </c>
      <c r="GX75" s="2" t="n">
        <v>1</v>
      </c>
      <c r="GY75" s="2" t="n">
        <v>52</v>
      </c>
      <c r="GZ75" s="2" t="n">
        <v>1</v>
      </c>
      <c r="HA75" s="2" t="n">
        <v>66.8</v>
      </c>
      <c r="HB75" s="2" t="s">
        <v>218</v>
      </c>
      <c r="HC75" s="2" t="n">
        <v>2640</v>
      </c>
      <c r="HD75" s="2"/>
      <c r="HE75" s="2"/>
    </row>
    <row r="76" customFormat="false" ht="15" hidden="false" customHeight="false" outlineLevel="0" collapsed="false">
      <c r="A76" s="2" t="s">
        <v>611</v>
      </c>
      <c r="B76" s="2" t="n">
        <v>640623</v>
      </c>
      <c r="C76" s="2" t="n">
        <v>5</v>
      </c>
      <c r="D76" s="2" t="n">
        <v>2</v>
      </c>
      <c r="E76" s="2" t="n">
        <v>3</v>
      </c>
      <c r="F76" s="2"/>
      <c r="G76" s="2" t="n">
        <v>1</v>
      </c>
      <c r="H76" s="2" t="n">
        <v>1</v>
      </c>
      <c r="I76" s="2" t="n">
        <v>1</v>
      </c>
      <c r="J76" s="2" t="n">
        <v>1</v>
      </c>
      <c r="K76" s="2" t="n">
        <v>1</v>
      </c>
      <c r="L76" s="2" t="n">
        <v>1</v>
      </c>
      <c r="M76" s="2" t="n">
        <v>1</v>
      </c>
      <c r="N76" s="2" t="n">
        <v>1</v>
      </c>
      <c r="O76" s="2" t="n">
        <v>1</v>
      </c>
      <c r="P76" s="2" t="n">
        <v>1</v>
      </c>
      <c r="Q76" s="2" t="n">
        <v>1</v>
      </c>
      <c r="R76" s="2" t="n">
        <v>1</v>
      </c>
      <c r="S76" s="2" t="n">
        <v>0</v>
      </c>
      <c r="T76" s="2"/>
      <c r="U76" s="2"/>
      <c r="V76" s="2" t="n">
        <v>0.01</v>
      </c>
      <c r="W76" s="2" t="n">
        <v>28</v>
      </c>
      <c r="X76" s="2"/>
      <c r="Y76" s="2" t="n">
        <v>0.01</v>
      </c>
      <c r="Z76" s="2" t="n">
        <v>56</v>
      </c>
      <c r="AA76" s="2" t="n">
        <v>100</v>
      </c>
      <c r="AB76" s="2" t="n">
        <v>49</v>
      </c>
      <c r="AC76" s="2" t="n">
        <v>1</v>
      </c>
      <c r="AD76" s="3" t="s">
        <v>612</v>
      </c>
      <c r="AE76" s="2" t="n">
        <v>3</v>
      </c>
      <c r="AF76" s="2" t="n">
        <v>3</v>
      </c>
      <c r="AG76" s="2"/>
      <c r="AH76" s="2"/>
      <c r="AI76" s="2" t="s">
        <v>613</v>
      </c>
      <c r="AJ76" s="2" t="n">
        <v>30.5</v>
      </c>
      <c r="AK76" s="2" t="n">
        <v>33</v>
      </c>
      <c r="AL76" s="2" t="n">
        <v>0</v>
      </c>
      <c r="AM76" s="2"/>
      <c r="AN76" s="2"/>
      <c r="AO76" s="2"/>
      <c r="AP76" s="2" t="n">
        <v>1</v>
      </c>
      <c r="AQ76" s="2" t="n">
        <v>1</v>
      </c>
      <c r="AR76" s="2"/>
      <c r="AS76" s="2" t="n">
        <v>10</v>
      </c>
      <c r="AT76" s="2" t="s">
        <v>231</v>
      </c>
      <c r="AU76" s="2" t="s">
        <v>231</v>
      </c>
      <c r="AV76" s="2" t="n">
        <v>10</v>
      </c>
      <c r="AW76" s="2" t="s">
        <v>614</v>
      </c>
      <c r="AX76" s="2" t="s">
        <v>294</v>
      </c>
      <c r="AY76" s="2" t="n">
        <v>2</v>
      </c>
      <c r="AZ76" s="2" t="n">
        <v>4</v>
      </c>
      <c r="BA76" s="2"/>
      <c r="BB76" s="2" t="s">
        <v>615</v>
      </c>
      <c r="BC76" s="2" t="n">
        <v>0</v>
      </c>
      <c r="BD76" s="2" t="n">
        <v>0</v>
      </c>
      <c r="BE76" s="2" t="n">
        <v>0</v>
      </c>
      <c r="BF76" s="2" t="n">
        <v>1</v>
      </c>
      <c r="BG76" s="2" t="n">
        <v>1</v>
      </c>
      <c r="BH76" s="2" t="n">
        <v>1</v>
      </c>
      <c r="BI76" s="2" t="s">
        <v>616</v>
      </c>
      <c r="BJ76" s="2" t="n">
        <v>1</v>
      </c>
      <c r="BK76" s="2" t="n">
        <v>0</v>
      </c>
      <c r="BL76" s="2" t="n">
        <v>0</v>
      </c>
      <c r="BM76" s="2" t="n">
        <v>1</v>
      </c>
      <c r="BN76" s="2" t="n">
        <v>0</v>
      </c>
      <c r="BO76" s="2" t="n">
        <v>0</v>
      </c>
      <c r="BP76" s="2" t="n">
        <v>0</v>
      </c>
      <c r="BQ76" s="2" t="n">
        <v>0</v>
      </c>
      <c r="BR76" s="2" t="s">
        <v>617</v>
      </c>
      <c r="BS76" s="2" t="n">
        <v>2</v>
      </c>
      <c r="BT76" s="2" t="n">
        <v>2</v>
      </c>
      <c r="BU76" s="2" t="n">
        <v>2</v>
      </c>
      <c r="BV76" s="2" t="n">
        <v>1</v>
      </c>
      <c r="BW76" s="2" t="n">
        <v>2025</v>
      </c>
      <c r="BX76" s="2" t="n">
        <v>1</v>
      </c>
      <c r="BY76" s="2" t="n">
        <v>0.081</v>
      </c>
      <c r="BZ76" s="2" t="n">
        <v>1</v>
      </c>
      <c r="CA76" s="2" t="n">
        <v>1</v>
      </c>
      <c r="CB76" s="2" t="n">
        <v>1</v>
      </c>
      <c r="CC76" s="2" t="n">
        <v>1</v>
      </c>
      <c r="CD76" s="2" t="n">
        <v>1</v>
      </c>
      <c r="CE76" s="2" t="n">
        <v>1</v>
      </c>
      <c r="CF76" s="2" t="s">
        <v>618</v>
      </c>
      <c r="CG76" s="2" t="n">
        <v>4</v>
      </c>
      <c r="CH76" s="2"/>
      <c r="CI76" s="2"/>
      <c r="CJ76" s="2" t="n">
        <v>1</v>
      </c>
      <c r="CK76" s="2" t="n">
        <v>2025</v>
      </c>
      <c r="CL76" s="2" t="n">
        <v>1</v>
      </c>
      <c r="CM76" s="2" t="n">
        <v>0.0515</v>
      </c>
      <c r="CN76" s="2" t="n">
        <v>1</v>
      </c>
      <c r="CO76" s="2" t="n">
        <v>1</v>
      </c>
      <c r="CP76" s="2" t="n">
        <v>1</v>
      </c>
      <c r="CQ76" s="2" t="n">
        <v>1</v>
      </c>
      <c r="CR76" s="2" t="n">
        <v>1</v>
      </c>
      <c r="CS76" s="2" t="n">
        <v>1</v>
      </c>
      <c r="CT76" s="2" t="s">
        <v>618</v>
      </c>
      <c r="CU76" s="2" t="n">
        <v>3</v>
      </c>
      <c r="CV76" s="2"/>
      <c r="CW76" s="2" t="n">
        <v>90.29</v>
      </c>
      <c r="CX76" s="2" t="n">
        <v>1</v>
      </c>
      <c r="CY76" s="2" t="n">
        <v>7</v>
      </c>
      <c r="CZ76" s="2" t="n">
        <v>1</v>
      </c>
      <c r="DA76" s="2" t="n">
        <v>0.0515</v>
      </c>
      <c r="DB76" s="2" t="n">
        <v>1</v>
      </c>
      <c r="DC76" s="2" t="n">
        <v>1</v>
      </c>
      <c r="DD76" s="2" t="n">
        <v>1</v>
      </c>
      <c r="DE76" s="2" t="n">
        <v>1</v>
      </c>
      <c r="DF76" s="2" t="n">
        <v>1</v>
      </c>
      <c r="DG76" s="2" t="n">
        <v>0</v>
      </c>
      <c r="DH76" s="2" t="n">
        <v>1</v>
      </c>
      <c r="DI76" s="2" t="s">
        <v>618</v>
      </c>
      <c r="DJ76" s="2" t="n">
        <v>1</v>
      </c>
      <c r="DK76" s="2"/>
      <c r="DL76" s="2" t="n">
        <v>1</v>
      </c>
      <c r="DM76" s="2" t="s">
        <v>619</v>
      </c>
      <c r="DN76" s="2"/>
      <c r="DO76" s="2" t="n">
        <v>1</v>
      </c>
      <c r="DP76" s="2" t="n">
        <v>666200</v>
      </c>
      <c r="DQ76" s="2" t="n">
        <v>351000</v>
      </c>
      <c r="DR76" s="2" t="n">
        <v>666200</v>
      </c>
      <c r="DS76" s="2" t="n">
        <v>351000</v>
      </c>
      <c r="DT76" s="2" t="n">
        <v>176200</v>
      </c>
      <c r="DU76" s="2"/>
      <c r="DV76" s="2" t="n">
        <v>20100</v>
      </c>
      <c r="DW76" s="2"/>
      <c r="DX76" s="2" t="n">
        <v>4600</v>
      </c>
      <c r="DY76" s="2" t="n">
        <v>2</v>
      </c>
      <c r="DZ76" s="2" t="n">
        <v>76</v>
      </c>
      <c r="EA76" s="2" t="n">
        <v>2313</v>
      </c>
      <c r="EB76" s="2"/>
      <c r="EC76" s="2" t="n">
        <v>154</v>
      </c>
      <c r="ED76" s="2" t="n">
        <v>26</v>
      </c>
      <c r="EE76" s="2" t="n">
        <v>1895</v>
      </c>
      <c r="EF76" s="2" t="n">
        <v>2023</v>
      </c>
      <c r="EG76" s="2" t="n">
        <v>9900000000</v>
      </c>
      <c r="EH76" s="2"/>
      <c r="EI76" s="2" t="n">
        <v>91</v>
      </c>
      <c r="EJ76" s="2" t="n">
        <v>84</v>
      </c>
      <c r="EK76" s="2" t="n">
        <v>135</v>
      </c>
      <c r="EL76" s="2" t="n">
        <v>3</v>
      </c>
      <c r="EM76" s="2" t="n">
        <v>55</v>
      </c>
      <c r="EN76" s="2" t="n">
        <v>1</v>
      </c>
      <c r="EO76" s="2" t="n">
        <v>5</v>
      </c>
      <c r="EP76" s="2" t="n">
        <v>1</v>
      </c>
      <c r="EQ76" s="2" t="n">
        <v>1</v>
      </c>
      <c r="ER76" s="2"/>
      <c r="ES76" s="2"/>
      <c r="ET76" s="2"/>
      <c r="EU76" s="2" t="s">
        <v>218</v>
      </c>
      <c r="EV76" s="2" t="n">
        <v>1</v>
      </c>
      <c r="EW76" s="2" t="n">
        <v>1</v>
      </c>
      <c r="EX76" s="2" t="n">
        <v>2</v>
      </c>
      <c r="EY76" s="2"/>
      <c r="EZ76" s="2" t="n">
        <v>1</v>
      </c>
      <c r="FA76" s="2" t="n">
        <v>4</v>
      </c>
      <c r="FB76" s="2" t="n">
        <v>95</v>
      </c>
      <c r="FC76" s="2" t="s">
        <v>620</v>
      </c>
      <c r="FD76" s="2" t="n">
        <v>1</v>
      </c>
      <c r="FE76" s="2" t="n">
        <v>666200</v>
      </c>
      <c r="FF76" s="2" t="n">
        <v>351100</v>
      </c>
      <c r="FG76" s="2" t="n">
        <v>666200</v>
      </c>
      <c r="FH76" s="2" t="n">
        <v>351100</v>
      </c>
      <c r="FI76" s="2" t="n">
        <v>176200</v>
      </c>
      <c r="FJ76" s="2"/>
      <c r="FK76" s="2" t="n">
        <v>20100</v>
      </c>
      <c r="FL76" s="2"/>
      <c r="FM76" s="2"/>
      <c r="FN76" s="2"/>
      <c r="FO76" s="2" t="n">
        <v>14.013</v>
      </c>
      <c r="FP76" s="2" t="n">
        <v>2662</v>
      </c>
      <c r="FQ76" s="2" t="n">
        <v>98</v>
      </c>
      <c r="FR76" s="2" t="n">
        <v>3</v>
      </c>
      <c r="FS76" s="2" t="n">
        <v>7</v>
      </c>
      <c r="FT76" s="2" t="n">
        <v>0</v>
      </c>
      <c r="FU76" s="2" t="n">
        <v>0</v>
      </c>
      <c r="FV76" s="2" t="n">
        <v>0</v>
      </c>
      <c r="FW76" s="2" t="n">
        <v>0</v>
      </c>
      <c r="FX76" s="2" t="n">
        <v>0</v>
      </c>
      <c r="FY76" s="2" t="n">
        <v>1</v>
      </c>
      <c r="FZ76" s="2"/>
      <c r="GA76" s="2"/>
      <c r="GB76" s="2"/>
      <c r="GC76" s="2"/>
      <c r="GD76" s="2"/>
      <c r="GE76" s="2"/>
      <c r="GF76" s="2"/>
      <c r="GG76" s="2"/>
      <c r="GH76" s="2"/>
      <c r="GI76" s="2" t="s">
        <v>621</v>
      </c>
      <c r="GJ76" s="2" t="s">
        <v>622</v>
      </c>
      <c r="GK76" s="2" t="n">
        <v>1</v>
      </c>
      <c r="GL76" s="2" t="n">
        <v>2</v>
      </c>
      <c r="GM76" s="2"/>
      <c r="GN76" s="2"/>
      <c r="GO76" s="2" t="n">
        <v>1</v>
      </c>
      <c r="GP76" s="2" t="s">
        <v>623</v>
      </c>
      <c r="GQ76" s="2" t="n">
        <v>1</v>
      </c>
      <c r="GR76" s="2" t="n">
        <v>5</v>
      </c>
      <c r="GS76" s="2" t="s">
        <v>624</v>
      </c>
      <c r="GT76" s="2" t="n">
        <v>1</v>
      </c>
      <c r="GU76" s="2" t="n">
        <v>176200</v>
      </c>
      <c r="GV76" s="2"/>
      <c r="GW76" s="2" t="n">
        <v>20100</v>
      </c>
      <c r="GX76" s="2"/>
      <c r="GY76" s="2"/>
      <c r="GZ76" s="2"/>
      <c r="HA76" s="2" t="n">
        <v>446</v>
      </c>
      <c r="HB76" s="2" t="s">
        <v>625</v>
      </c>
      <c r="HC76" s="2" t="n">
        <v>2400</v>
      </c>
      <c r="HD76" s="2"/>
      <c r="HE76" s="2"/>
    </row>
    <row r="77" customFormat="false" ht="15" hidden="false" customHeight="false" outlineLevel="0" collapsed="false">
      <c r="A77" s="2" t="s">
        <v>626</v>
      </c>
      <c r="B77" s="2" t="n">
        <v>13044</v>
      </c>
      <c r="C77" s="2" t="n">
        <v>5</v>
      </c>
      <c r="D77" s="2" t="n">
        <v>2</v>
      </c>
      <c r="E77" s="2" t="n">
        <v>1</v>
      </c>
      <c r="F77" s="2"/>
      <c r="G77" s="2" t="n">
        <v>1</v>
      </c>
      <c r="H77" s="2" t="n">
        <v>1</v>
      </c>
      <c r="I77" s="2" t="n">
        <v>1</v>
      </c>
      <c r="J77" s="2" t="n">
        <v>1</v>
      </c>
      <c r="K77" s="2" t="n">
        <v>1</v>
      </c>
      <c r="L77" s="2" t="n">
        <v>1</v>
      </c>
      <c r="M77" s="2" t="n">
        <v>1</v>
      </c>
      <c r="N77" s="2" t="n">
        <v>0</v>
      </c>
      <c r="O77" s="2" t="n">
        <v>1</v>
      </c>
      <c r="P77" s="2" t="n">
        <v>1</v>
      </c>
      <c r="Q77" s="2" t="n">
        <v>0</v>
      </c>
      <c r="R77" s="2" t="n">
        <v>1</v>
      </c>
      <c r="S77" s="2" t="n">
        <v>0</v>
      </c>
      <c r="T77" s="2"/>
      <c r="U77" s="2" t="n">
        <v>5</v>
      </c>
      <c r="V77" s="2"/>
      <c r="W77" s="2" t="n">
        <v>30</v>
      </c>
      <c r="X77" s="2"/>
      <c r="Y77" s="2"/>
      <c r="Z77" s="2" t="n">
        <v>45</v>
      </c>
      <c r="AA77" s="2"/>
      <c r="AB77" s="2"/>
      <c r="AC77" s="2" t="n">
        <v>1</v>
      </c>
      <c r="AD77" s="2" t="s">
        <v>627</v>
      </c>
      <c r="AE77" s="2" t="n">
        <v>3</v>
      </c>
      <c r="AF77" s="2" t="n">
        <v>3</v>
      </c>
      <c r="AG77" s="2"/>
      <c r="AH77" s="2"/>
      <c r="AI77" s="2" t="s">
        <v>628</v>
      </c>
      <c r="AJ77" s="2"/>
      <c r="AK77" s="2"/>
      <c r="AL77" s="2"/>
      <c r="AM77" s="2" t="n">
        <v>1</v>
      </c>
      <c r="AN77" s="2" t="n">
        <v>1</v>
      </c>
      <c r="AO77" s="2" t="n">
        <v>1</v>
      </c>
      <c r="AP77" s="2" t="n">
        <v>2</v>
      </c>
      <c r="AQ77" s="2" t="n">
        <v>1</v>
      </c>
      <c r="AR77" s="2" t="n">
        <v>2</v>
      </c>
      <c r="AS77" s="2" t="n">
        <v>2024</v>
      </c>
      <c r="AT77" s="2" t="s">
        <v>294</v>
      </c>
      <c r="AU77" s="2" t="s">
        <v>218</v>
      </c>
      <c r="AV77" s="2" t="n">
        <v>2024</v>
      </c>
      <c r="AW77" s="2" t="s">
        <v>294</v>
      </c>
      <c r="AX77" s="2" t="s">
        <v>218</v>
      </c>
      <c r="AY77" s="2" t="n">
        <v>2</v>
      </c>
      <c r="AZ77" s="2" t="n">
        <v>4</v>
      </c>
      <c r="BA77" s="2"/>
      <c r="BB77" s="2" t="s">
        <v>629</v>
      </c>
      <c r="BC77" s="2" t="n">
        <v>0</v>
      </c>
      <c r="BD77" s="2" t="n">
        <v>0</v>
      </c>
      <c r="BE77" s="2" t="n">
        <v>0</v>
      </c>
      <c r="BF77" s="2" t="n">
        <v>0</v>
      </c>
      <c r="BG77" s="2" t="n">
        <v>1</v>
      </c>
      <c r="BH77" s="2" t="n">
        <v>1</v>
      </c>
      <c r="BI77" s="2"/>
      <c r="BJ77" s="2" t="n">
        <v>1</v>
      </c>
      <c r="BK77" s="2" t="n">
        <v>0</v>
      </c>
      <c r="BL77" s="2" t="n">
        <v>0</v>
      </c>
      <c r="BM77" s="2" t="n">
        <v>0</v>
      </c>
      <c r="BN77" s="2" t="n">
        <v>0</v>
      </c>
      <c r="BO77" s="2" t="n">
        <v>1</v>
      </c>
      <c r="BP77" s="2" t="n">
        <v>0</v>
      </c>
      <c r="BQ77" s="2" t="n">
        <v>0</v>
      </c>
      <c r="BR77" s="2"/>
      <c r="BS77" s="2"/>
      <c r="BT77" s="2"/>
      <c r="BU77" s="2"/>
      <c r="BV77" s="2" t="n">
        <v>1</v>
      </c>
      <c r="BW77" s="2" t="n">
        <v>2025</v>
      </c>
      <c r="BX77" s="2" t="n">
        <v>1</v>
      </c>
      <c r="BY77" s="2" t="n">
        <v>0.36</v>
      </c>
      <c r="BZ77" s="2" t="n">
        <v>1</v>
      </c>
      <c r="CA77" s="2" t="n">
        <v>1</v>
      </c>
      <c r="CB77" s="2" t="n">
        <v>1</v>
      </c>
      <c r="CC77" s="2" t="n">
        <v>0</v>
      </c>
      <c r="CD77" s="2" t="n">
        <v>0</v>
      </c>
      <c r="CE77" s="2" t="n">
        <v>1</v>
      </c>
      <c r="CF77" s="2"/>
      <c r="CG77" s="2" t="n">
        <v>1</v>
      </c>
      <c r="CH77" s="2"/>
      <c r="CI77" s="2"/>
      <c r="CJ77" s="2" t="n">
        <v>1</v>
      </c>
      <c r="CK77" s="2" t="n">
        <v>2025</v>
      </c>
      <c r="CL77" s="2" t="n">
        <v>1</v>
      </c>
      <c r="CM77" s="2" t="n">
        <v>16</v>
      </c>
      <c r="CN77" s="2" t="n">
        <v>1</v>
      </c>
      <c r="CO77" s="2" t="n">
        <v>1</v>
      </c>
      <c r="CP77" s="2" t="n">
        <v>1</v>
      </c>
      <c r="CQ77" s="2" t="n">
        <v>0</v>
      </c>
      <c r="CR77" s="2" t="n">
        <v>0</v>
      </c>
      <c r="CS77" s="2" t="n">
        <v>1</v>
      </c>
      <c r="CT77" s="2"/>
      <c r="CU77" s="2" t="n">
        <v>3</v>
      </c>
      <c r="CV77" s="2"/>
      <c r="CW77" s="2"/>
      <c r="CX77" s="2" t="n">
        <v>1</v>
      </c>
      <c r="CY77" s="2" t="n">
        <v>7</v>
      </c>
      <c r="CZ77" s="2" t="n">
        <v>1</v>
      </c>
      <c r="DA77" s="2" t="n">
        <v>0.09</v>
      </c>
      <c r="DB77" s="2" t="n">
        <v>2</v>
      </c>
      <c r="DC77" s="2" t="n">
        <v>0</v>
      </c>
      <c r="DD77" s="2" t="n">
        <v>1</v>
      </c>
      <c r="DE77" s="2" t="n">
        <v>1</v>
      </c>
      <c r="DF77" s="2" t="n">
        <v>0</v>
      </c>
      <c r="DG77" s="2" t="n">
        <v>0</v>
      </c>
      <c r="DH77" s="2" t="n">
        <v>0</v>
      </c>
      <c r="DI77" s="2"/>
      <c r="DJ77" s="2" t="n">
        <v>1</v>
      </c>
      <c r="DK77" s="2"/>
      <c r="DL77" s="2" t="n">
        <v>1</v>
      </c>
      <c r="DM77" s="2" t="s">
        <v>630</v>
      </c>
      <c r="DN77" s="2" t="n">
        <v>11</v>
      </c>
      <c r="DO77" s="2" t="n">
        <v>1</v>
      </c>
      <c r="DP77" s="2" t="n">
        <v>4137</v>
      </c>
      <c r="DQ77" s="2" t="n">
        <v>108</v>
      </c>
      <c r="DR77" s="2"/>
      <c r="DS77" s="2"/>
      <c r="DT77" s="2" t="n">
        <v>3759</v>
      </c>
      <c r="DU77" s="2" t="n">
        <v>82</v>
      </c>
      <c r="DV77" s="2" t="n">
        <v>251</v>
      </c>
      <c r="DW77" s="2" t="n">
        <v>6</v>
      </c>
      <c r="DX77" s="2" t="n">
        <v>127</v>
      </c>
      <c r="DY77" s="2" t="n">
        <v>1</v>
      </c>
      <c r="DZ77" s="2" t="n">
        <v>60051</v>
      </c>
      <c r="EA77" s="2" t="n">
        <v>67</v>
      </c>
      <c r="EB77" s="2" t="n">
        <v>4</v>
      </c>
      <c r="EC77" s="2" t="n">
        <v>6</v>
      </c>
      <c r="ED77" s="2"/>
      <c r="EE77" s="2" t="n">
        <v>1974</v>
      </c>
      <c r="EF77" s="2"/>
      <c r="EG77" s="2" t="n">
        <v>2</v>
      </c>
      <c r="EH77" s="2"/>
      <c r="EI77" s="2" t="n">
        <v>11</v>
      </c>
      <c r="EJ77" s="2"/>
      <c r="EK77" s="2" t="n">
        <v>2.3</v>
      </c>
      <c r="EL77" s="2"/>
      <c r="EM77" s="2" t="n">
        <v>4.75</v>
      </c>
      <c r="EN77" s="2"/>
      <c r="EO77" s="2"/>
      <c r="EP77" s="2"/>
      <c r="EQ77" s="2"/>
      <c r="ER77" s="2"/>
      <c r="ES77" s="2"/>
      <c r="ET77" s="2"/>
      <c r="EU77" s="2" t="s">
        <v>631</v>
      </c>
      <c r="EV77" s="2" t="n">
        <v>1</v>
      </c>
      <c r="EW77" s="2" t="n">
        <v>1</v>
      </c>
      <c r="EX77" s="2" t="n">
        <v>1</v>
      </c>
      <c r="EY77" s="2"/>
      <c r="EZ77" s="2" t="n">
        <v>100</v>
      </c>
      <c r="FA77" s="2"/>
      <c r="FB77" s="2"/>
      <c r="FC77" s="2"/>
      <c r="FD77" s="2" t="n">
        <v>1</v>
      </c>
      <c r="FE77" s="2" t="n">
        <v>3936</v>
      </c>
      <c r="FF77" s="2" t="n">
        <v>8</v>
      </c>
      <c r="FG77" s="2"/>
      <c r="FH77" s="2"/>
      <c r="FI77" s="2" t="n">
        <v>3626</v>
      </c>
      <c r="FJ77" s="2" t="n">
        <v>11</v>
      </c>
      <c r="FK77" s="2" t="n">
        <v>213</v>
      </c>
      <c r="FL77" s="2" t="n">
        <v>1</v>
      </c>
      <c r="FM77" s="2" t="n">
        <v>97</v>
      </c>
      <c r="FN77" s="2" t="n">
        <v>1</v>
      </c>
      <c r="FO77" s="2" t="n">
        <v>60051</v>
      </c>
      <c r="FP77" s="2" t="n">
        <v>41</v>
      </c>
      <c r="FQ77" s="2" t="n">
        <v>6</v>
      </c>
      <c r="FR77" s="2" t="n">
        <v>2</v>
      </c>
      <c r="FS77" s="2" t="n">
        <v>2</v>
      </c>
      <c r="FT77" s="2" t="n">
        <v>1</v>
      </c>
      <c r="FU77" s="2" t="n">
        <v>0</v>
      </c>
      <c r="FV77" s="2" t="n">
        <v>0</v>
      </c>
      <c r="FW77" s="2" t="n">
        <v>0</v>
      </c>
      <c r="FX77" s="2" t="n">
        <v>0</v>
      </c>
      <c r="FY77" s="2" t="n">
        <v>0</v>
      </c>
      <c r="FZ77" s="2"/>
      <c r="GA77" s="2" t="n">
        <v>1957</v>
      </c>
      <c r="GB77" s="2" t="n">
        <v>2022</v>
      </c>
      <c r="GC77" s="2" t="n">
        <v>5</v>
      </c>
      <c r="GD77" s="2" t="n">
        <v>7</v>
      </c>
      <c r="GE77" s="2" t="n">
        <v>443.02</v>
      </c>
      <c r="GF77" s="2" t="n">
        <v>3.09</v>
      </c>
      <c r="GG77" s="2" t="n">
        <v>1.56</v>
      </c>
      <c r="GH77" s="2" t="n">
        <v>100</v>
      </c>
      <c r="GI77" s="2" t="s">
        <v>632</v>
      </c>
      <c r="GJ77" s="2"/>
      <c r="GK77" s="2"/>
      <c r="GL77" s="2" t="n">
        <v>2</v>
      </c>
      <c r="GM77" s="2" t="s">
        <v>633</v>
      </c>
      <c r="GN77" s="2"/>
      <c r="GO77" s="2" t="n">
        <v>2</v>
      </c>
      <c r="GP77" s="2"/>
      <c r="GQ77" s="2" t="n">
        <v>1</v>
      </c>
      <c r="GR77" s="2" t="n">
        <v>1</v>
      </c>
      <c r="GS77" s="2"/>
      <c r="GT77" s="2" t="n">
        <v>1</v>
      </c>
      <c r="GU77" s="2" t="n">
        <v>3736</v>
      </c>
      <c r="GV77" s="2" t="n">
        <v>1</v>
      </c>
      <c r="GW77" s="2" t="n">
        <v>284</v>
      </c>
      <c r="GX77" s="2" t="n">
        <v>1</v>
      </c>
      <c r="GY77" s="2" t="n">
        <v>73</v>
      </c>
      <c r="GZ77" s="2" t="n">
        <v>1</v>
      </c>
      <c r="HA77" s="2" t="n">
        <v>6.5</v>
      </c>
      <c r="HB77" s="2" t="s">
        <v>265</v>
      </c>
      <c r="HC77" s="2" t="n">
        <v>2750</v>
      </c>
      <c r="HD77" s="2"/>
      <c r="HE77" s="2"/>
    </row>
    <row r="78" customFormat="false" ht="15" hidden="false" customHeight="false" outlineLevel="0" collapsed="false">
      <c r="A78" s="2" t="s">
        <v>565</v>
      </c>
      <c r="B78" s="2" t="n">
        <v>177567</v>
      </c>
      <c r="C78" s="2" t="n">
        <v>5</v>
      </c>
      <c r="D78" s="2" t="n">
        <v>3</v>
      </c>
      <c r="E78" s="2" t="n">
        <v>1</v>
      </c>
      <c r="F78" s="2"/>
      <c r="G78" s="2" t="n">
        <v>1</v>
      </c>
      <c r="H78" s="2" t="n">
        <v>1</v>
      </c>
      <c r="I78" s="2" t="n">
        <v>1</v>
      </c>
      <c r="J78" s="2" t="n">
        <v>1</v>
      </c>
      <c r="K78" s="2" t="n">
        <v>1</v>
      </c>
      <c r="L78" s="2" t="n">
        <v>1</v>
      </c>
      <c r="M78" s="2" t="n">
        <v>1</v>
      </c>
      <c r="N78" s="2" t="n">
        <v>1</v>
      </c>
      <c r="O78" s="2" t="n">
        <v>1</v>
      </c>
      <c r="P78" s="2" t="n">
        <v>0</v>
      </c>
      <c r="Q78" s="2" t="n">
        <v>0</v>
      </c>
      <c r="R78" s="2" t="n">
        <v>1</v>
      </c>
      <c r="S78" s="2" t="n">
        <v>0</v>
      </c>
      <c r="T78" s="2"/>
      <c r="U78" s="2"/>
      <c r="V78" s="2"/>
      <c r="W78" s="2"/>
      <c r="X78" s="2"/>
      <c r="Y78" s="2"/>
      <c r="Z78" s="2" t="n">
        <v>16</v>
      </c>
      <c r="AA78" s="2" t="n">
        <v>25.01</v>
      </c>
      <c r="AB78" s="2" t="n">
        <v>23</v>
      </c>
      <c r="AC78" s="2" t="n">
        <v>1</v>
      </c>
      <c r="AD78" s="2" t="s">
        <v>634</v>
      </c>
      <c r="AE78" s="2" t="n">
        <v>3</v>
      </c>
      <c r="AF78" s="2" t="n">
        <v>3</v>
      </c>
      <c r="AG78" s="2"/>
      <c r="AH78" s="2" t="s">
        <v>635</v>
      </c>
      <c r="AI78" s="2" t="s">
        <v>568</v>
      </c>
      <c r="AJ78" s="2" t="n">
        <v>13</v>
      </c>
      <c r="AK78" s="2" t="n">
        <v>14</v>
      </c>
      <c r="AL78" s="2" t="n">
        <v>1</v>
      </c>
      <c r="AM78" s="2"/>
      <c r="AN78" s="2"/>
      <c r="AO78" s="2"/>
      <c r="AP78" s="2" t="n">
        <v>1</v>
      </c>
      <c r="AQ78" s="2" t="n">
        <v>1</v>
      </c>
      <c r="AR78" s="2" t="n">
        <v>1</v>
      </c>
      <c r="AS78" s="2" t="n">
        <v>2024</v>
      </c>
      <c r="AT78" s="2" t="s">
        <v>294</v>
      </c>
      <c r="AU78" s="2" t="s">
        <v>294</v>
      </c>
      <c r="AV78" s="2" t="n">
        <v>2018</v>
      </c>
      <c r="AW78" s="2" t="s">
        <v>569</v>
      </c>
      <c r="AX78" s="2" t="s">
        <v>569</v>
      </c>
      <c r="AY78" s="2" t="n">
        <v>2</v>
      </c>
      <c r="AZ78" s="2" t="n">
        <v>1</v>
      </c>
      <c r="BA78" s="2" t="s">
        <v>636</v>
      </c>
      <c r="BB78" s="2"/>
      <c r="BC78" s="2" t="n">
        <v>1</v>
      </c>
      <c r="BD78" s="2" t="n">
        <v>1</v>
      </c>
      <c r="BE78" s="2" t="n">
        <v>0</v>
      </c>
      <c r="BF78" s="2" t="n">
        <v>1</v>
      </c>
      <c r="BG78" s="2" t="n">
        <v>0</v>
      </c>
      <c r="BH78" s="2" t="n">
        <v>1</v>
      </c>
      <c r="BI78" s="2" t="s">
        <v>637</v>
      </c>
      <c r="BJ78" s="2" t="n">
        <v>1</v>
      </c>
      <c r="BK78" s="2" t="n">
        <v>0</v>
      </c>
      <c r="BL78" s="2" t="n">
        <v>0</v>
      </c>
      <c r="BM78" s="2" t="n">
        <v>1</v>
      </c>
      <c r="BN78" s="2" t="n">
        <v>0</v>
      </c>
      <c r="BO78" s="2" t="n">
        <v>0</v>
      </c>
      <c r="BP78" s="2" t="n">
        <v>0</v>
      </c>
      <c r="BQ78" s="2" t="n">
        <v>0</v>
      </c>
      <c r="BR78" s="2" t="s">
        <v>638</v>
      </c>
      <c r="BS78" s="2" t="n">
        <v>2</v>
      </c>
      <c r="BT78" s="2" t="n">
        <v>2</v>
      </c>
      <c r="BU78" s="2" t="n">
        <v>2</v>
      </c>
      <c r="BV78" s="2" t="n">
        <v>1</v>
      </c>
      <c r="BW78" s="2" t="n">
        <v>2025</v>
      </c>
      <c r="BX78" s="2" t="n">
        <v>1</v>
      </c>
      <c r="BY78" s="2" t="n">
        <v>4.5</v>
      </c>
      <c r="BZ78" s="2" t="n">
        <v>1</v>
      </c>
      <c r="CA78" s="2" t="n">
        <v>1</v>
      </c>
      <c r="CB78" s="2" t="n">
        <v>1</v>
      </c>
      <c r="CC78" s="2" t="n">
        <v>0</v>
      </c>
      <c r="CD78" s="2" t="n">
        <v>0</v>
      </c>
      <c r="CE78" s="2" t="n">
        <v>1</v>
      </c>
      <c r="CF78" s="2"/>
      <c r="CG78" s="2" t="n">
        <v>4</v>
      </c>
      <c r="CH78" s="2"/>
      <c r="CI78" s="2"/>
      <c r="CJ78" s="2" t="n">
        <v>1</v>
      </c>
      <c r="CK78" s="2" t="n">
        <v>2025</v>
      </c>
      <c r="CL78" s="2" t="n">
        <v>1</v>
      </c>
      <c r="CM78" s="2" t="n">
        <v>4.5</v>
      </c>
      <c r="CN78" s="2" t="n">
        <v>1</v>
      </c>
      <c r="CO78" s="2" t="n">
        <v>1</v>
      </c>
      <c r="CP78" s="2" t="n">
        <v>1</v>
      </c>
      <c r="CQ78" s="2" t="n">
        <v>0</v>
      </c>
      <c r="CR78" s="2" t="n">
        <v>0</v>
      </c>
      <c r="CS78" s="2" t="n">
        <v>1</v>
      </c>
      <c r="CT78" s="2"/>
      <c r="CU78" s="2" t="n">
        <v>4</v>
      </c>
      <c r="CV78" s="2" t="s">
        <v>572</v>
      </c>
      <c r="CW78" s="2"/>
      <c r="CX78" s="2" t="n">
        <v>1</v>
      </c>
      <c r="CY78" s="2" t="n">
        <v>7</v>
      </c>
      <c r="CZ78" s="2" t="n">
        <v>1</v>
      </c>
      <c r="DA78" s="2" t="n">
        <v>4.5</v>
      </c>
      <c r="DB78" s="2" t="n">
        <v>1</v>
      </c>
      <c r="DC78" s="2" t="n">
        <v>0</v>
      </c>
      <c r="DD78" s="2" t="n">
        <v>1</v>
      </c>
      <c r="DE78" s="2" t="n">
        <v>1</v>
      </c>
      <c r="DF78" s="2" t="n">
        <v>0</v>
      </c>
      <c r="DG78" s="2" t="n">
        <v>1</v>
      </c>
      <c r="DH78" s="2" t="n">
        <v>0</v>
      </c>
      <c r="DI78" s="2"/>
      <c r="DJ78" s="2" t="n">
        <v>1</v>
      </c>
      <c r="DK78" s="2"/>
      <c r="DL78" s="2" t="n">
        <v>1</v>
      </c>
      <c r="DM78" s="2" t="s">
        <v>573</v>
      </c>
      <c r="DN78" s="2" t="n">
        <v>21.64</v>
      </c>
      <c r="DO78" s="2" t="n">
        <v>1</v>
      </c>
      <c r="DP78" s="2" t="n">
        <v>177567</v>
      </c>
      <c r="DQ78" s="2" t="n">
        <v>35557</v>
      </c>
      <c r="DR78" s="2" t="n">
        <v>177567</v>
      </c>
      <c r="DS78" s="2" t="n">
        <v>35557</v>
      </c>
      <c r="DT78" s="2" t="n">
        <v>42329</v>
      </c>
      <c r="DU78" s="2" t="n">
        <v>8269</v>
      </c>
      <c r="DV78" s="2" t="n">
        <v>3029</v>
      </c>
      <c r="DW78" s="2" t="n">
        <v>8</v>
      </c>
      <c r="DX78" s="2" t="n">
        <v>2957</v>
      </c>
      <c r="DY78" s="2" t="n">
        <v>4</v>
      </c>
      <c r="DZ78" s="2" t="n">
        <v>66305</v>
      </c>
      <c r="EA78" s="2" t="n">
        <v>790.5</v>
      </c>
      <c r="EB78" s="2"/>
      <c r="EC78" s="2" t="n">
        <v>28</v>
      </c>
      <c r="ED78" s="2" t="n">
        <v>13</v>
      </c>
      <c r="EE78" s="2" t="n">
        <v>1936</v>
      </c>
      <c r="EF78" s="2" t="n">
        <v>2021</v>
      </c>
      <c r="EG78" s="2"/>
      <c r="EH78" s="2"/>
      <c r="EI78" s="2" t="n">
        <v>28.8</v>
      </c>
      <c r="EJ78" s="2" t="n">
        <v>0.8585</v>
      </c>
      <c r="EK78" s="2" t="n">
        <v>50.76</v>
      </c>
      <c r="EL78" s="2" t="n">
        <v>1</v>
      </c>
      <c r="EM78" s="2"/>
      <c r="EN78" s="2" t="n">
        <v>1</v>
      </c>
      <c r="EO78" s="2" t="n">
        <v>8</v>
      </c>
      <c r="EP78" s="2" t="n">
        <v>1</v>
      </c>
      <c r="EQ78" s="2" t="n">
        <v>5</v>
      </c>
      <c r="ER78" s="2"/>
      <c r="ES78" s="2"/>
      <c r="ET78" s="2"/>
      <c r="EU78" s="2" t="s">
        <v>297</v>
      </c>
      <c r="EV78" s="2" t="n">
        <v>1</v>
      </c>
      <c r="EW78" s="2" t="n">
        <v>1</v>
      </c>
      <c r="EX78" s="2" t="n">
        <v>1</v>
      </c>
      <c r="EY78" s="2"/>
      <c r="EZ78" s="2" t="n">
        <v>8</v>
      </c>
      <c r="FA78" s="2" t="n">
        <v>92</v>
      </c>
      <c r="FB78" s="2"/>
      <c r="FC78" s="2"/>
      <c r="FD78" s="2" t="n">
        <v>1</v>
      </c>
      <c r="FE78" s="2" t="n">
        <v>177567</v>
      </c>
      <c r="FF78" s="2" t="n">
        <v>77211</v>
      </c>
      <c r="FG78" s="2" t="n">
        <v>177567</v>
      </c>
      <c r="FH78" s="2" t="n">
        <v>77211</v>
      </c>
      <c r="FI78" s="2" t="n">
        <v>42241</v>
      </c>
      <c r="FJ78" s="2" t="n">
        <v>6</v>
      </c>
      <c r="FK78" s="2" t="n">
        <v>3014</v>
      </c>
      <c r="FL78" s="2" t="n">
        <v>8</v>
      </c>
      <c r="FM78" s="2" t="n">
        <v>2242</v>
      </c>
      <c r="FN78" s="2" t="n">
        <v>4</v>
      </c>
      <c r="FO78" s="2" t="n">
        <v>5.26</v>
      </c>
      <c r="FP78" s="2" t="n">
        <v>833.1</v>
      </c>
      <c r="FQ78" s="2" t="n">
        <v>31</v>
      </c>
      <c r="FR78" s="2" t="n">
        <v>3</v>
      </c>
      <c r="FS78" s="2" t="n">
        <v>10</v>
      </c>
      <c r="FT78" s="2" t="n">
        <v>0</v>
      </c>
      <c r="FU78" s="2" t="n">
        <v>0</v>
      </c>
      <c r="FV78" s="2" t="n">
        <v>0</v>
      </c>
      <c r="FW78" s="2" t="n">
        <v>0</v>
      </c>
      <c r="FX78" s="2" t="n">
        <v>0</v>
      </c>
      <c r="FY78" s="2" t="n">
        <v>1</v>
      </c>
      <c r="FZ78" s="2"/>
      <c r="GA78" s="2" t="n">
        <v>1964</v>
      </c>
      <c r="GB78" s="2" t="n">
        <v>2021</v>
      </c>
      <c r="GC78" s="2" t="n">
        <v>35</v>
      </c>
      <c r="GD78" s="2" t="n">
        <v>205</v>
      </c>
      <c r="GE78" s="2" t="n">
        <v>16117</v>
      </c>
      <c r="GF78" s="2" t="n">
        <v>146.38</v>
      </c>
      <c r="GG78" s="2" t="n">
        <v>76.86</v>
      </c>
      <c r="GH78" s="2"/>
      <c r="GI78" s="2"/>
      <c r="GJ78" s="2"/>
      <c r="GK78" s="2" t="n">
        <v>1</v>
      </c>
      <c r="GL78" s="2" t="n">
        <v>1</v>
      </c>
      <c r="GM78" s="2" t="s">
        <v>574</v>
      </c>
      <c r="GN78" s="2" t="s">
        <v>575</v>
      </c>
      <c r="GO78" s="2" t="n">
        <v>1</v>
      </c>
      <c r="GP78" s="2" t="s">
        <v>576</v>
      </c>
      <c r="GQ78" s="2" t="n">
        <v>2</v>
      </c>
      <c r="GR78" s="2"/>
      <c r="GS78" s="2"/>
      <c r="GT78" s="2" t="n">
        <v>1</v>
      </c>
      <c r="GU78" s="2" t="n">
        <v>42696</v>
      </c>
      <c r="GV78" s="2"/>
      <c r="GW78" s="2" t="n">
        <v>2552</v>
      </c>
      <c r="GX78" s="2"/>
      <c r="GY78" s="2" t="n">
        <v>1972</v>
      </c>
      <c r="GZ78" s="2"/>
      <c r="HA78" s="2" t="n">
        <v>520.8</v>
      </c>
      <c r="HB78" s="2" t="s">
        <v>577</v>
      </c>
      <c r="HC78" s="2" t="n">
        <v>3000</v>
      </c>
      <c r="HD78" s="2"/>
      <c r="HE78" s="2"/>
    </row>
    <row r="79" customFormat="false" ht="15" hidden="false" customHeight="false" outlineLevel="0" collapsed="false">
      <c r="A79" s="2" t="s">
        <v>395</v>
      </c>
      <c r="B79" s="2" t="n">
        <v>27568</v>
      </c>
      <c r="C79" s="2" t="n">
        <v>5</v>
      </c>
      <c r="D79" s="2" t="n">
        <v>2</v>
      </c>
      <c r="E79" s="2" t="n">
        <v>1</v>
      </c>
      <c r="F79" s="2"/>
      <c r="G79" s="2" t="n">
        <v>1</v>
      </c>
      <c r="H79" s="2" t="n">
        <v>1</v>
      </c>
      <c r="I79" s="2" t="n">
        <v>1</v>
      </c>
      <c r="J79" s="2" t="n">
        <v>0</v>
      </c>
      <c r="K79" s="2" t="n">
        <v>1</v>
      </c>
      <c r="L79" s="2" t="n">
        <v>0</v>
      </c>
      <c r="M79" s="2" t="n">
        <v>1</v>
      </c>
      <c r="N79" s="2" t="n">
        <v>1</v>
      </c>
      <c r="O79" s="2" t="n">
        <v>1</v>
      </c>
      <c r="P79" s="2" t="n">
        <v>1</v>
      </c>
      <c r="Q79" s="2" t="n">
        <v>0</v>
      </c>
      <c r="R79" s="2" t="n">
        <v>0</v>
      </c>
      <c r="S79" s="2" t="n">
        <v>0</v>
      </c>
      <c r="T79" s="2"/>
      <c r="U79" s="2" t="n">
        <v>0.02</v>
      </c>
      <c r="V79" s="2"/>
      <c r="W79" s="2" t="n">
        <v>10</v>
      </c>
      <c r="X79" s="2"/>
      <c r="Y79" s="2"/>
      <c r="Z79" s="2" t="n">
        <v>90</v>
      </c>
      <c r="AA79" s="2" t="n">
        <v>100</v>
      </c>
      <c r="AB79" s="2" t="n">
        <v>60</v>
      </c>
      <c r="AC79" s="2" t="n">
        <v>1</v>
      </c>
      <c r="AD79" s="2" t="s">
        <v>639</v>
      </c>
      <c r="AE79" s="2" t="n">
        <v>3</v>
      </c>
      <c r="AF79" s="2" t="n">
        <v>3</v>
      </c>
      <c r="AG79" s="2" t="n">
        <v>365</v>
      </c>
      <c r="AH79" s="2" t="s">
        <v>640</v>
      </c>
      <c r="AI79" s="2" t="s">
        <v>641</v>
      </c>
      <c r="AJ79" s="2" t="n">
        <v>24</v>
      </c>
      <c r="AK79" s="2" t="n">
        <v>14</v>
      </c>
      <c r="AL79" s="2" t="n">
        <v>39</v>
      </c>
      <c r="AM79" s="2"/>
      <c r="AN79" s="2"/>
      <c r="AO79" s="2"/>
      <c r="AP79" s="2" t="n">
        <v>2</v>
      </c>
      <c r="AQ79" s="2" t="n">
        <v>2</v>
      </c>
      <c r="AR79" s="2" t="n">
        <v>2</v>
      </c>
      <c r="AS79" s="2"/>
      <c r="AT79" s="2" t="s">
        <v>218</v>
      </c>
      <c r="AU79" s="2" t="s">
        <v>218</v>
      </c>
      <c r="AV79" s="2"/>
      <c r="AW79" s="2" t="s">
        <v>218</v>
      </c>
      <c r="AX79" s="2" t="s">
        <v>218</v>
      </c>
      <c r="AY79" s="2" t="n">
        <v>2</v>
      </c>
      <c r="AZ79" s="2" t="n">
        <v>4</v>
      </c>
      <c r="BA79" s="2"/>
      <c r="BB79" s="2" t="s">
        <v>642</v>
      </c>
      <c r="BC79" s="2" t="n">
        <v>0</v>
      </c>
      <c r="BD79" s="2" t="n">
        <v>0</v>
      </c>
      <c r="BE79" s="2" t="n">
        <v>0</v>
      </c>
      <c r="BF79" s="2" t="n">
        <v>1</v>
      </c>
      <c r="BG79" s="2" t="n">
        <v>1</v>
      </c>
      <c r="BH79" s="2" t="n">
        <v>0</v>
      </c>
      <c r="BI79" s="2" t="s">
        <v>643</v>
      </c>
      <c r="BJ79" s="2" t="n">
        <v>1</v>
      </c>
      <c r="BK79" s="2" t="n">
        <v>0</v>
      </c>
      <c r="BL79" s="2" t="n">
        <v>0</v>
      </c>
      <c r="BM79" s="2" t="n">
        <v>0</v>
      </c>
      <c r="BN79" s="2" t="n">
        <v>1</v>
      </c>
      <c r="BO79" s="2" t="n">
        <v>0</v>
      </c>
      <c r="BP79" s="2" t="n">
        <v>1</v>
      </c>
      <c r="BQ79" s="2" t="n">
        <v>1</v>
      </c>
      <c r="BR79" s="2"/>
      <c r="BS79" s="2" t="n">
        <v>2</v>
      </c>
      <c r="BT79" s="2" t="n">
        <v>2</v>
      </c>
      <c r="BU79" s="2" t="n">
        <v>2</v>
      </c>
      <c r="BV79" s="2" t="n">
        <v>1</v>
      </c>
      <c r="BW79" s="2" t="n">
        <v>2025</v>
      </c>
      <c r="BX79" s="2" t="n">
        <v>1</v>
      </c>
      <c r="BY79" s="2" t="n">
        <v>5</v>
      </c>
      <c r="BZ79" s="2" t="n">
        <v>0</v>
      </c>
      <c r="CA79" s="2" t="n">
        <v>0</v>
      </c>
      <c r="CB79" s="2" t="n">
        <v>0</v>
      </c>
      <c r="CC79" s="2" t="n">
        <v>1</v>
      </c>
      <c r="CD79" s="2" t="n">
        <v>0</v>
      </c>
      <c r="CE79" s="2" t="n">
        <v>0</v>
      </c>
      <c r="CF79" s="2" t="s">
        <v>644</v>
      </c>
      <c r="CG79" s="2" t="n">
        <v>1</v>
      </c>
      <c r="CH79" s="2"/>
      <c r="CI79" s="2" t="n">
        <v>31.71</v>
      </c>
      <c r="CJ79" s="2" t="n">
        <v>1</v>
      </c>
      <c r="CK79" s="2" t="n">
        <v>2025</v>
      </c>
      <c r="CL79" s="2" t="n">
        <v>1</v>
      </c>
      <c r="CM79" s="2" t="n">
        <v>5</v>
      </c>
      <c r="CN79" s="2" t="n">
        <v>0</v>
      </c>
      <c r="CO79" s="2" t="n">
        <v>0</v>
      </c>
      <c r="CP79" s="2" t="n">
        <v>0</v>
      </c>
      <c r="CQ79" s="2" t="n">
        <v>1</v>
      </c>
      <c r="CR79" s="2" t="n">
        <v>0</v>
      </c>
      <c r="CS79" s="2" t="n">
        <v>0</v>
      </c>
      <c r="CT79" s="2" t="s">
        <v>644</v>
      </c>
      <c r="CU79" s="2" t="n">
        <v>4</v>
      </c>
      <c r="CV79" s="2" t="s">
        <v>645</v>
      </c>
      <c r="CW79" s="2"/>
      <c r="CX79" s="2" t="n">
        <v>1</v>
      </c>
      <c r="CY79" s="2" t="n">
        <v>7</v>
      </c>
      <c r="CZ79" s="2" t="n">
        <v>1</v>
      </c>
      <c r="DA79" s="2" t="n">
        <v>5</v>
      </c>
      <c r="DB79" s="2" t="n">
        <v>1</v>
      </c>
      <c r="DC79" s="2" t="n">
        <v>0</v>
      </c>
      <c r="DD79" s="2" t="n">
        <v>0</v>
      </c>
      <c r="DE79" s="2" t="n">
        <v>0</v>
      </c>
      <c r="DF79" s="2" t="n">
        <v>1</v>
      </c>
      <c r="DG79" s="2" t="n">
        <v>0</v>
      </c>
      <c r="DH79" s="2" t="n">
        <v>0</v>
      </c>
      <c r="DI79" s="2" t="s">
        <v>644</v>
      </c>
      <c r="DJ79" s="2" t="n">
        <v>1</v>
      </c>
      <c r="DK79" s="2"/>
      <c r="DL79" s="2" t="n">
        <v>1</v>
      </c>
      <c r="DM79" s="2" t="s">
        <v>646</v>
      </c>
      <c r="DN79" s="2" t="n">
        <v>9.53</v>
      </c>
      <c r="DO79" s="2" t="n">
        <v>1</v>
      </c>
      <c r="DP79" s="2" t="n">
        <v>28000</v>
      </c>
      <c r="DQ79" s="2"/>
      <c r="DR79" s="2" t="n">
        <v>28000</v>
      </c>
      <c r="DS79" s="2"/>
      <c r="DT79" s="2" t="n">
        <v>9600</v>
      </c>
      <c r="DU79" s="2"/>
      <c r="DV79" s="2" t="n">
        <v>400</v>
      </c>
      <c r="DW79" s="2"/>
      <c r="DX79" s="2"/>
      <c r="DY79" s="2"/>
      <c r="DZ79" s="2" t="n">
        <v>748022440</v>
      </c>
      <c r="EA79" s="2" t="n">
        <v>118.5</v>
      </c>
      <c r="EB79" s="2" t="n">
        <v>5</v>
      </c>
      <c r="EC79" s="2" t="n">
        <v>5</v>
      </c>
      <c r="ED79" s="2" t="n">
        <v>3</v>
      </c>
      <c r="EE79" s="2"/>
      <c r="EF79" s="2" t="n">
        <v>2018</v>
      </c>
      <c r="EG79" s="2"/>
      <c r="EH79" s="2"/>
      <c r="EI79" s="2"/>
      <c r="EJ79" s="2"/>
      <c r="EK79" s="2"/>
      <c r="EL79" s="2" t="n">
        <v>7</v>
      </c>
      <c r="EM79" s="2" t="n">
        <v>7.5</v>
      </c>
      <c r="EN79" s="2" t="n">
        <v>5</v>
      </c>
      <c r="EO79" s="2" t="n">
        <v>1</v>
      </c>
      <c r="EP79" s="2" t="n">
        <v>7</v>
      </c>
      <c r="EQ79" s="2" t="n">
        <v>1</v>
      </c>
      <c r="ER79" s="2"/>
      <c r="ES79" s="2"/>
      <c r="ET79" s="2"/>
      <c r="EU79" s="2" t="s">
        <v>218</v>
      </c>
      <c r="EV79" s="2" t="n">
        <v>1</v>
      </c>
      <c r="EW79" s="2" t="n">
        <v>1</v>
      </c>
      <c r="EX79" s="2" t="n">
        <v>2</v>
      </c>
      <c r="EY79" s="2"/>
      <c r="EZ79" s="2" t="n">
        <v>0</v>
      </c>
      <c r="FA79" s="2" t="n">
        <v>0</v>
      </c>
      <c r="FB79" s="2" t="n">
        <v>100</v>
      </c>
      <c r="FC79" s="2"/>
      <c r="FD79" s="2" t="n">
        <v>1</v>
      </c>
      <c r="FE79" s="2" t="n">
        <v>28000</v>
      </c>
      <c r="FF79" s="2"/>
      <c r="FG79" s="2" t="n">
        <v>28000</v>
      </c>
      <c r="FH79" s="2"/>
      <c r="FI79" s="2" t="n">
        <v>9600</v>
      </c>
      <c r="FJ79" s="2"/>
      <c r="FK79" s="2" t="n">
        <v>400</v>
      </c>
      <c r="FL79" s="2"/>
      <c r="FM79" s="2"/>
      <c r="FN79" s="2"/>
      <c r="FO79" s="2" t="n">
        <v>7</v>
      </c>
      <c r="FP79" s="2" t="n">
        <v>147</v>
      </c>
      <c r="FQ79" s="2" t="n">
        <v>7</v>
      </c>
      <c r="FR79" s="2" t="n">
        <v>1</v>
      </c>
      <c r="FS79" s="2" t="n">
        <v>2</v>
      </c>
      <c r="FT79" s="2" t="n">
        <v>0</v>
      </c>
      <c r="FU79" s="2" t="n">
        <v>0</v>
      </c>
      <c r="FV79" s="2" t="n">
        <v>1</v>
      </c>
      <c r="FW79" s="2" t="n">
        <v>0</v>
      </c>
      <c r="FX79" s="2" t="n">
        <v>0</v>
      </c>
      <c r="FY79" s="2" t="n">
        <v>0</v>
      </c>
      <c r="FZ79" s="2" t="s">
        <v>647</v>
      </c>
      <c r="GA79" s="2"/>
      <c r="GB79" s="2"/>
      <c r="GC79" s="2"/>
      <c r="GD79" s="2"/>
      <c r="GE79" s="2"/>
      <c r="GF79" s="2"/>
      <c r="GG79" s="2"/>
      <c r="GH79" s="2"/>
      <c r="GI79" s="2" t="s">
        <v>218</v>
      </c>
      <c r="GJ79" s="2" t="s">
        <v>218</v>
      </c>
      <c r="GK79" s="2" t="n">
        <v>2</v>
      </c>
      <c r="GL79" s="2" t="n">
        <v>2</v>
      </c>
      <c r="GM79" s="2" t="s">
        <v>218</v>
      </c>
      <c r="GN79" s="2"/>
      <c r="GO79" s="2" t="n">
        <v>2</v>
      </c>
      <c r="GP79" s="2"/>
      <c r="GQ79" s="2" t="n">
        <v>2</v>
      </c>
      <c r="GR79" s="2"/>
      <c r="GS79" s="2" t="s">
        <v>648</v>
      </c>
      <c r="GT79" s="2" t="n">
        <v>1</v>
      </c>
      <c r="GU79" s="2" t="n">
        <v>8600</v>
      </c>
      <c r="GV79" s="2"/>
      <c r="GW79" s="2" t="n">
        <v>140</v>
      </c>
      <c r="GX79" s="2"/>
      <c r="GY79" s="2"/>
      <c r="GZ79" s="2"/>
      <c r="HA79" s="2" t="n">
        <v>600000</v>
      </c>
      <c r="HB79" s="2" t="s">
        <v>372</v>
      </c>
      <c r="HC79" s="2" t="n">
        <v>2914</v>
      </c>
      <c r="HD79" s="2"/>
      <c r="HE79" s="2"/>
    </row>
    <row r="80" customFormat="false" ht="15" hidden="false" customHeight="false" outlineLevel="0" collapsed="false">
      <c r="A80" s="2" t="s">
        <v>649</v>
      </c>
      <c r="B80" s="2" t="n">
        <v>3815</v>
      </c>
      <c r="C80" s="2" t="n">
        <v>4</v>
      </c>
      <c r="D80" s="2" t="n">
        <v>2</v>
      </c>
      <c r="E80" s="2" t="n">
        <v>1</v>
      </c>
      <c r="F80" s="2"/>
      <c r="G80" s="2" t="n">
        <v>1</v>
      </c>
      <c r="H80" s="2" t="n">
        <v>1</v>
      </c>
      <c r="I80" s="2" t="n">
        <v>1</v>
      </c>
      <c r="J80" s="2" t="n">
        <v>0</v>
      </c>
      <c r="K80" s="2" t="n">
        <v>1</v>
      </c>
      <c r="L80" s="2" t="n">
        <v>0</v>
      </c>
      <c r="M80" s="2" t="n">
        <v>1</v>
      </c>
      <c r="N80" s="2" t="n">
        <v>0</v>
      </c>
      <c r="O80" s="2" t="n">
        <v>1</v>
      </c>
      <c r="P80" s="2" t="n">
        <v>1</v>
      </c>
      <c r="Q80" s="2" t="n">
        <v>0</v>
      </c>
      <c r="R80" s="2" t="n">
        <v>0</v>
      </c>
      <c r="S80" s="2" t="n">
        <v>0</v>
      </c>
      <c r="T80" s="2"/>
      <c r="U80" s="2" t="n">
        <v>0.1</v>
      </c>
      <c r="V80" s="2"/>
      <c r="W80" s="2"/>
      <c r="X80" s="2"/>
      <c r="Y80" s="2"/>
      <c r="Z80" s="2" t="n">
        <v>40</v>
      </c>
      <c r="AA80" s="2"/>
      <c r="AB80" s="2"/>
      <c r="AC80" s="2" t="n">
        <v>1</v>
      </c>
      <c r="AD80" s="2" t="s">
        <v>650</v>
      </c>
      <c r="AE80" s="2" t="n">
        <v>3</v>
      </c>
      <c r="AF80" s="2" t="n">
        <v>2</v>
      </c>
      <c r="AG80" s="2" t="n">
        <v>30</v>
      </c>
      <c r="AH80" s="2" t="s">
        <v>651</v>
      </c>
      <c r="AI80" s="2"/>
      <c r="AJ80" s="2" t="n">
        <v>16</v>
      </c>
      <c r="AK80" s="2"/>
      <c r="AL80" s="2"/>
      <c r="AM80" s="2"/>
      <c r="AN80" s="2" t="n">
        <v>1</v>
      </c>
      <c r="AO80" s="2" t="n">
        <v>1</v>
      </c>
      <c r="AP80" s="2" t="n">
        <v>1</v>
      </c>
      <c r="AQ80" s="2"/>
      <c r="AR80" s="2"/>
      <c r="AS80" s="2" t="n">
        <v>2023</v>
      </c>
      <c r="AT80" s="2"/>
      <c r="AU80" s="2" t="s">
        <v>231</v>
      </c>
      <c r="AV80" s="2"/>
      <c r="AW80" s="2"/>
      <c r="AX80" s="2"/>
      <c r="AY80" s="2" t="n">
        <v>2</v>
      </c>
      <c r="AZ80" s="2" t="n">
        <v>2</v>
      </c>
      <c r="BA80" s="2"/>
      <c r="BB80" s="2"/>
      <c r="BC80" s="2" t="n">
        <v>1</v>
      </c>
      <c r="BD80" s="2" t="n">
        <v>1</v>
      </c>
      <c r="BE80" s="2" t="n">
        <v>0</v>
      </c>
      <c r="BF80" s="2" t="n">
        <v>1</v>
      </c>
      <c r="BG80" s="2" t="n">
        <v>1</v>
      </c>
      <c r="BH80" s="2" t="n">
        <v>0</v>
      </c>
      <c r="BI80" s="2" t="s">
        <v>652</v>
      </c>
      <c r="BJ80" s="2" t="n">
        <v>1</v>
      </c>
      <c r="BK80" s="2" t="n">
        <v>0</v>
      </c>
      <c r="BL80" s="2" t="n">
        <v>0</v>
      </c>
      <c r="BM80" s="2" t="n">
        <v>0</v>
      </c>
      <c r="BN80" s="2" t="n">
        <v>0</v>
      </c>
      <c r="BO80" s="2" t="n">
        <v>0</v>
      </c>
      <c r="BP80" s="2" t="n">
        <v>1</v>
      </c>
      <c r="BQ80" s="2" t="n">
        <v>0</v>
      </c>
      <c r="BR80" s="2"/>
      <c r="BS80" s="2" t="n">
        <v>2</v>
      </c>
      <c r="BT80" s="2"/>
      <c r="BU80" s="2" t="n">
        <v>2</v>
      </c>
      <c r="BV80" s="2" t="n">
        <v>1</v>
      </c>
      <c r="BW80" s="2" t="n">
        <v>2025</v>
      </c>
      <c r="BX80" s="2" t="n">
        <v>1</v>
      </c>
      <c r="BY80" s="2" t="n">
        <v>4.2</v>
      </c>
      <c r="BZ80" s="2" t="n">
        <v>0</v>
      </c>
      <c r="CA80" s="2" t="n">
        <v>1</v>
      </c>
      <c r="CB80" s="2" t="n">
        <v>0</v>
      </c>
      <c r="CC80" s="2" t="n">
        <v>0</v>
      </c>
      <c r="CD80" s="2" t="n">
        <v>0</v>
      </c>
      <c r="CE80" s="2" t="n">
        <v>0</v>
      </c>
      <c r="CF80" s="2"/>
      <c r="CG80" s="2" t="n">
        <v>1</v>
      </c>
      <c r="CH80" s="2"/>
      <c r="CI80" s="2"/>
      <c r="CJ80" s="2" t="n">
        <v>2</v>
      </c>
      <c r="CK80" s="2"/>
      <c r="CL80" s="2"/>
      <c r="CM80" s="2"/>
      <c r="CN80" s="2"/>
      <c r="CO80" s="2"/>
      <c r="CP80" s="2"/>
      <c r="CQ80" s="2"/>
      <c r="CR80" s="2"/>
      <c r="CS80" s="2"/>
      <c r="CT80" s="2"/>
      <c r="CU80" s="2"/>
      <c r="CV80" s="2"/>
      <c r="CW80" s="2"/>
      <c r="CX80" s="2" t="n">
        <v>2</v>
      </c>
      <c r="CY80" s="2"/>
      <c r="CZ80" s="2"/>
      <c r="DA80" s="2"/>
      <c r="DB80" s="2"/>
      <c r="DC80" s="2"/>
      <c r="DD80" s="2"/>
      <c r="DE80" s="2"/>
      <c r="DF80" s="2"/>
      <c r="DG80" s="2"/>
      <c r="DH80" s="2"/>
      <c r="DI80" s="2"/>
      <c r="DJ80" s="2"/>
      <c r="DK80" s="2"/>
      <c r="DL80" s="2"/>
      <c r="DM80" s="2"/>
      <c r="DN80" s="2"/>
      <c r="DO80" s="2" t="n">
        <v>1</v>
      </c>
      <c r="DP80" s="2" t="n">
        <v>3815</v>
      </c>
      <c r="DQ80" s="2" t="n">
        <v>1</v>
      </c>
      <c r="DR80" s="2"/>
      <c r="DS80" s="2"/>
      <c r="DT80" s="2"/>
      <c r="DU80" s="2" t="n">
        <v>1</v>
      </c>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t="n">
        <v>2</v>
      </c>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t="n">
        <v>2</v>
      </c>
      <c r="GU80" s="2"/>
      <c r="GV80" s="2"/>
      <c r="GW80" s="2"/>
      <c r="GX80" s="2"/>
      <c r="GY80" s="2"/>
      <c r="GZ80" s="2"/>
      <c r="HA80" s="2"/>
      <c r="HB80" s="2"/>
      <c r="HC80" s="2"/>
      <c r="HD80" s="2"/>
      <c r="HE80" s="2"/>
    </row>
    <row r="81" customFormat="false" ht="15" hidden="false" customHeight="false" outlineLevel="0" collapsed="false">
      <c r="A81" s="2" t="s">
        <v>653</v>
      </c>
      <c r="B81" s="2" t="n">
        <v>5300</v>
      </c>
      <c r="C81" s="2" t="n">
        <v>4</v>
      </c>
      <c r="D81" s="2" t="n">
        <v>4</v>
      </c>
      <c r="E81" s="2" t="n">
        <v>1</v>
      </c>
      <c r="F81" s="2"/>
      <c r="G81" s="2" t="n">
        <v>1</v>
      </c>
      <c r="H81" s="2" t="n">
        <v>1</v>
      </c>
      <c r="I81" s="2" t="n">
        <v>1</v>
      </c>
      <c r="J81" s="2" t="n">
        <v>1</v>
      </c>
      <c r="K81" s="2" t="n">
        <v>1</v>
      </c>
      <c r="L81" s="2" t="n">
        <v>1</v>
      </c>
      <c r="M81" s="2" t="n">
        <v>1</v>
      </c>
      <c r="N81" s="2" t="n">
        <v>0</v>
      </c>
      <c r="O81" s="2" t="n">
        <v>1</v>
      </c>
      <c r="P81" s="2" t="n">
        <v>1</v>
      </c>
      <c r="Q81" s="2" t="n">
        <v>1</v>
      </c>
      <c r="R81" s="2" t="n">
        <v>1</v>
      </c>
      <c r="S81" s="2" t="n">
        <v>0</v>
      </c>
      <c r="T81" s="2"/>
      <c r="U81" s="2" t="n">
        <v>40</v>
      </c>
      <c r="V81" s="2" t="n">
        <v>0</v>
      </c>
      <c r="W81" s="2" t="n">
        <v>60</v>
      </c>
      <c r="X81" s="2" t="n">
        <v>0</v>
      </c>
      <c r="Y81" s="2" t="n">
        <v>0</v>
      </c>
      <c r="Z81" s="2" t="n">
        <v>60</v>
      </c>
      <c r="AA81" s="2"/>
      <c r="AB81" s="2"/>
      <c r="AC81" s="2" t="n">
        <v>2</v>
      </c>
      <c r="AD81" s="2"/>
      <c r="AE81" s="2" t="n">
        <v>3</v>
      </c>
      <c r="AF81" s="2" t="n">
        <v>2</v>
      </c>
      <c r="AG81" s="2" t="n">
        <v>90</v>
      </c>
      <c r="AH81" s="2"/>
      <c r="AI81" s="2"/>
      <c r="AJ81" s="2" t="n">
        <v>72</v>
      </c>
      <c r="AK81" s="2" t="n">
        <v>12</v>
      </c>
      <c r="AL81" s="2"/>
      <c r="AM81" s="2"/>
      <c r="AN81" s="2"/>
      <c r="AO81" s="2" t="n">
        <v>1</v>
      </c>
      <c r="AP81" s="2" t="n">
        <v>1</v>
      </c>
      <c r="AQ81" s="2" t="n">
        <v>2</v>
      </c>
      <c r="AR81" s="2"/>
      <c r="AS81" s="2" t="n">
        <v>2022</v>
      </c>
      <c r="AT81" s="2" t="s">
        <v>241</v>
      </c>
      <c r="AU81" s="2" t="s">
        <v>654</v>
      </c>
      <c r="AV81" s="2" t="n">
        <v>2013</v>
      </c>
      <c r="AW81" s="2" t="s">
        <v>569</v>
      </c>
      <c r="AX81" s="2"/>
      <c r="AY81" s="2" t="n">
        <v>2</v>
      </c>
      <c r="AZ81" s="2" t="n">
        <v>2</v>
      </c>
      <c r="BA81" s="2"/>
      <c r="BB81" s="2"/>
      <c r="BC81" s="2" t="n">
        <v>0</v>
      </c>
      <c r="BD81" s="2" t="n">
        <v>0</v>
      </c>
      <c r="BE81" s="2" t="n">
        <v>0</v>
      </c>
      <c r="BF81" s="2" t="n">
        <v>0</v>
      </c>
      <c r="BG81" s="2" t="n">
        <v>1</v>
      </c>
      <c r="BH81" s="2" t="n">
        <v>1</v>
      </c>
      <c r="BI81" s="2"/>
      <c r="BJ81" s="2" t="n">
        <v>1</v>
      </c>
      <c r="BK81" s="2" t="n">
        <v>0</v>
      </c>
      <c r="BL81" s="2" t="n">
        <v>0</v>
      </c>
      <c r="BM81" s="2" t="n">
        <v>0</v>
      </c>
      <c r="BN81" s="2" t="n">
        <v>0</v>
      </c>
      <c r="BO81" s="2" t="n">
        <v>1</v>
      </c>
      <c r="BP81" s="2" t="n">
        <v>1</v>
      </c>
      <c r="BQ81" s="2" t="n">
        <v>1</v>
      </c>
      <c r="BR81" s="2"/>
      <c r="BS81" s="2" t="n">
        <v>2</v>
      </c>
      <c r="BT81" s="2" t="n">
        <v>2</v>
      </c>
      <c r="BU81" s="2" t="n">
        <v>2</v>
      </c>
      <c r="BV81" s="2" t="n">
        <v>1</v>
      </c>
      <c r="BW81" s="2" t="n">
        <v>2024</v>
      </c>
      <c r="BX81" s="2" t="n">
        <v>1</v>
      </c>
      <c r="BY81" s="2" t="n">
        <v>3</v>
      </c>
      <c r="BZ81" s="2" t="n">
        <v>0</v>
      </c>
      <c r="CA81" s="2" t="n">
        <v>1</v>
      </c>
      <c r="CB81" s="2" t="n">
        <v>0</v>
      </c>
      <c r="CC81" s="2" t="n">
        <v>0</v>
      </c>
      <c r="CD81" s="2" t="n">
        <v>0</v>
      </c>
      <c r="CE81" s="2" t="n">
        <v>0</v>
      </c>
      <c r="CF81" s="2"/>
      <c r="CG81" s="2" t="n">
        <v>3</v>
      </c>
      <c r="CH81" s="2"/>
      <c r="CI81" s="2" t="n">
        <v>39.72</v>
      </c>
      <c r="CJ81" s="2" t="n">
        <v>1</v>
      </c>
      <c r="CK81" s="2" t="n">
        <v>2024</v>
      </c>
      <c r="CL81" s="2" t="n">
        <v>1</v>
      </c>
      <c r="CM81" s="2" t="n">
        <v>2</v>
      </c>
      <c r="CN81" s="2" t="n">
        <v>0</v>
      </c>
      <c r="CO81" s="2" t="n">
        <v>1</v>
      </c>
      <c r="CP81" s="2" t="n">
        <v>0</v>
      </c>
      <c r="CQ81" s="2" t="n">
        <v>0</v>
      </c>
      <c r="CR81" s="2" t="n">
        <v>0</v>
      </c>
      <c r="CS81" s="2" t="n">
        <v>0</v>
      </c>
      <c r="CT81" s="2"/>
      <c r="CU81" s="2" t="n">
        <v>1</v>
      </c>
      <c r="CV81" s="2"/>
      <c r="CW81" s="2" t="n">
        <v>67.55</v>
      </c>
      <c r="CX81" s="2" t="n">
        <v>1</v>
      </c>
      <c r="CY81" s="2" t="n">
        <v>4</v>
      </c>
      <c r="CZ81" s="2" t="n">
        <v>1</v>
      </c>
      <c r="DA81" s="2" t="n">
        <v>2</v>
      </c>
      <c r="DB81" s="2" t="n">
        <v>2</v>
      </c>
      <c r="DC81" s="2" t="n">
        <v>0</v>
      </c>
      <c r="DD81" s="2" t="n">
        <v>1</v>
      </c>
      <c r="DE81" s="2" t="n">
        <v>0</v>
      </c>
      <c r="DF81" s="2" t="n">
        <v>0</v>
      </c>
      <c r="DG81" s="2" t="n">
        <v>0</v>
      </c>
      <c r="DH81" s="2" t="n">
        <v>0</v>
      </c>
      <c r="DI81" s="2"/>
      <c r="DJ81" s="2" t="n">
        <v>1</v>
      </c>
      <c r="DK81" s="2"/>
      <c r="DL81" s="2" t="n">
        <v>2</v>
      </c>
      <c r="DM81" s="2"/>
      <c r="DN81" s="2" t="n">
        <v>2.64</v>
      </c>
      <c r="DO81" s="2" t="n">
        <v>1</v>
      </c>
      <c r="DP81" s="2" t="n">
        <v>5241</v>
      </c>
      <c r="DQ81" s="2" t="n">
        <v>0</v>
      </c>
      <c r="DR81" s="2" t="n">
        <v>5241</v>
      </c>
      <c r="DS81" s="2" t="n">
        <v>0</v>
      </c>
      <c r="DT81" s="2" t="n">
        <v>1891</v>
      </c>
      <c r="DU81" s="2" t="n">
        <v>0</v>
      </c>
      <c r="DV81" s="2" t="n">
        <v>90</v>
      </c>
      <c r="DW81" s="2" t="n">
        <v>1</v>
      </c>
      <c r="DX81" s="2"/>
      <c r="DY81" s="2" t="n">
        <v>1</v>
      </c>
      <c r="DZ81" s="2" t="n">
        <v>60000</v>
      </c>
      <c r="EA81" s="2" t="n">
        <v>29</v>
      </c>
      <c r="EB81" s="2" t="n">
        <v>3</v>
      </c>
      <c r="EC81" s="2" t="n">
        <v>4</v>
      </c>
      <c r="ED81" s="2" t="n">
        <v>0</v>
      </c>
      <c r="EE81" s="2" t="n">
        <v>1973</v>
      </c>
      <c r="EF81" s="2" t="n">
        <v>2013</v>
      </c>
      <c r="EG81" s="2"/>
      <c r="EH81" s="2" t="n">
        <v>1.76</v>
      </c>
      <c r="EI81" s="2" t="n">
        <v>0.32</v>
      </c>
      <c r="EJ81" s="2"/>
      <c r="EK81" s="2"/>
      <c r="EL81" s="2"/>
      <c r="EM81" s="2" t="n">
        <v>3.5</v>
      </c>
      <c r="EN81" s="2"/>
      <c r="EO81" s="2"/>
      <c r="EP81" s="2"/>
      <c r="EQ81" s="2"/>
      <c r="ER81" s="2"/>
      <c r="ES81" s="2"/>
      <c r="ET81" s="2"/>
      <c r="EU81" s="2" t="s">
        <v>428</v>
      </c>
      <c r="EV81" s="2" t="n">
        <v>1</v>
      </c>
      <c r="EW81" s="2" t="n">
        <v>1</v>
      </c>
      <c r="EX81" s="2" t="n">
        <v>1</v>
      </c>
      <c r="EY81" s="2"/>
      <c r="EZ81" s="2" t="n">
        <v>100</v>
      </c>
      <c r="FA81" s="2"/>
      <c r="FB81" s="2"/>
      <c r="FC81" s="2"/>
      <c r="FD81" s="2" t="n">
        <v>1</v>
      </c>
      <c r="FE81" s="2" t="n">
        <v>5241</v>
      </c>
      <c r="FF81" s="2" t="n">
        <v>0</v>
      </c>
      <c r="FG81" s="2" t="n">
        <v>5241</v>
      </c>
      <c r="FH81" s="2" t="n">
        <v>0</v>
      </c>
      <c r="FI81" s="2" t="n">
        <v>1871</v>
      </c>
      <c r="FJ81" s="2"/>
      <c r="FK81" s="2" t="n">
        <v>90</v>
      </c>
      <c r="FL81" s="2"/>
      <c r="FM81" s="2"/>
      <c r="FN81" s="2"/>
      <c r="FO81" s="2"/>
      <c r="FP81" s="2" t="n">
        <v>11.5</v>
      </c>
      <c r="FQ81" s="2" t="n">
        <v>3</v>
      </c>
      <c r="FR81" s="2" t="n">
        <v>2</v>
      </c>
      <c r="FS81" s="2" t="n">
        <v>2</v>
      </c>
      <c r="FT81" s="2" t="n">
        <v>0</v>
      </c>
      <c r="FU81" s="2" t="n">
        <v>0</v>
      </c>
      <c r="FV81" s="2" t="n">
        <v>0</v>
      </c>
      <c r="FW81" s="2" t="n">
        <v>0</v>
      </c>
      <c r="FX81" s="2" t="n">
        <v>1</v>
      </c>
      <c r="FY81" s="2" t="n">
        <v>1</v>
      </c>
      <c r="FZ81" s="2"/>
      <c r="GA81" s="2" t="n">
        <v>1970</v>
      </c>
      <c r="GB81" s="2" t="n">
        <v>2002</v>
      </c>
      <c r="GC81" s="2" t="n">
        <v>1.25</v>
      </c>
      <c r="GD81" s="2" t="n">
        <v>2.5</v>
      </c>
      <c r="GE81" s="2"/>
      <c r="GF81" s="2" t="n">
        <v>1.54</v>
      </c>
      <c r="GG81" s="2" t="n">
        <v>0.65</v>
      </c>
      <c r="GH81" s="2" t="n">
        <v>95</v>
      </c>
      <c r="GI81" s="2" t="s">
        <v>560</v>
      </c>
      <c r="GJ81" s="2" t="s">
        <v>560</v>
      </c>
      <c r="GK81" s="2" t="n">
        <v>2</v>
      </c>
      <c r="GL81" s="2" t="n">
        <v>1</v>
      </c>
      <c r="GM81" s="2"/>
      <c r="GN81" s="2" t="s">
        <v>655</v>
      </c>
      <c r="GO81" s="2" t="n">
        <v>2</v>
      </c>
      <c r="GP81" s="2"/>
      <c r="GQ81" s="2" t="n">
        <v>1</v>
      </c>
      <c r="GR81" s="2" t="n">
        <v>1</v>
      </c>
      <c r="GS81" s="2"/>
      <c r="GT81" s="2" t="n">
        <v>1</v>
      </c>
      <c r="GU81" s="2" t="n">
        <v>1891</v>
      </c>
      <c r="GV81" s="2"/>
      <c r="GW81" s="2" t="n">
        <v>90</v>
      </c>
      <c r="GX81" s="2"/>
      <c r="GY81" s="2"/>
      <c r="GZ81" s="2"/>
      <c r="HA81" s="2" t="n">
        <v>5.5</v>
      </c>
      <c r="HB81" s="2" t="s">
        <v>656</v>
      </c>
      <c r="HC81" s="2"/>
      <c r="HD81" s="2"/>
      <c r="HE81" s="2"/>
    </row>
    <row r="82" customFormat="false" ht="15" hidden="false" customHeight="false" outlineLevel="0" collapsed="false">
      <c r="A82" s="2" t="s">
        <v>657</v>
      </c>
      <c r="B82" s="2" t="n">
        <v>9598</v>
      </c>
      <c r="C82" s="2" t="n">
        <v>4</v>
      </c>
      <c r="D82" s="2" t="n">
        <v>5</v>
      </c>
      <c r="E82" s="2" t="n">
        <v>1</v>
      </c>
      <c r="F82" s="2"/>
      <c r="G82" s="2" t="n">
        <v>1</v>
      </c>
      <c r="H82" s="2" t="n">
        <v>1</v>
      </c>
      <c r="I82" s="2" t="n">
        <v>1</v>
      </c>
      <c r="J82" s="2" t="n">
        <v>1</v>
      </c>
      <c r="K82" s="2" t="n">
        <v>1</v>
      </c>
      <c r="L82" s="2" t="n">
        <v>1</v>
      </c>
      <c r="M82" s="2" t="n">
        <v>1</v>
      </c>
      <c r="N82" s="2" t="n">
        <v>1</v>
      </c>
      <c r="O82" s="2" t="n">
        <v>1</v>
      </c>
      <c r="P82" s="2" t="n">
        <v>1</v>
      </c>
      <c r="Q82" s="2" t="n">
        <v>0</v>
      </c>
      <c r="R82" s="2" t="n">
        <v>1</v>
      </c>
      <c r="S82" s="2" t="n">
        <v>0</v>
      </c>
      <c r="T82" s="2"/>
      <c r="U82" s="2" t="n">
        <v>6.65</v>
      </c>
      <c r="V82" s="2"/>
      <c r="W82" s="2" t="n">
        <v>21</v>
      </c>
      <c r="X82" s="2"/>
      <c r="Y82" s="2"/>
      <c r="Z82" s="2" t="n">
        <v>32</v>
      </c>
      <c r="AA82" s="2"/>
      <c r="AB82" s="2" t="n">
        <v>120</v>
      </c>
      <c r="AC82" s="2" t="n">
        <v>2</v>
      </c>
      <c r="AD82" s="2"/>
      <c r="AE82" s="2" t="n">
        <v>3</v>
      </c>
      <c r="AF82" s="2" t="n">
        <v>3</v>
      </c>
      <c r="AG82" s="2"/>
      <c r="AH82" s="2"/>
      <c r="AI82" s="2" t="s">
        <v>658</v>
      </c>
      <c r="AJ82" s="2" t="n">
        <v>14.3</v>
      </c>
      <c r="AK82" s="2" t="n">
        <v>20.3</v>
      </c>
      <c r="AL82" s="2" t="n">
        <v>10.5</v>
      </c>
      <c r="AM82" s="2"/>
      <c r="AN82" s="2"/>
      <c r="AO82" s="2"/>
      <c r="AP82" s="2" t="n">
        <v>1</v>
      </c>
      <c r="AQ82" s="2" t="n">
        <v>1</v>
      </c>
      <c r="AR82" s="2" t="n">
        <v>1</v>
      </c>
      <c r="AS82" s="2" t="n">
        <v>2017</v>
      </c>
      <c r="AT82" s="2" t="s">
        <v>532</v>
      </c>
      <c r="AU82" s="2" t="s">
        <v>532</v>
      </c>
      <c r="AV82" s="2" t="n">
        <v>2017</v>
      </c>
      <c r="AW82" s="2" t="s">
        <v>532</v>
      </c>
      <c r="AX82" s="2" t="s">
        <v>532</v>
      </c>
      <c r="AY82" s="2" t="n">
        <v>2</v>
      </c>
      <c r="AZ82" s="2" t="n">
        <v>2</v>
      </c>
      <c r="BA82" s="2"/>
      <c r="BB82" s="2"/>
      <c r="BC82" s="2" t="n">
        <v>0</v>
      </c>
      <c r="BD82" s="2" t="n">
        <v>1</v>
      </c>
      <c r="BE82" s="2" t="n">
        <v>0</v>
      </c>
      <c r="BF82" s="2" t="n">
        <v>1</v>
      </c>
      <c r="BG82" s="2" t="n">
        <v>1</v>
      </c>
      <c r="BH82" s="2" t="n">
        <v>0</v>
      </c>
      <c r="BI82" s="2" t="s">
        <v>659</v>
      </c>
      <c r="BJ82" s="2" t="n">
        <v>1</v>
      </c>
      <c r="BK82" s="2" t="n">
        <v>0</v>
      </c>
      <c r="BL82" s="2" t="n">
        <v>0</v>
      </c>
      <c r="BM82" s="2" t="n">
        <v>0</v>
      </c>
      <c r="BN82" s="2" t="n">
        <v>0</v>
      </c>
      <c r="BO82" s="2" t="n">
        <v>1</v>
      </c>
      <c r="BP82" s="2" t="n">
        <v>1</v>
      </c>
      <c r="BQ82" s="2" t="n">
        <v>0</v>
      </c>
      <c r="BR82" s="2"/>
      <c r="BS82" s="2" t="n">
        <v>2</v>
      </c>
      <c r="BT82" s="2" t="n">
        <v>2</v>
      </c>
      <c r="BU82" s="2" t="n">
        <v>2</v>
      </c>
      <c r="BV82" s="2" t="n">
        <v>1</v>
      </c>
      <c r="BW82" s="2"/>
      <c r="BX82" s="2" t="n">
        <v>1</v>
      </c>
      <c r="BY82" s="2" t="n">
        <v>0.05</v>
      </c>
      <c r="BZ82" s="2" t="n">
        <v>0</v>
      </c>
      <c r="CA82" s="2" t="n">
        <v>1</v>
      </c>
      <c r="CB82" s="2" t="n">
        <v>0</v>
      </c>
      <c r="CC82" s="2" t="n">
        <v>0</v>
      </c>
      <c r="CD82" s="2" t="n">
        <v>0</v>
      </c>
      <c r="CE82" s="2" t="n">
        <v>0</v>
      </c>
      <c r="CF82" s="2"/>
      <c r="CG82" s="2" t="n">
        <v>1</v>
      </c>
      <c r="CH82" s="2"/>
      <c r="CI82" s="2"/>
      <c r="CJ82" s="2" t="n">
        <v>1</v>
      </c>
      <c r="CK82" s="2"/>
      <c r="CL82" s="2" t="n">
        <v>1</v>
      </c>
      <c r="CM82" s="2" t="n">
        <v>0.05</v>
      </c>
      <c r="CN82" s="2" t="n">
        <v>0</v>
      </c>
      <c r="CO82" s="2" t="n">
        <v>1</v>
      </c>
      <c r="CP82" s="2" t="n">
        <v>0</v>
      </c>
      <c r="CQ82" s="2" t="n">
        <v>0</v>
      </c>
      <c r="CR82" s="2" t="n">
        <v>0</v>
      </c>
      <c r="CS82" s="2" t="n">
        <v>0</v>
      </c>
      <c r="CT82" s="2"/>
      <c r="CU82" s="2" t="n">
        <v>4</v>
      </c>
      <c r="CV82" s="2" t="s">
        <v>660</v>
      </c>
      <c r="CW82" s="2" t="n">
        <v>63.76</v>
      </c>
      <c r="CX82" s="2" t="n">
        <v>1</v>
      </c>
      <c r="CY82" s="2" t="n">
        <v>8</v>
      </c>
      <c r="CZ82" s="2" t="n">
        <v>1</v>
      </c>
      <c r="DA82" s="2" t="n">
        <v>0.05</v>
      </c>
      <c r="DB82" s="2" t="n">
        <v>2</v>
      </c>
      <c r="DC82" s="2" t="n">
        <v>0</v>
      </c>
      <c r="DD82" s="2" t="n">
        <v>1</v>
      </c>
      <c r="DE82" s="2" t="n">
        <v>0</v>
      </c>
      <c r="DF82" s="2" t="n">
        <v>0</v>
      </c>
      <c r="DG82" s="2" t="n">
        <v>0</v>
      </c>
      <c r="DH82" s="2" t="n">
        <v>0</v>
      </c>
      <c r="DI82" s="2"/>
      <c r="DJ82" s="2" t="n">
        <v>1</v>
      </c>
      <c r="DK82" s="2"/>
      <c r="DL82" s="2" t="n">
        <v>2</v>
      </c>
      <c r="DM82" s="2"/>
      <c r="DN82" s="2"/>
      <c r="DO82" s="2" t="n">
        <v>1</v>
      </c>
      <c r="DP82" s="2" t="n">
        <v>9598</v>
      </c>
      <c r="DQ82" s="2" t="n">
        <v>2</v>
      </c>
      <c r="DR82" s="2" t="n">
        <v>12500</v>
      </c>
      <c r="DS82" s="2" t="n">
        <v>2</v>
      </c>
      <c r="DT82" s="2" t="n">
        <v>3508</v>
      </c>
      <c r="DU82" s="2" t="n">
        <v>2</v>
      </c>
      <c r="DV82" s="2" t="n">
        <v>529</v>
      </c>
      <c r="DW82" s="2"/>
      <c r="DX82" s="2" t="n">
        <v>215</v>
      </c>
      <c r="DY82" s="2"/>
      <c r="DZ82" s="2"/>
      <c r="EA82" s="2" t="n">
        <v>67.93</v>
      </c>
      <c r="EB82" s="2" t="n">
        <v>3</v>
      </c>
      <c r="EC82" s="2" t="n">
        <v>3</v>
      </c>
      <c r="ED82" s="2" t="n">
        <v>0</v>
      </c>
      <c r="EE82" s="2" t="n">
        <v>1968</v>
      </c>
      <c r="EF82" s="2" t="n">
        <v>2004</v>
      </c>
      <c r="EG82" s="2" t="n">
        <v>3</v>
      </c>
      <c r="EH82" s="2" t="n">
        <v>3</v>
      </c>
      <c r="EI82" s="2" t="n">
        <v>1.302</v>
      </c>
      <c r="EJ82" s="2" t="n">
        <v>95</v>
      </c>
      <c r="EK82" s="2" t="n">
        <v>2.195</v>
      </c>
      <c r="EL82" s="2"/>
      <c r="EM82" s="2" t="n">
        <v>4.5</v>
      </c>
      <c r="EN82" s="2"/>
      <c r="EO82" s="2"/>
      <c r="EP82" s="2"/>
      <c r="EQ82" s="2"/>
      <c r="ER82" s="2"/>
      <c r="ES82" s="2"/>
      <c r="ET82" s="2"/>
      <c r="EU82" s="2" t="s">
        <v>661</v>
      </c>
      <c r="EV82" s="2" t="n">
        <v>1</v>
      </c>
      <c r="EW82" s="2" t="n">
        <v>1</v>
      </c>
      <c r="EX82" s="2" t="n">
        <v>1</v>
      </c>
      <c r="EY82" s="2"/>
      <c r="EZ82" s="2" t="n">
        <v>100</v>
      </c>
      <c r="FA82" s="2"/>
      <c r="FB82" s="2"/>
      <c r="FC82" s="2"/>
      <c r="FD82" s="2" t="n">
        <v>1</v>
      </c>
      <c r="FE82" s="2" t="n">
        <v>9598</v>
      </c>
      <c r="FF82" s="2"/>
      <c r="FG82" s="2" t="n">
        <v>12500</v>
      </c>
      <c r="FH82" s="2"/>
      <c r="FI82" s="2" t="n">
        <v>3492</v>
      </c>
      <c r="FJ82" s="2"/>
      <c r="FK82" s="2" t="n">
        <v>456</v>
      </c>
      <c r="FL82" s="2"/>
      <c r="FM82" s="2" t="n">
        <v>20</v>
      </c>
      <c r="FN82" s="2"/>
      <c r="FO82" s="2" t="n">
        <v>6</v>
      </c>
      <c r="FP82" s="2" t="n">
        <v>71.56</v>
      </c>
      <c r="FQ82" s="2" t="n">
        <v>39</v>
      </c>
      <c r="FR82" s="2" t="n">
        <v>2</v>
      </c>
      <c r="FS82" s="2" t="n">
        <v>2</v>
      </c>
      <c r="FT82" s="2" t="n">
        <v>0</v>
      </c>
      <c r="FU82" s="2" t="n">
        <v>0</v>
      </c>
      <c r="FV82" s="2" t="n">
        <v>0</v>
      </c>
      <c r="FW82" s="2" t="n">
        <v>0</v>
      </c>
      <c r="FX82" s="2" t="n">
        <v>1</v>
      </c>
      <c r="FY82" s="2" t="n">
        <v>1</v>
      </c>
      <c r="FZ82" s="2"/>
      <c r="GA82" s="2" t="n">
        <v>1960</v>
      </c>
      <c r="GB82" s="2" t="n">
        <v>2025</v>
      </c>
      <c r="GC82" s="2" t="n">
        <v>1.3</v>
      </c>
      <c r="GD82" s="2" t="n">
        <v>6</v>
      </c>
      <c r="GE82" s="2" t="n">
        <v>315.275</v>
      </c>
      <c r="GF82" s="2" t="n">
        <v>1.436</v>
      </c>
      <c r="GG82" s="2" t="n">
        <v>1.09</v>
      </c>
      <c r="GH82" s="2" t="n">
        <v>66</v>
      </c>
      <c r="GI82" s="2" t="s">
        <v>297</v>
      </c>
      <c r="GJ82" s="2" t="s">
        <v>513</v>
      </c>
      <c r="GK82" s="2" t="n">
        <v>2</v>
      </c>
      <c r="GL82" s="2" t="n">
        <v>1</v>
      </c>
      <c r="GM82" s="2"/>
      <c r="GN82" s="2" t="s">
        <v>662</v>
      </c>
      <c r="GO82" s="2" t="n">
        <v>2</v>
      </c>
      <c r="GP82" s="2"/>
      <c r="GQ82" s="2" t="n">
        <v>1</v>
      </c>
      <c r="GR82" s="2" t="n">
        <v>4</v>
      </c>
      <c r="GS82" s="3" t="s">
        <v>663</v>
      </c>
      <c r="GT82" s="2" t="n">
        <v>1</v>
      </c>
      <c r="GU82" s="2" t="n">
        <v>3517</v>
      </c>
      <c r="GV82" s="2"/>
      <c r="GW82" s="2" t="n">
        <v>499</v>
      </c>
      <c r="GX82" s="2"/>
      <c r="GY82" s="2" t="n">
        <v>21</v>
      </c>
      <c r="GZ82" s="2"/>
      <c r="HA82" s="2" t="n">
        <v>34.73</v>
      </c>
      <c r="HB82" s="2" t="s">
        <v>664</v>
      </c>
      <c r="HC82" s="2" t="n">
        <v>6500</v>
      </c>
      <c r="HD82" s="2" t="s">
        <v>665</v>
      </c>
      <c r="HE82" s="2"/>
    </row>
    <row r="83" customFormat="false" ht="15" hidden="false" customHeight="false" outlineLevel="0" collapsed="false">
      <c r="A83" s="2" t="s">
        <v>666</v>
      </c>
      <c r="B83" s="2" t="n">
        <v>100778</v>
      </c>
      <c r="C83" s="2" t="n">
        <v>5</v>
      </c>
      <c r="D83" s="2" t="n">
        <v>2</v>
      </c>
      <c r="E83" s="2" t="n">
        <v>1</v>
      </c>
      <c r="F83" s="2"/>
      <c r="G83" s="2" t="n">
        <v>1</v>
      </c>
      <c r="H83" s="2" t="n">
        <v>1</v>
      </c>
      <c r="I83" s="2" t="n">
        <v>1</v>
      </c>
      <c r="J83" s="2" t="n">
        <v>1</v>
      </c>
      <c r="K83" s="2" t="n">
        <v>1</v>
      </c>
      <c r="L83" s="2" t="n">
        <v>1</v>
      </c>
      <c r="M83" s="2" t="n">
        <v>1</v>
      </c>
      <c r="N83" s="2" t="n">
        <v>1</v>
      </c>
      <c r="O83" s="2" t="n">
        <v>1</v>
      </c>
      <c r="P83" s="2" t="n">
        <v>0</v>
      </c>
      <c r="Q83" s="2" t="n">
        <v>0</v>
      </c>
      <c r="R83" s="2" t="n">
        <v>0</v>
      </c>
      <c r="S83" s="2" t="n">
        <v>0</v>
      </c>
      <c r="T83" s="2"/>
      <c r="U83" s="2"/>
      <c r="V83" s="2"/>
      <c r="W83" s="2"/>
      <c r="X83" s="2"/>
      <c r="Y83" s="2"/>
      <c r="Z83" s="2" t="n">
        <v>30</v>
      </c>
      <c r="AA83" s="2"/>
      <c r="AB83" s="2" t="n">
        <v>120</v>
      </c>
      <c r="AC83" s="2" t="n">
        <v>1</v>
      </c>
      <c r="AD83" s="2" t="s">
        <v>667</v>
      </c>
      <c r="AE83" s="2" t="n">
        <v>3</v>
      </c>
      <c r="AF83" s="2" t="n">
        <v>2</v>
      </c>
      <c r="AG83" s="2" t="n">
        <v>365</v>
      </c>
      <c r="AH83" s="2"/>
      <c r="AI83" s="2"/>
      <c r="AJ83" s="2" t="n">
        <v>0.27</v>
      </c>
      <c r="AK83" s="2" t="n">
        <v>0</v>
      </c>
      <c r="AL83" s="2" t="n">
        <v>0</v>
      </c>
      <c r="AM83" s="2"/>
      <c r="AN83" s="2"/>
      <c r="AO83" s="2"/>
      <c r="AP83" s="2" t="n">
        <v>1</v>
      </c>
      <c r="AQ83" s="2" t="n">
        <v>1</v>
      </c>
      <c r="AR83" s="2" t="n">
        <v>1</v>
      </c>
      <c r="AS83" s="2" t="n">
        <v>2024</v>
      </c>
      <c r="AT83" s="2" t="s">
        <v>250</v>
      </c>
      <c r="AU83" s="2" t="s">
        <v>250</v>
      </c>
      <c r="AV83" s="2" t="n">
        <v>2024</v>
      </c>
      <c r="AW83" s="2" t="s">
        <v>250</v>
      </c>
      <c r="AX83" s="2" t="s">
        <v>250</v>
      </c>
      <c r="AY83" s="2" t="n">
        <v>2</v>
      </c>
      <c r="AZ83" s="2" t="n">
        <v>4</v>
      </c>
      <c r="BA83" s="2"/>
      <c r="BB83" s="2" t="s">
        <v>668</v>
      </c>
      <c r="BC83" s="2" t="n">
        <v>0</v>
      </c>
      <c r="BD83" s="2" t="n">
        <v>0</v>
      </c>
      <c r="BE83" s="2" t="n">
        <v>0</v>
      </c>
      <c r="BF83" s="2" t="n">
        <v>0</v>
      </c>
      <c r="BG83" s="2" t="n">
        <v>1</v>
      </c>
      <c r="BH83" s="2" t="n">
        <v>1</v>
      </c>
      <c r="BI83" s="2"/>
      <c r="BJ83" s="2" t="n">
        <v>1</v>
      </c>
      <c r="BK83" s="2" t="n">
        <v>0</v>
      </c>
      <c r="BL83" s="2" t="n">
        <v>0</v>
      </c>
      <c r="BM83" s="2" t="n">
        <v>0</v>
      </c>
      <c r="BN83" s="2" t="n">
        <v>0</v>
      </c>
      <c r="BO83" s="2" t="n">
        <v>0</v>
      </c>
      <c r="BP83" s="2" t="n">
        <v>0</v>
      </c>
      <c r="BQ83" s="2" t="n">
        <v>1</v>
      </c>
      <c r="BR83" s="2"/>
      <c r="BS83" s="2" t="n">
        <v>2</v>
      </c>
      <c r="BT83" s="2" t="n">
        <v>2</v>
      </c>
      <c r="BU83" s="2" t="n">
        <v>2</v>
      </c>
      <c r="BV83" s="2" t="n">
        <v>1</v>
      </c>
      <c r="BW83" s="2" t="n">
        <v>2025</v>
      </c>
      <c r="BX83" s="2" t="n">
        <v>1</v>
      </c>
      <c r="BY83" s="2"/>
      <c r="BZ83" s="2" t="n">
        <v>1</v>
      </c>
      <c r="CA83" s="2" t="n">
        <v>0</v>
      </c>
      <c r="CB83" s="2" t="n">
        <v>1</v>
      </c>
      <c r="CC83" s="2" t="n">
        <v>1</v>
      </c>
      <c r="CD83" s="2" t="n">
        <v>0</v>
      </c>
      <c r="CE83" s="2" t="n">
        <v>1</v>
      </c>
      <c r="CF83" s="2" t="s">
        <v>669</v>
      </c>
      <c r="CG83" s="2" t="n">
        <v>4</v>
      </c>
      <c r="CH83" s="2"/>
      <c r="CI83" s="2" t="n">
        <v>66.27</v>
      </c>
      <c r="CJ83" s="2" t="n">
        <v>1</v>
      </c>
      <c r="CK83" s="2" t="n">
        <v>2025</v>
      </c>
      <c r="CL83" s="2" t="n">
        <v>1</v>
      </c>
      <c r="CM83" s="2"/>
      <c r="CN83" s="2" t="n">
        <v>1</v>
      </c>
      <c r="CO83" s="2" t="n">
        <v>1</v>
      </c>
      <c r="CP83" s="2" t="n">
        <v>1</v>
      </c>
      <c r="CQ83" s="2" t="n">
        <v>1</v>
      </c>
      <c r="CR83" s="2" t="n">
        <v>0</v>
      </c>
      <c r="CS83" s="2" t="n">
        <v>0</v>
      </c>
      <c r="CT83" s="2" t="s">
        <v>670</v>
      </c>
      <c r="CU83" s="2" t="n">
        <v>4</v>
      </c>
      <c r="CV83" s="2" t="s">
        <v>671</v>
      </c>
      <c r="CW83" s="2" t="n">
        <v>54.13</v>
      </c>
      <c r="CX83" s="2" t="n">
        <v>1</v>
      </c>
      <c r="CY83" s="2" t="n">
        <v>7</v>
      </c>
      <c r="CZ83" s="2" t="n">
        <v>1</v>
      </c>
      <c r="DA83" s="2" t="n">
        <v>0.0294</v>
      </c>
      <c r="DB83" s="2" t="n">
        <v>1</v>
      </c>
      <c r="DC83" s="2" t="n">
        <v>1</v>
      </c>
      <c r="DD83" s="2" t="n">
        <v>1</v>
      </c>
      <c r="DE83" s="2" t="n">
        <v>1</v>
      </c>
      <c r="DF83" s="2" t="n">
        <v>1</v>
      </c>
      <c r="DG83" s="2" t="n">
        <v>0</v>
      </c>
      <c r="DH83" s="2" t="n">
        <v>0</v>
      </c>
      <c r="DI83" s="2" t="s">
        <v>672</v>
      </c>
      <c r="DJ83" s="2" t="n">
        <v>1</v>
      </c>
      <c r="DK83" s="2"/>
      <c r="DL83" s="2" t="n">
        <v>1</v>
      </c>
      <c r="DM83" s="2" t="s">
        <v>673</v>
      </c>
      <c r="DN83" s="2" t="n">
        <v>14</v>
      </c>
      <c r="DO83" s="2" t="n">
        <v>1</v>
      </c>
      <c r="DP83" s="2" t="n">
        <v>99843</v>
      </c>
      <c r="DQ83" s="2" t="n">
        <v>0</v>
      </c>
      <c r="DR83" s="2"/>
      <c r="DS83" s="2" t="n">
        <v>0</v>
      </c>
      <c r="DT83" s="2" t="n">
        <v>22316</v>
      </c>
      <c r="DU83" s="2" t="n">
        <v>0</v>
      </c>
      <c r="DV83" s="2" t="n">
        <v>1188</v>
      </c>
      <c r="DW83" s="2" t="n">
        <v>1</v>
      </c>
      <c r="DX83" s="2" t="n">
        <v>965</v>
      </c>
      <c r="DY83" s="2" t="n">
        <v>1</v>
      </c>
      <c r="DZ83" s="2" t="n">
        <v>98097</v>
      </c>
      <c r="EA83" s="2" t="n">
        <v>400</v>
      </c>
      <c r="EB83" s="2" t="n">
        <v>6</v>
      </c>
      <c r="EC83" s="2" t="n">
        <v>10</v>
      </c>
      <c r="ED83" s="2" t="n">
        <v>17</v>
      </c>
      <c r="EE83" s="2" t="n">
        <v>1949</v>
      </c>
      <c r="EF83" s="2" t="n">
        <v>2025</v>
      </c>
      <c r="EG83" s="2" t="n">
        <v>29</v>
      </c>
      <c r="EH83" s="2" t="n">
        <v>31.75</v>
      </c>
      <c r="EI83" s="2" t="n">
        <v>9.57</v>
      </c>
      <c r="EJ83" s="2" t="n">
        <v>0.9</v>
      </c>
      <c r="EK83" s="2" t="n">
        <v>17</v>
      </c>
      <c r="EL83" s="2" t="n">
        <v>7</v>
      </c>
      <c r="EM83" s="2"/>
      <c r="EN83" s="2" t="n">
        <v>5</v>
      </c>
      <c r="EO83" s="2" t="n">
        <v>7</v>
      </c>
      <c r="EP83" s="2" t="n">
        <v>7</v>
      </c>
      <c r="EQ83" s="2" t="n">
        <v>3</v>
      </c>
      <c r="ER83" s="2"/>
      <c r="ES83" s="2"/>
      <c r="ET83" s="2" t="s">
        <v>674</v>
      </c>
      <c r="EU83" s="2" t="s">
        <v>675</v>
      </c>
      <c r="EV83" s="2" t="n">
        <v>1</v>
      </c>
      <c r="EW83" s="2" t="n">
        <v>1</v>
      </c>
      <c r="EX83" s="2" t="n">
        <v>2</v>
      </c>
      <c r="EY83" s="2"/>
      <c r="EZ83" s="2" t="n">
        <v>0.25</v>
      </c>
      <c r="FA83" s="2"/>
      <c r="FB83" s="2" t="n">
        <v>0.75</v>
      </c>
      <c r="FC83" s="2" t="s">
        <v>254</v>
      </c>
      <c r="FD83" s="2" t="n">
        <v>1</v>
      </c>
      <c r="FE83" s="2" t="n">
        <v>99843</v>
      </c>
      <c r="FF83" s="2"/>
      <c r="FG83" s="2"/>
      <c r="FH83" s="2"/>
      <c r="FI83" s="2" t="n">
        <v>22316</v>
      </c>
      <c r="FJ83" s="2" t="n">
        <v>12</v>
      </c>
      <c r="FK83" s="2" t="n">
        <v>1188</v>
      </c>
      <c r="FL83" s="2" t="n">
        <v>9</v>
      </c>
      <c r="FM83" s="2" t="n">
        <v>965</v>
      </c>
      <c r="FN83" s="2" t="n">
        <v>5</v>
      </c>
      <c r="FO83" s="2"/>
      <c r="FP83" s="2" t="n">
        <v>301</v>
      </c>
      <c r="FQ83" s="2"/>
      <c r="FR83" s="2" t="n">
        <v>4</v>
      </c>
      <c r="FS83" s="2" t="n">
        <v>3</v>
      </c>
      <c r="FT83" s="2" t="n">
        <v>1</v>
      </c>
      <c r="FU83" s="2" t="n">
        <v>1</v>
      </c>
      <c r="FV83" s="2" t="n">
        <v>0</v>
      </c>
      <c r="FW83" s="2" t="n">
        <v>1</v>
      </c>
      <c r="FX83" s="2" t="n">
        <v>1</v>
      </c>
      <c r="FY83" s="2" t="n">
        <v>1</v>
      </c>
      <c r="FZ83" s="2"/>
      <c r="GA83" s="2"/>
      <c r="GB83" s="2"/>
      <c r="GC83" s="2"/>
      <c r="GD83" s="2"/>
      <c r="GE83" s="2"/>
      <c r="GF83" s="2"/>
      <c r="GG83" s="2"/>
      <c r="GH83" s="2"/>
      <c r="GI83" s="2" t="s">
        <v>676</v>
      </c>
      <c r="GJ83" s="2" t="s">
        <v>676</v>
      </c>
      <c r="GK83" s="2" t="n">
        <v>2</v>
      </c>
      <c r="GL83" s="2" t="n">
        <v>2</v>
      </c>
      <c r="GM83" s="2" t="s">
        <v>250</v>
      </c>
      <c r="GN83" s="2"/>
      <c r="GO83" s="2" t="n">
        <v>2</v>
      </c>
      <c r="GP83" s="2"/>
      <c r="GQ83" s="2" t="n">
        <v>2</v>
      </c>
      <c r="GR83" s="2"/>
      <c r="GS83" s="2" t="s">
        <v>254</v>
      </c>
      <c r="GT83" s="2" t="n">
        <v>1</v>
      </c>
      <c r="GU83" s="2" t="n">
        <v>22316</v>
      </c>
      <c r="GV83" s="2" t="n">
        <v>4</v>
      </c>
      <c r="GW83" s="2" t="n">
        <v>1188</v>
      </c>
      <c r="GX83" s="2" t="n">
        <v>3</v>
      </c>
      <c r="GY83" s="2" t="n">
        <v>965</v>
      </c>
      <c r="GZ83" s="2" t="n">
        <v>2</v>
      </c>
      <c r="HA83" s="2" t="n">
        <v>258</v>
      </c>
      <c r="HB83" s="2" t="s">
        <v>677</v>
      </c>
      <c r="HC83" s="2" t="n">
        <v>2640</v>
      </c>
      <c r="HD83" s="2" t="s">
        <v>254</v>
      </c>
      <c r="HE83" s="2" t="s">
        <v>678</v>
      </c>
    </row>
    <row r="84" customFormat="false" ht="15" hidden="false" customHeight="false" outlineLevel="0" collapsed="false">
      <c r="A84" s="2" t="s">
        <v>666</v>
      </c>
      <c r="B84" s="2" t="n">
        <v>100778</v>
      </c>
      <c r="C84" s="2" t="n">
        <v>5</v>
      </c>
      <c r="D84" s="2" t="n">
        <v>2</v>
      </c>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row>
    <row r="85" customFormat="false" ht="15" hidden="false" customHeight="false" outlineLevel="0" collapsed="false">
      <c r="A85" s="2" t="s">
        <v>679</v>
      </c>
      <c r="B85" s="2" t="n">
        <v>37146</v>
      </c>
      <c r="C85" s="2" t="n">
        <v>5</v>
      </c>
      <c r="D85" s="2" t="n">
        <v>9</v>
      </c>
      <c r="E85" s="2" t="n">
        <v>1</v>
      </c>
      <c r="F85" s="2"/>
      <c r="G85" s="2" t="n">
        <v>1</v>
      </c>
      <c r="H85" s="2" t="n">
        <v>1</v>
      </c>
      <c r="I85" s="2" t="n">
        <v>1</v>
      </c>
      <c r="J85" s="2" t="n">
        <v>1</v>
      </c>
      <c r="K85" s="2" t="n">
        <v>1</v>
      </c>
      <c r="L85" s="2" t="n">
        <v>1</v>
      </c>
      <c r="M85" s="2" t="n">
        <v>1</v>
      </c>
      <c r="N85" s="2" t="n">
        <v>0</v>
      </c>
      <c r="O85" s="2" t="n">
        <v>1</v>
      </c>
      <c r="P85" s="2" t="n">
        <v>1</v>
      </c>
      <c r="Q85" s="2" t="n">
        <v>0</v>
      </c>
      <c r="R85" s="2" t="n">
        <v>1</v>
      </c>
      <c r="S85" s="2" t="n">
        <v>0</v>
      </c>
      <c r="T85" s="2"/>
      <c r="U85" s="2"/>
      <c r="V85" s="2"/>
      <c r="W85" s="2"/>
      <c r="X85" s="2"/>
      <c r="Y85" s="2"/>
      <c r="Z85" s="2" t="n">
        <v>2</v>
      </c>
      <c r="AA85" s="2"/>
      <c r="AB85" s="2"/>
      <c r="AC85" s="2" t="n">
        <v>1</v>
      </c>
      <c r="AD85" s="2" t="s">
        <v>680</v>
      </c>
      <c r="AE85" s="2" t="n">
        <v>2</v>
      </c>
      <c r="AF85" s="2"/>
      <c r="AG85" s="2"/>
      <c r="AH85" s="2" t="s">
        <v>681</v>
      </c>
      <c r="AI85" s="2"/>
      <c r="AJ85" s="2"/>
      <c r="AK85" s="2"/>
      <c r="AL85" s="2"/>
      <c r="AM85" s="2"/>
      <c r="AN85" s="2"/>
      <c r="AO85" s="2"/>
      <c r="AP85" s="2" t="n">
        <v>1</v>
      </c>
      <c r="AQ85" s="2" t="n">
        <v>1</v>
      </c>
      <c r="AR85" s="2" t="n">
        <v>1</v>
      </c>
      <c r="AS85" s="2" t="n">
        <v>2025</v>
      </c>
      <c r="AT85" s="2" t="s">
        <v>287</v>
      </c>
      <c r="AU85" s="2" t="s">
        <v>218</v>
      </c>
      <c r="AV85" s="2"/>
      <c r="AW85" s="2" t="s">
        <v>287</v>
      </c>
      <c r="AX85" s="2"/>
      <c r="AY85" s="2" t="n">
        <v>1</v>
      </c>
      <c r="AZ85" s="2" t="n">
        <v>4</v>
      </c>
      <c r="BA85" s="2"/>
      <c r="BB85" s="2" t="s">
        <v>682</v>
      </c>
      <c r="BC85" s="2" t="n">
        <v>1</v>
      </c>
      <c r="BD85" s="2" t="n">
        <v>1</v>
      </c>
      <c r="BE85" s="2" t="n">
        <v>0</v>
      </c>
      <c r="BF85" s="2" t="n">
        <v>1</v>
      </c>
      <c r="BG85" s="2" t="n">
        <v>1</v>
      </c>
      <c r="BH85" s="2" t="n">
        <v>1</v>
      </c>
      <c r="BI85" s="2" t="s">
        <v>683</v>
      </c>
      <c r="BJ85" s="2" t="n">
        <v>1</v>
      </c>
      <c r="BK85" s="2"/>
      <c r="BL85" s="2"/>
      <c r="BM85" s="2"/>
      <c r="BN85" s="2"/>
      <c r="BO85" s="2"/>
      <c r="BP85" s="2"/>
      <c r="BQ85" s="2"/>
      <c r="BR85" s="2"/>
      <c r="BS85" s="2" t="n">
        <v>2</v>
      </c>
      <c r="BT85" s="2" t="n">
        <v>2</v>
      </c>
      <c r="BU85" s="2" t="n">
        <v>2</v>
      </c>
      <c r="BV85" s="2" t="n">
        <v>1</v>
      </c>
      <c r="BW85" s="2" t="n">
        <v>2025</v>
      </c>
      <c r="BX85" s="2" t="n">
        <v>1</v>
      </c>
      <c r="BY85" s="2" t="n">
        <v>0.03</v>
      </c>
      <c r="BZ85" s="2" t="n">
        <v>1</v>
      </c>
      <c r="CA85" s="2" t="n">
        <v>1</v>
      </c>
      <c r="CB85" s="2" t="n">
        <v>1</v>
      </c>
      <c r="CC85" s="2" t="n">
        <v>0</v>
      </c>
      <c r="CD85" s="2" t="n">
        <v>0</v>
      </c>
      <c r="CE85" s="2" t="n">
        <v>1</v>
      </c>
      <c r="CF85" s="2"/>
      <c r="CG85" s="2" t="n">
        <v>5</v>
      </c>
      <c r="CH85" s="2" t="s">
        <v>684</v>
      </c>
      <c r="CI85" s="2" t="n">
        <v>35.48</v>
      </c>
      <c r="CJ85" s="2" t="n">
        <v>1</v>
      </c>
      <c r="CK85" s="2" t="n">
        <v>2025</v>
      </c>
      <c r="CL85" s="2" t="n">
        <v>1</v>
      </c>
      <c r="CM85" s="2" t="n">
        <v>0.04</v>
      </c>
      <c r="CN85" s="2" t="n">
        <v>1</v>
      </c>
      <c r="CO85" s="2" t="n">
        <v>1</v>
      </c>
      <c r="CP85" s="2" t="n">
        <v>1</v>
      </c>
      <c r="CQ85" s="2" t="n">
        <v>0</v>
      </c>
      <c r="CR85" s="2" t="n">
        <v>0</v>
      </c>
      <c r="CS85" s="2" t="n">
        <v>1</v>
      </c>
      <c r="CT85" s="2"/>
      <c r="CU85" s="2" t="n">
        <v>4</v>
      </c>
      <c r="CV85" s="2" t="s">
        <v>685</v>
      </c>
      <c r="CW85" s="2" t="n">
        <v>37.03</v>
      </c>
      <c r="CX85" s="2" t="n">
        <v>1</v>
      </c>
      <c r="CY85" s="2" t="n">
        <v>7</v>
      </c>
      <c r="CZ85" s="2" t="n">
        <v>1</v>
      </c>
      <c r="DA85" s="2" t="n">
        <v>0.03</v>
      </c>
      <c r="DB85" s="2" t="n">
        <v>3</v>
      </c>
      <c r="DC85" s="2" t="n">
        <v>1</v>
      </c>
      <c r="DD85" s="2" t="n">
        <v>1</v>
      </c>
      <c r="DE85" s="2" t="n">
        <v>1</v>
      </c>
      <c r="DF85" s="2" t="n">
        <v>0</v>
      </c>
      <c r="DG85" s="2" t="n">
        <v>0</v>
      </c>
      <c r="DH85" s="2" t="n">
        <v>1</v>
      </c>
      <c r="DI85" s="2"/>
      <c r="DJ85" s="2" t="n">
        <v>1</v>
      </c>
      <c r="DK85" s="2"/>
      <c r="DL85" s="2" t="n">
        <v>2</v>
      </c>
      <c r="DM85" s="2"/>
      <c r="DN85" s="2" t="n">
        <v>9.03</v>
      </c>
      <c r="DO85" s="2" t="n">
        <v>1</v>
      </c>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t="n">
        <v>1</v>
      </c>
      <c r="EW85" s="2"/>
      <c r="EX85" s="2"/>
      <c r="EY85" s="2"/>
      <c r="EZ85" s="2"/>
      <c r="FA85" s="2"/>
      <c r="FB85" s="2"/>
      <c r="FC85" s="2"/>
      <c r="FD85" s="2" t="n">
        <v>1</v>
      </c>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t="n">
        <v>1</v>
      </c>
      <c r="GL85" s="2" t="n">
        <v>2</v>
      </c>
      <c r="GM85" s="2"/>
      <c r="GN85" s="2"/>
      <c r="GO85" s="2"/>
      <c r="GP85" s="2"/>
      <c r="GQ85" s="2"/>
      <c r="GR85" s="2"/>
      <c r="GS85" s="2" t="s">
        <v>686</v>
      </c>
      <c r="GT85" s="2" t="n">
        <v>1</v>
      </c>
      <c r="GU85" s="2"/>
      <c r="GV85" s="2"/>
      <c r="GW85" s="2"/>
      <c r="GX85" s="2"/>
      <c r="GY85" s="2"/>
      <c r="GZ85" s="2"/>
      <c r="HA85" s="2"/>
      <c r="HB85" s="2"/>
      <c r="HC85" s="2"/>
      <c r="HD85" s="2"/>
      <c r="HE8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3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9" min="2" style="0" width="12"/>
  </cols>
  <sheetData>
    <row r="1" customFormat="false" ht="17.35" hidden="false" customHeight="false" outlineLevel="0" collapsed="false">
      <c r="A1" s="4" t="s">
        <v>687</v>
      </c>
    </row>
    <row r="2" customFormat="false" ht="15" hidden="false" customHeight="false" outlineLevel="0" collapsed="false">
      <c r="A2" s="5" t="s">
        <v>688</v>
      </c>
    </row>
    <row r="4" customFormat="false" ht="15" hidden="false" customHeight="false" outlineLevel="0" collapsed="false">
      <c r="A4" s="6" t="s">
        <v>4</v>
      </c>
      <c r="B4" s="7" t="s">
        <v>689</v>
      </c>
    </row>
    <row r="5" customFormat="false" ht="15" hidden="false" customHeight="false" outlineLevel="0" collapsed="false">
      <c r="A5" s="8"/>
      <c r="B5" s="9" t="s">
        <v>690</v>
      </c>
      <c r="C5" s="8"/>
      <c r="D5" s="9" t="s">
        <v>691</v>
      </c>
      <c r="E5" s="8"/>
      <c r="F5" s="9" t="s">
        <v>692</v>
      </c>
      <c r="G5" s="8"/>
      <c r="H5" s="9" t="s">
        <v>693</v>
      </c>
      <c r="I5" s="8"/>
      <c r="J5" s="9" t="s">
        <v>694</v>
      </c>
    </row>
    <row r="6" customFormat="false" ht="15" hidden="false" customHeight="false" outlineLevel="0" collapsed="false">
      <c r="B6" s="10" t="s">
        <v>695</v>
      </c>
      <c r="C6" s="10" t="s">
        <v>696</v>
      </c>
      <c r="D6" s="10" t="s">
        <v>695</v>
      </c>
      <c r="E6" s="10" t="s">
        <v>696</v>
      </c>
      <c r="F6" s="10" t="s">
        <v>695</v>
      </c>
      <c r="G6" s="10" t="s">
        <v>696</v>
      </c>
      <c r="H6" s="10" t="s">
        <v>695</v>
      </c>
      <c r="I6" s="10" t="s">
        <v>696</v>
      </c>
    </row>
    <row r="7" customFormat="false" ht="15" hidden="false" customHeight="false" outlineLevel="0" collapsed="false">
      <c r="A7" s="11" t="s">
        <v>697</v>
      </c>
    </row>
    <row r="8" customFormat="false" ht="15" hidden="false" customHeight="false" outlineLevel="0" collapsed="false">
      <c r="A8" s="12" t="s">
        <v>698</v>
      </c>
      <c r="B8" s="12" t="n">
        <f aca="false">COUNTIFS(Cleaned!$C$2:$C$125,1,Cleaned!E$2:E$125,1)</f>
        <v>12</v>
      </c>
      <c r="C8" s="13" t="n">
        <f aca="false">IFERROR(B8/$J8,"")</f>
        <v>0.8</v>
      </c>
      <c r="D8" s="12" t="n">
        <f aca="false">COUNTIFS(Cleaned!$C$2:$C$125,1,Cleaned!E$2:E$125,2)</f>
        <v>1</v>
      </c>
      <c r="E8" s="13" t="n">
        <f aca="false">IFERROR(D8/$J8,"")</f>
        <v>0.0666666666666667</v>
      </c>
      <c r="F8" s="12" t="n">
        <f aca="false">COUNTIFS(Cleaned!$C$2:$C$125,1,Cleaned!E$2:E$125,3)</f>
        <v>0</v>
      </c>
      <c r="G8" s="13" t="n">
        <f aca="false">IFERROR(F8/$J8,"")</f>
        <v>0</v>
      </c>
      <c r="H8" s="12" t="n">
        <f aca="false">COUNTIFS(Cleaned!$C$2:$C$125,1,Cleaned!E$2:E$125,4)</f>
        <v>2</v>
      </c>
      <c r="I8" s="13" t="n">
        <f aca="false">IFERROR(H8/$J8,"")</f>
        <v>0.133333333333333</v>
      </c>
      <c r="J8" s="12" t="n">
        <f aca="false">B8+D8+F8+H8</f>
        <v>15</v>
      </c>
    </row>
    <row r="9" customFormat="false" ht="15" hidden="false" customHeight="false" outlineLevel="0" collapsed="false">
      <c r="A9" s="12" t="s">
        <v>699</v>
      </c>
      <c r="B9" s="12" t="n">
        <f aca="false">COUNTIFS(Cleaned!$C$2:$C$125,2,Cleaned!E$2:E$125,1)</f>
        <v>12</v>
      </c>
      <c r="C9" s="13" t="n">
        <f aca="false">IFERROR(B9/$J9,"")</f>
        <v>0.923076923076923</v>
      </c>
      <c r="D9" s="12" t="n">
        <f aca="false">COUNTIFS(Cleaned!$C$2:$C$125,2,Cleaned!E$2:E$125,2)</f>
        <v>1</v>
      </c>
      <c r="E9" s="13" t="n">
        <f aca="false">IFERROR(D9/$J9,"")</f>
        <v>0.0769230769230769</v>
      </c>
      <c r="F9" s="12" t="n">
        <f aca="false">COUNTIFS(Cleaned!$C$2:$C$125,2,Cleaned!E$2:E$125,3)</f>
        <v>0</v>
      </c>
      <c r="G9" s="13" t="n">
        <f aca="false">IFERROR(F9/$J9,"")</f>
        <v>0</v>
      </c>
      <c r="H9" s="12" t="n">
        <f aca="false">COUNTIFS(Cleaned!$C$2:$C$125,2,Cleaned!E$2:E$125,4)</f>
        <v>0</v>
      </c>
      <c r="I9" s="13" t="n">
        <f aca="false">IFERROR(H9/$J9,"")</f>
        <v>0</v>
      </c>
      <c r="J9" s="12" t="n">
        <f aca="false">B9+D9+F9+H9</f>
        <v>13</v>
      </c>
    </row>
    <row r="10" customFormat="false" ht="15" hidden="false" customHeight="false" outlineLevel="0" collapsed="false">
      <c r="A10" s="12" t="s">
        <v>700</v>
      </c>
      <c r="B10" s="12" t="n">
        <f aca="false">COUNTIFS(Cleaned!$C$2:$C$125,3,Cleaned!E$2:E$125,1)</f>
        <v>15</v>
      </c>
      <c r="C10" s="13" t="n">
        <f aca="false">IFERROR(B10/$J10,"")</f>
        <v>0.882352941176471</v>
      </c>
      <c r="D10" s="12" t="n">
        <f aca="false">COUNTIFS(Cleaned!$C$2:$C$125,3,Cleaned!E$2:E$125,2)</f>
        <v>2</v>
      </c>
      <c r="E10" s="13" t="n">
        <f aca="false">IFERROR(D10/$J10,"")</f>
        <v>0.117647058823529</v>
      </c>
      <c r="F10" s="12" t="n">
        <f aca="false">COUNTIFS(Cleaned!$C$2:$C$125,3,Cleaned!E$2:E$125,3)</f>
        <v>0</v>
      </c>
      <c r="G10" s="13" t="n">
        <f aca="false">IFERROR(F10/$J10,"")</f>
        <v>0</v>
      </c>
      <c r="H10" s="12" t="n">
        <f aca="false">COUNTIFS(Cleaned!$C$2:$C$125,3,Cleaned!E$2:E$125,4)</f>
        <v>0</v>
      </c>
      <c r="I10" s="13" t="n">
        <f aca="false">IFERROR(H10/$J10,"")</f>
        <v>0</v>
      </c>
      <c r="J10" s="12" t="n">
        <f aca="false">B10+D10+F10+H10</f>
        <v>17</v>
      </c>
    </row>
    <row r="11" customFormat="false" ht="15" hidden="false" customHeight="false" outlineLevel="0" collapsed="false">
      <c r="A11" s="12" t="s">
        <v>701</v>
      </c>
      <c r="B11" s="12" t="n">
        <f aca="false">COUNTIFS(Cleaned!$C$2:$C$125,4,Cleaned!E$2:E$125,1)</f>
        <v>9</v>
      </c>
      <c r="C11" s="13" t="n">
        <f aca="false">IFERROR(B11/$J11,"")</f>
        <v>0.818181818181818</v>
      </c>
      <c r="D11" s="12" t="n">
        <f aca="false">COUNTIFS(Cleaned!$C$2:$C$125,4,Cleaned!E$2:E$125,2)</f>
        <v>1</v>
      </c>
      <c r="E11" s="13" t="n">
        <f aca="false">IFERROR(D11/$J11,"")</f>
        <v>0.0909090909090909</v>
      </c>
      <c r="F11" s="12" t="n">
        <f aca="false">COUNTIFS(Cleaned!$C$2:$C$125,4,Cleaned!E$2:E$125,3)</f>
        <v>0</v>
      </c>
      <c r="G11" s="13" t="n">
        <f aca="false">IFERROR(F11/$J11,"")</f>
        <v>0</v>
      </c>
      <c r="H11" s="12" t="n">
        <f aca="false">COUNTIFS(Cleaned!$C$2:$C$125,4,Cleaned!E$2:E$125,4)</f>
        <v>1</v>
      </c>
      <c r="I11" s="13" t="n">
        <f aca="false">IFERROR(H11/$J11,"")</f>
        <v>0.0909090909090909</v>
      </c>
      <c r="J11" s="12" t="n">
        <f aca="false">B11+D11+F11+H11</f>
        <v>11</v>
      </c>
    </row>
    <row r="12" customFormat="false" ht="15" hidden="false" customHeight="false" outlineLevel="0" collapsed="false">
      <c r="A12" s="12" t="s">
        <v>702</v>
      </c>
      <c r="B12" s="12" t="n">
        <f aca="false">COUNTIFS(Cleaned!$C$2:$C$125,5,Cleaned!E$2:E$125,1)</f>
        <v>17</v>
      </c>
      <c r="C12" s="13" t="n">
        <f aca="false">IFERROR(B12/$J12,"")</f>
        <v>0.739130434782609</v>
      </c>
      <c r="D12" s="12" t="n">
        <f aca="false">COUNTIFS(Cleaned!$C$2:$C$125,5,Cleaned!E$2:E$125,2)</f>
        <v>4</v>
      </c>
      <c r="E12" s="13" t="n">
        <f aca="false">IFERROR(D12/$J12,"")</f>
        <v>0.173913043478261</v>
      </c>
      <c r="F12" s="12" t="n">
        <f aca="false">COUNTIFS(Cleaned!$C$2:$C$125,5,Cleaned!E$2:E$125,3)</f>
        <v>1</v>
      </c>
      <c r="G12" s="13" t="n">
        <f aca="false">IFERROR(F12/$J12,"")</f>
        <v>0.0434782608695652</v>
      </c>
      <c r="H12" s="12" t="n">
        <f aca="false">COUNTIFS(Cleaned!$C$2:$C$125,5,Cleaned!E$2:E$125,4)</f>
        <v>1</v>
      </c>
      <c r="I12" s="13" t="n">
        <f aca="false">IFERROR(H12/$J12,"")</f>
        <v>0.0434782608695652</v>
      </c>
      <c r="J12" s="12" t="n">
        <f aca="false">B12+D12+F12+H12</f>
        <v>23</v>
      </c>
    </row>
    <row r="13" customFormat="false" ht="15" hidden="false" customHeight="false" outlineLevel="0" collapsed="false">
      <c r="A13" s="11" t="s">
        <v>703</v>
      </c>
      <c r="B13" s="11" t="n">
        <f aca="false">SUM(B8:B12)</f>
        <v>65</v>
      </c>
      <c r="C13" s="14" t="n">
        <f aca="false">IFERROR(B13/$J13,"")</f>
        <v>0.822784810126582</v>
      </c>
      <c r="D13" s="11" t="n">
        <f aca="false">SUM(D8:D12)</f>
        <v>9</v>
      </c>
      <c r="E13" s="14" t="n">
        <f aca="false">IFERROR(D13/$J13,"")</f>
        <v>0.113924050632911</v>
      </c>
      <c r="F13" s="11" t="n">
        <f aca="false">SUM(F8:F12)</f>
        <v>1</v>
      </c>
      <c r="G13" s="14" t="n">
        <f aca="false">IFERROR(F13/$J13,"")</f>
        <v>0.0126582278481013</v>
      </c>
      <c r="H13" s="11" t="n">
        <f aca="false">SUM(H8:H12)</f>
        <v>4</v>
      </c>
      <c r="I13" s="14" t="n">
        <f aca="false">IFERROR(H13/$J13,"")</f>
        <v>0.0506329113924051</v>
      </c>
      <c r="J13" s="11" t="n">
        <f aca="false">SUM(J8:J12)</f>
        <v>79</v>
      </c>
    </row>
    <row r="14" customFormat="false" ht="15" hidden="false" customHeight="false" outlineLevel="0" collapsed="false">
      <c r="A14" s="11" t="s">
        <v>3</v>
      </c>
    </row>
    <row r="15" customFormat="false" ht="15" hidden="false" customHeight="false" outlineLevel="0" collapsed="false">
      <c r="A15" s="12" t="s">
        <v>704</v>
      </c>
      <c r="B15" s="12" t="n">
        <f aca="false">COUNTIFS(Cleaned!$D$2:$D$125,1,Cleaned!E$2:E$125,1)</f>
        <v>7</v>
      </c>
      <c r="C15" s="13" t="n">
        <f aca="false">IFERROR(B15/$J15,"")</f>
        <v>0.7</v>
      </c>
      <c r="D15" s="12" t="n">
        <f aca="false">COUNTIFS(Cleaned!$D$2:$D$125,1,Cleaned!E$2:E$125,2)</f>
        <v>3</v>
      </c>
      <c r="E15" s="13" t="n">
        <f aca="false">IFERROR(D15/$J15,"")</f>
        <v>0.3</v>
      </c>
      <c r="F15" s="12" t="n">
        <f aca="false">COUNTIFS(Cleaned!$D$2:$D$125,1,Cleaned!E$2:E$125,3)</f>
        <v>0</v>
      </c>
      <c r="G15" s="13" t="n">
        <f aca="false">IFERROR(F15/$J15,"")</f>
        <v>0</v>
      </c>
      <c r="H15" s="12" t="n">
        <f aca="false">COUNTIFS(Cleaned!$D$2:$D$125,1,Cleaned!E$2:E$125,4)</f>
        <v>0</v>
      </c>
      <c r="I15" s="13" t="n">
        <f aca="false">IFERROR(H15/$J15,"")</f>
        <v>0</v>
      </c>
      <c r="J15" s="12" t="n">
        <f aca="false">B15+D15+F15+H15</f>
        <v>10</v>
      </c>
    </row>
    <row r="16" customFormat="false" ht="15" hidden="false" customHeight="false" outlineLevel="0" collapsed="false">
      <c r="A16" s="12" t="s">
        <v>705</v>
      </c>
      <c r="B16" s="12" t="n">
        <f aca="false">COUNTIFS(Cleaned!$D$2:$D$125,2,Cleaned!E$2:E$125,1)</f>
        <v>11</v>
      </c>
      <c r="C16" s="13" t="n">
        <f aca="false">IFERROR(B16/$J16,"")</f>
        <v>0.6875</v>
      </c>
      <c r="D16" s="12" t="n">
        <f aca="false">COUNTIFS(Cleaned!$D$2:$D$125,2,Cleaned!E$2:E$125,2)</f>
        <v>3</v>
      </c>
      <c r="E16" s="13" t="n">
        <f aca="false">IFERROR(D16/$J16,"")</f>
        <v>0.1875</v>
      </c>
      <c r="F16" s="12" t="n">
        <f aca="false">COUNTIFS(Cleaned!$D$2:$D$125,2,Cleaned!E$2:E$125,3)</f>
        <v>1</v>
      </c>
      <c r="G16" s="13" t="n">
        <f aca="false">IFERROR(F16/$J16,"")</f>
        <v>0.0625</v>
      </c>
      <c r="H16" s="12" t="n">
        <f aca="false">COUNTIFS(Cleaned!$D$2:$D$125,2,Cleaned!E$2:E$125,4)</f>
        <v>1</v>
      </c>
      <c r="I16" s="13" t="n">
        <f aca="false">IFERROR(H16/$J16,"")</f>
        <v>0.0625</v>
      </c>
      <c r="J16" s="12" t="n">
        <f aca="false">B16+D16+F16+H16</f>
        <v>16</v>
      </c>
    </row>
    <row r="17" customFormat="false" ht="15" hidden="false" customHeight="false" outlineLevel="0" collapsed="false">
      <c r="A17" s="12" t="s">
        <v>706</v>
      </c>
      <c r="B17" s="12" t="n">
        <f aca="false">COUNTIFS(Cleaned!$D$2:$D$125,3,Cleaned!E$2:E$125,1)</f>
        <v>8</v>
      </c>
      <c r="C17" s="13" t="n">
        <f aca="false">IFERROR(B17/$J17,"")</f>
        <v>0.8</v>
      </c>
      <c r="D17" s="12" t="n">
        <f aca="false">COUNTIFS(Cleaned!$D$2:$D$125,3,Cleaned!E$2:E$125,2)</f>
        <v>1</v>
      </c>
      <c r="E17" s="13" t="n">
        <f aca="false">IFERROR(D17/$J17,"")</f>
        <v>0.1</v>
      </c>
      <c r="F17" s="12" t="n">
        <f aca="false">COUNTIFS(Cleaned!$D$2:$D$125,3,Cleaned!E$2:E$125,3)</f>
        <v>0</v>
      </c>
      <c r="G17" s="13" t="n">
        <f aca="false">IFERROR(F17/$J17,"")</f>
        <v>0</v>
      </c>
      <c r="H17" s="12" t="n">
        <f aca="false">COUNTIFS(Cleaned!$D$2:$D$125,3,Cleaned!E$2:E$125,4)</f>
        <v>1</v>
      </c>
      <c r="I17" s="13" t="n">
        <f aca="false">IFERROR(H17/$J17,"")</f>
        <v>0.1</v>
      </c>
      <c r="J17" s="12" t="n">
        <f aca="false">B17+D17+F17+H17</f>
        <v>10</v>
      </c>
    </row>
    <row r="18" customFormat="false" ht="15" hidden="false" customHeight="false" outlineLevel="0" collapsed="false">
      <c r="A18" s="12" t="s">
        <v>707</v>
      </c>
      <c r="B18" s="12" t="n">
        <f aca="false">COUNTIFS(Cleaned!$D$2:$D$125,4,Cleaned!E$2:E$125,1)</f>
        <v>5</v>
      </c>
      <c r="C18" s="13" t="n">
        <f aca="false">IFERROR(B18/$J18,"")</f>
        <v>0.833333333333333</v>
      </c>
      <c r="D18" s="12" t="n">
        <f aca="false">COUNTIFS(Cleaned!$D$2:$D$125,4,Cleaned!E$2:E$125,2)</f>
        <v>1</v>
      </c>
      <c r="E18" s="13" t="n">
        <f aca="false">IFERROR(D18/$J18,"")</f>
        <v>0.166666666666667</v>
      </c>
      <c r="F18" s="12" t="n">
        <f aca="false">COUNTIFS(Cleaned!$D$2:$D$125,4,Cleaned!E$2:E$125,3)</f>
        <v>0</v>
      </c>
      <c r="G18" s="13" t="n">
        <f aca="false">IFERROR(F18/$J18,"")</f>
        <v>0</v>
      </c>
      <c r="H18" s="12" t="n">
        <f aca="false">COUNTIFS(Cleaned!$D$2:$D$125,4,Cleaned!E$2:E$125,4)</f>
        <v>0</v>
      </c>
      <c r="I18" s="13" t="n">
        <f aca="false">IFERROR(H18/$J18,"")</f>
        <v>0</v>
      </c>
      <c r="J18" s="12" t="n">
        <f aca="false">B18+D18+F18+H18</f>
        <v>6</v>
      </c>
    </row>
    <row r="19" customFormat="false" ht="15" hidden="false" customHeight="false" outlineLevel="0" collapsed="false">
      <c r="A19" s="12" t="s">
        <v>708</v>
      </c>
      <c r="B19" s="12" t="n">
        <f aca="false">COUNTIFS(Cleaned!$D$2:$D$125,5,Cleaned!E$2:E$125,1)</f>
        <v>1</v>
      </c>
      <c r="C19" s="13" t="n">
        <f aca="false">IFERROR(B19/$J19,"")</f>
        <v>1</v>
      </c>
      <c r="D19" s="12" t="n">
        <f aca="false">COUNTIFS(Cleaned!$D$2:$D$125,5,Cleaned!E$2:E$125,2)</f>
        <v>0</v>
      </c>
      <c r="E19" s="13" t="n">
        <f aca="false">IFERROR(D19/$J19,"")</f>
        <v>0</v>
      </c>
      <c r="F19" s="12" t="n">
        <f aca="false">COUNTIFS(Cleaned!$D$2:$D$125,5,Cleaned!E$2:E$125,3)</f>
        <v>0</v>
      </c>
      <c r="G19" s="13" t="n">
        <f aca="false">IFERROR(F19/$J19,"")</f>
        <v>0</v>
      </c>
      <c r="H19" s="12" t="n">
        <f aca="false">COUNTIFS(Cleaned!$D$2:$D$125,5,Cleaned!E$2:E$125,4)</f>
        <v>0</v>
      </c>
      <c r="I19" s="13" t="n">
        <f aca="false">IFERROR(H19/$J19,"")</f>
        <v>0</v>
      </c>
      <c r="J19" s="12" t="n">
        <f aca="false">B19+D19+F19+H19</f>
        <v>1</v>
      </c>
    </row>
    <row r="20" customFormat="false" ht="15" hidden="false" customHeight="false" outlineLevel="0" collapsed="false">
      <c r="A20" s="12" t="s">
        <v>709</v>
      </c>
      <c r="B20" s="12" t="n">
        <f aca="false">COUNTIFS(Cleaned!$D$2:$D$125,6,Cleaned!E$2:E$125,1)</f>
        <v>3</v>
      </c>
      <c r="C20" s="13" t="n">
        <f aca="false">IFERROR(B20/$J20,"")</f>
        <v>1</v>
      </c>
      <c r="D20" s="12" t="n">
        <f aca="false">COUNTIFS(Cleaned!$D$2:$D$125,6,Cleaned!E$2:E$125,2)</f>
        <v>0</v>
      </c>
      <c r="E20" s="13" t="n">
        <f aca="false">IFERROR(D20/$J20,"")</f>
        <v>0</v>
      </c>
      <c r="F20" s="12" t="n">
        <f aca="false">COUNTIFS(Cleaned!$D$2:$D$125,6,Cleaned!E$2:E$125,3)</f>
        <v>0</v>
      </c>
      <c r="G20" s="13" t="n">
        <f aca="false">IFERROR(F20/$J20,"")</f>
        <v>0</v>
      </c>
      <c r="H20" s="12" t="n">
        <f aca="false">COUNTIFS(Cleaned!$D$2:$D$125,6,Cleaned!E$2:E$125,4)</f>
        <v>0</v>
      </c>
      <c r="I20" s="13" t="n">
        <f aca="false">IFERROR(H20/$J20,"")</f>
        <v>0</v>
      </c>
      <c r="J20" s="12" t="n">
        <f aca="false">B20+D20+F20+H20</f>
        <v>3</v>
      </c>
    </row>
    <row r="21" customFormat="false" ht="15" hidden="false" customHeight="false" outlineLevel="0" collapsed="false">
      <c r="A21" s="12" t="s">
        <v>710</v>
      </c>
      <c r="B21" s="12" t="n">
        <f aca="false">COUNTIFS(Cleaned!$D$2:$D$125,7,Cleaned!E$2:E$125,1)</f>
        <v>8</v>
      </c>
      <c r="C21" s="13" t="n">
        <f aca="false">IFERROR(B21/$J21,"")</f>
        <v>0.888888888888889</v>
      </c>
      <c r="D21" s="12" t="n">
        <f aca="false">COUNTIFS(Cleaned!$D$2:$D$125,7,Cleaned!E$2:E$125,2)</f>
        <v>0</v>
      </c>
      <c r="E21" s="13" t="n">
        <f aca="false">IFERROR(D21/$J21,"")</f>
        <v>0</v>
      </c>
      <c r="F21" s="12" t="n">
        <f aca="false">COUNTIFS(Cleaned!$D$2:$D$125,7,Cleaned!E$2:E$125,3)</f>
        <v>0</v>
      </c>
      <c r="G21" s="13" t="n">
        <f aca="false">IFERROR(F21/$J21,"")</f>
        <v>0</v>
      </c>
      <c r="H21" s="12" t="n">
        <f aca="false">COUNTIFS(Cleaned!$D$2:$D$125,7,Cleaned!E$2:E$125,4)</f>
        <v>1</v>
      </c>
      <c r="I21" s="13" t="n">
        <f aca="false">IFERROR(H21/$J21,"")</f>
        <v>0.111111111111111</v>
      </c>
      <c r="J21" s="12" t="n">
        <f aca="false">B21+D21+F21+H21</f>
        <v>9</v>
      </c>
    </row>
    <row r="22" customFormat="false" ht="15" hidden="false" customHeight="false" outlineLevel="0" collapsed="false">
      <c r="A22" s="12" t="s">
        <v>711</v>
      </c>
      <c r="B22" s="12" t="n">
        <f aca="false">COUNTIFS(Cleaned!$D$2:$D$125,8,Cleaned!E$2:E$125,1)</f>
        <v>3</v>
      </c>
      <c r="C22" s="13" t="n">
        <f aca="false">IFERROR(B22/$J22,"")</f>
        <v>0.75</v>
      </c>
      <c r="D22" s="12" t="n">
        <f aca="false">COUNTIFS(Cleaned!$D$2:$D$125,8,Cleaned!E$2:E$125,2)</f>
        <v>0</v>
      </c>
      <c r="E22" s="13" t="n">
        <f aca="false">IFERROR(D22/$J22,"")</f>
        <v>0</v>
      </c>
      <c r="F22" s="12" t="n">
        <f aca="false">COUNTIFS(Cleaned!$D$2:$D$125,8,Cleaned!E$2:E$125,3)</f>
        <v>0</v>
      </c>
      <c r="G22" s="13" t="n">
        <f aca="false">IFERROR(F22/$J22,"")</f>
        <v>0</v>
      </c>
      <c r="H22" s="12" t="n">
        <f aca="false">COUNTIFS(Cleaned!$D$2:$D$125,8,Cleaned!E$2:E$125,4)</f>
        <v>1</v>
      </c>
      <c r="I22" s="13" t="n">
        <f aca="false">IFERROR(H22/$J22,"")</f>
        <v>0.25</v>
      </c>
      <c r="J22" s="12" t="n">
        <f aca="false">B22+D22+F22+H22</f>
        <v>4</v>
      </c>
    </row>
    <row r="23" customFormat="false" ht="15" hidden="false" customHeight="false" outlineLevel="0" collapsed="false">
      <c r="A23" s="12" t="s">
        <v>712</v>
      </c>
      <c r="B23" s="12" t="n">
        <f aca="false">COUNTIFS(Cleaned!$D$2:$D$125,9,Cleaned!E$2:E$125,1)</f>
        <v>2</v>
      </c>
      <c r="C23" s="13" t="n">
        <f aca="false">IFERROR(B23/$J23,"")</f>
        <v>1</v>
      </c>
      <c r="D23" s="12" t="n">
        <f aca="false">COUNTIFS(Cleaned!$D$2:$D$125,9,Cleaned!E$2:E$125,2)</f>
        <v>0</v>
      </c>
      <c r="E23" s="13" t="n">
        <f aca="false">IFERROR(D23/$J23,"")</f>
        <v>0</v>
      </c>
      <c r="F23" s="12" t="n">
        <f aca="false">COUNTIFS(Cleaned!$D$2:$D$125,9,Cleaned!E$2:E$125,3)</f>
        <v>0</v>
      </c>
      <c r="G23" s="13" t="n">
        <f aca="false">IFERROR(F23/$J23,"")</f>
        <v>0</v>
      </c>
      <c r="H23" s="12" t="n">
        <f aca="false">COUNTIFS(Cleaned!$D$2:$D$125,9,Cleaned!E$2:E$125,4)</f>
        <v>0</v>
      </c>
      <c r="I23" s="13" t="n">
        <f aca="false">IFERROR(H23/$J23,"")</f>
        <v>0</v>
      </c>
      <c r="J23" s="12" t="n">
        <f aca="false">B23+D23+F23+H23</f>
        <v>2</v>
      </c>
    </row>
    <row r="24" customFormat="false" ht="15" hidden="false" customHeight="false" outlineLevel="0" collapsed="false">
      <c r="A24" s="12" t="s">
        <v>713</v>
      </c>
      <c r="B24" s="12" t="n">
        <f aca="false">COUNTIFS(Cleaned!$D$2:$D$125,10,Cleaned!E$2:E$125,1)</f>
        <v>1</v>
      </c>
      <c r="C24" s="13" t="n">
        <f aca="false">IFERROR(B24/$J24,"")</f>
        <v>0.5</v>
      </c>
      <c r="D24" s="12" t="n">
        <f aca="false">COUNTIFS(Cleaned!$D$2:$D$125,10,Cleaned!E$2:E$125,2)</f>
        <v>1</v>
      </c>
      <c r="E24" s="13" t="n">
        <f aca="false">IFERROR(D24/$J24,"")</f>
        <v>0.5</v>
      </c>
      <c r="F24" s="12" t="n">
        <f aca="false">COUNTIFS(Cleaned!$D$2:$D$125,10,Cleaned!E$2:E$125,3)</f>
        <v>0</v>
      </c>
      <c r="G24" s="13" t="n">
        <f aca="false">IFERROR(F24/$J24,"")</f>
        <v>0</v>
      </c>
      <c r="H24" s="12" t="n">
        <f aca="false">COUNTIFS(Cleaned!$D$2:$D$125,10,Cleaned!E$2:E$125,4)</f>
        <v>0</v>
      </c>
      <c r="I24" s="13" t="n">
        <f aca="false">IFERROR(H24/$J24,"")</f>
        <v>0</v>
      </c>
      <c r="J24" s="12" t="n">
        <f aca="false">B24+D24+F24+H24</f>
        <v>2</v>
      </c>
    </row>
    <row r="25" customFormat="false" ht="15" hidden="false" customHeight="false" outlineLevel="0" collapsed="false">
      <c r="A25" s="12" t="s">
        <v>714</v>
      </c>
      <c r="B25" s="12" t="n">
        <f aca="false">COUNTIFS(Cleaned!$D$2:$D$125,11,Cleaned!E$2:E$125,1)</f>
        <v>11</v>
      </c>
      <c r="C25" s="13" t="n">
        <f aca="false">IFERROR(B25/$J25,"")</f>
        <v>1</v>
      </c>
      <c r="D25" s="12" t="n">
        <f aca="false">COUNTIFS(Cleaned!$D$2:$D$125,11,Cleaned!E$2:E$125,2)</f>
        <v>0</v>
      </c>
      <c r="E25" s="13" t="n">
        <f aca="false">IFERROR(D25/$J25,"")</f>
        <v>0</v>
      </c>
      <c r="F25" s="12" t="n">
        <f aca="false">COUNTIFS(Cleaned!$D$2:$D$125,11,Cleaned!E$2:E$125,3)</f>
        <v>0</v>
      </c>
      <c r="G25" s="13" t="n">
        <f aca="false">IFERROR(F25/$J25,"")</f>
        <v>0</v>
      </c>
      <c r="H25" s="12" t="n">
        <f aca="false">COUNTIFS(Cleaned!$D$2:$D$125,11,Cleaned!E$2:E$125,4)</f>
        <v>0</v>
      </c>
      <c r="I25" s="13" t="n">
        <f aca="false">IFERROR(H25/$J25,"")</f>
        <v>0</v>
      </c>
      <c r="J25" s="12" t="n">
        <f aca="false">B25+D25+F25+H25</f>
        <v>11</v>
      </c>
    </row>
    <row r="26" customFormat="false" ht="15" hidden="false" customHeight="false" outlineLevel="0" collapsed="false">
      <c r="A26" s="12" t="s">
        <v>715</v>
      </c>
      <c r="B26" s="12" t="n">
        <f aca="false">COUNTIFS(Cleaned!$D$2:$D$125,12,Cleaned!E$2:E$125,1)</f>
        <v>5</v>
      </c>
      <c r="C26" s="13" t="n">
        <f aca="false">IFERROR(B26/$J26,"")</f>
        <v>1</v>
      </c>
      <c r="D26" s="12" t="n">
        <f aca="false">COUNTIFS(Cleaned!$D$2:$D$125,12,Cleaned!E$2:E$125,2)</f>
        <v>0</v>
      </c>
      <c r="E26" s="13" t="n">
        <f aca="false">IFERROR(D26/$J26,"")</f>
        <v>0</v>
      </c>
      <c r="F26" s="12" t="n">
        <f aca="false">COUNTIFS(Cleaned!$D$2:$D$125,12,Cleaned!E$2:E$125,3)</f>
        <v>0</v>
      </c>
      <c r="G26" s="13" t="n">
        <f aca="false">IFERROR(F26/$J26,"")</f>
        <v>0</v>
      </c>
      <c r="H26" s="12" t="n">
        <f aca="false">COUNTIFS(Cleaned!$D$2:$D$125,12,Cleaned!E$2:E$125,4)</f>
        <v>0</v>
      </c>
      <c r="I26" s="13" t="n">
        <f aca="false">IFERROR(H26/$J26,"")</f>
        <v>0</v>
      </c>
      <c r="J26" s="12" t="n">
        <f aca="false">B26+D26+F26+H26</f>
        <v>5</v>
      </c>
    </row>
    <row r="27" customFormat="false" ht="15" hidden="false" customHeight="false" outlineLevel="0" collapsed="false">
      <c r="A27" s="11" t="s">
        <v>716</v>
      </c>
      <c r="B27" s="11" t="n">
        <f aca="false">SUM(B15:B26)</f>
        <v>65</v>
      </c>
      <c r="C27" s="14" t="n">
        <f aca="false">IFERROR(B27/$J27,"")</f>
        <v>0.822784810126582</v>
      </c>
      <c r="D27" s="11" t="n">
        <f aca="false">SUM(D15:D26)</f>
        <v>9</v>
      </c>
      <c r="E27" s="14" t="n">
        <f aca="false">IFERROR(D27/$J27,"")</f>
        <v>0.113924050632911</v>
      </c>
      <c r="F27" s="11" t="n">
        <f aca="false">SUM(F15:F26)</f>
        <v>1</v>
      </c>
      <c r="G27" s="14" t="n">
        <f aca="false">IFERROR(F27/$J27,"")</f>
        <v>0.0126582278481013</v>
      </c>
      <c r="H27" s="11" t="n">
        <f aca="false">SUM(H15:H26)</f>
        <v>4</v>
      </c>
      <c r="I27" s="14" t="n">
        <f aca="false">IFERROR(H27/$J27,"")</f>
        <v>0.0506329113924051</v>
      </c>
      <c r="J27" s="11" t="n">
        <f aca="false">SUM(J15:J26)</f>
        <v>79</v>
      </c>
    </row>
    <row r="30" customFormat="false" ht="15" hidden="false" customHeight="false" outlineLevel="0" collapsed="false">
      <c r="A30" s="6" t="s">
        <v>6</v>
      </c>
      <c r="B30" s="7" t="s">
        <v>717</v>
      </c>
    </row>
    <row r="31" customFormat="false" ht="15" hidden="false" customHeight="false" outlineLevel="0" collapsed="false">
      <c r="A31" s="8"/>
      <c r="B31" s="9" t="s">
        <v>718</v>
      </c>
      <c r="C31" s="8"/>
      <c r="D31" s="9" t="s">
        <v>719</v>
      </c>
      <c r="E31" s="8"/>
      <c r="F31" s="9" t="s">
        <v>694</v>
      </c>
    </row>
    <row r="32" customFormat="false" ht="15" hidden="false" customHeight="false" outlineLevel="0" collapsed="false">
      <c r="B32" s="10" t="s">
        <v>695</v>
      </c>
      <c r="C32" s="10" t="s">
        <v>696</v>
      </c>
      <c r="D32" s="10" t="s">
        <v>695</v>
      </c>
      <c r="E32" s="10" t="s">
        <v>696</v>
      </c>
    </row>
    <row r="33" customFormat="false" ht="15" hidden="false" customHeight="false" outlineLevel="0" collapsed="false">
      <c r="A33" s="11" t="s">
        <v>697</v>
      </c>
    </row>
    <row r="34" customFormat="false" ht="15" hidden="false" customHeight="false" outlineLevel="0" collapsed="false">
      <c r="A34" s="12" t="s">
        <v>698</v>
      </c>
      <c r="B34" s="12" t="n">
        <f aca="false">COUNTIFS(Cleaned!$C$2:$C$125,1,Cleaned!G$2:G$125,0)</f>
        <v>0</v>
      </c>
      <c r="C34" s="13" t="n">
        <f aca="false">IFERROR(B34/$F34,"")</f>
        <v>0</v>
      </c>
      <c r="D34" s="12" t="n">
        <f aca="false">COUNTIFS(Cleaned!$C$2:$C$125,1,Cleaned!G$2:G$125,1)</f>
        <v>15</v>
      </c>
      <c r="E34" s="13" t="n">
        <f aca="false">IFERROR(D34/$F34,"")</f>
        <v>1</v>
      </c>
      <c r="F34" s="12" t="n">
        <f aca="false">B34+D34</f>
        <v>15</v>
      </c>
    </row>
    <row r="35" customFormat="false" ht="15" hidden="false" customHeight="false" outlineLevel="0" collapsed="false">
      <c r="A35" s="12" t="s">
        <v>699</v>
      </c>
      <c r="B35" s="12" t="n">
        <f aca="false">COUNTIFS(Cleaned!$C$2:$C$125,2,Cleaned!G$2:G$125,0)</f>
        <v>0</v>
      </c>
      <c r="C35" s="13" t="n">
        <f aca="false">IFERROR(B35/$F35,"")</f>
        <v>0</v>
      </c>
      <c r="D35" s="12" t="n">
        <f aca="false">COUNTIFS(Cleaned!$C$2:$C$125,2,Cleaned!G$2:G$125,1)</f>
        <v>13</v>
      </c>
      <c r="E35" s="13" t="n">
        <f aca="false">IFERROR(D35/$F35,"")</f>
        <v>1</v>
      </c>
      <c r="F35" s="12" t="n">
        <f aca="false">B35+D35</f>
        <v>13</v>
      </c>
    </row>
    <row r="36" customFormat="false" ht="15" hidden="false" customHeight="false" outlineLevel="0" collapsed="false">
      <c r="A36" s="12" t="s">
        <v>700</v>
      </c>
      <c r="B36" s="12" t="n">
        <f aca="false">COUNTIFS(Cleaned!$C$2:$C$125,3,Cleaned!G$2:G$125,0)</f>
        <v>0</v>
      </c>
      <c r="C36" s="13" t="n">
        <f aca="false">IFERROR(B36/$F36,"")</f>
        <v>0</v>
      </c>
      <c r="D36" s="12" t="n">
        <f aca="false">COUNTIFS(Cleaned!$C$2:$C$125,3,Cleaned!G$2:G$125,1)</f>
        <v>17</v>
      </c>
      <c r="E36" s="13" t="n">
        <f aca="false">IFERROR(D36/$F36,"")</f>
        <v>1</v>
      </c>
      <c r="F36" s="12" t="n">
        <f aca="false">B36+D36</f>
        <v>17</v>
      </c>
    </row>
    <row r="37" customFormat="false" ht="15" hidden="false" customHeight="false" outlineLevel="0" collapsed="false">
      <c r="A37" s="12" t="s">
        <v>701</v>
      </c>
      <c r="B37" s="12" t="n">
        <f aca="false">COUNTIFS(Cleaned!$C$2:$C$125,4,Cleaned!G$2:G$125,0)</f>
        <v>1</v>
      </c>
      <c r="C37" s="13" t="n">
        <f aca="false">IFERROR(B37/$F37,"")</f>
        <v>0.0909090909090909</v>
      </c>
      <c r="D37" s="12" t="n">
        <f aca="false">COUNTIFS(Cleaned!$C$2:$C$125,4,Cleaned!G$2:G$125,1)</f>
        <v>10</v>
      </c>
      <c r="E37" s="13" t="n">
        <f aca="false">IFERROR(D37/$F37,"")</f>
        <v>0.909090909090909</v>
      </c>
      <c r="F37" s="12" t="n">
        <f aca="false">B37+D37</f>
        <v>11</v>
      </c>
    </row>
    <row r="38" customFormat="false" ht="15" hidden="false" customHeight="false" outlineLevel="0" collapsed="false">
      <c r="A38" s="12" t="s">
        <v>702</v>
      </c>
      <c r="B38" s="12" t="n">
        <f aca="false">COUNTIFS(Cleaned!$C$2:$C$125,5,Cleaned!G$2:G$125,0)</f>
        <v>0</v>
      </c>
      <c r="C38" s="13" t="n">
        <f aca="false">IFERROR(B38/$F38,"")</f>
        <v>0</v>
      </c>
      <c r="D38" s="12" t="n">
        <f aca="false">COUNTIFS(Cleaned!$C$2:$C$125,5,Cleaned!G$2:G$125,1)</f>
        <v>22</v>
      </c>
      <c r="E38" s="13" t="n">
        <f aca="false">IFERROR(D38/$F38,"")</f>
        <v>1</v>
      </c>
      <c r="F38" s="12" t="n">
        <f aca="false">B38+D38</f>
        <v>22</v>
      </c>
    </row>
    <row r="39" customFormat="false" ht="15" hidden="false" customHeight="false" outlineLevel="0" collapsed="false">
      <c r="A39" s="11" t="s">
        <v>703</v>
      </c>
      <c r="B39" s="11" t="n">
        <f aca="false">SUM(B34:B38)</f>
        <v>1</v>
      </c>
      <c r="C39" s="14" t="n">
        <f aca="false">IFERROR(B39/$F39,"")</f>
        <v>0.0128205128205128</v>
      </c>
      <c r="D39" s="11" t="n">
        <f aca="false">SUM(D34:D38)</f>
        <v>77</v>
      </c>
      <c r="E39" s="14" t="n">
        <f aca="false">IFERROR(D39/$F39,"")</f>
        <v>0.987179487179487</v>
      </c>
      <c r="F39" s="11" t="n">
        <f aca="false">SUM(F34:F38)</f>
        <v>78</v>
      </c>
    </row>
    <row r="40" customFormat="false" ht="15" hidden="false" customHeight="false" outlineLevel="0" collapsed="false">
      <c r="A40" s="11" t="s">
        <v>3</v>
      </c>
    </row>
    <row r="41" customFormat="false" ht="15" hidden="false" customHeight="false" outlineLevel="0" collapsed="false">
      <c r="A41" s="12" t="s">
        <v>704</v>
      </c>
      <c r="B41" s="12" t="n">
        <f aca="false">COUNTIFS(Cleaned!$D$2:$D$125,1,Cleaned!G$2:G$125,0)</f>
        <v>0</v>
      </c>
      <c r="C41" s="13" t="n">
        <f aca="false">IFERROR(B41/$F41,"")</f>
        <v>0</v>
      </c>
      <c r="D41" s="12" t="n">
        <f aca="false">COUNTIFS(Cleaned!$D$2:$D$125,1,Cleaned!G$2:G$125,1)</f>
        <v>10</v>
      </c>
      <c r="E41" s="13" t="n">
        <f aca="false">IFERROR(D41/$F41,"")</f>
        <v>1</v>
      </c>
      <c r="F41" s="12" t="n">
        <f aca="false">B41+D41</f>
        <v>10</v>
      </c>
    </row>
    <row r="42" customFormat="false" ht="15" hidden="false" customHeight="false" outlineLevel="0" collapsed="false">
      <c r="A42" s="12" t="s">
        <v>705</v>
      </c>
      <c r="B42" s="12" t="n">
        <f aca="false">COUNTIFS(Cleaned!$D$2:$D$125,2,Cleaned!G$2:G$125,0)</f>
        <v>1</v>
      </c>
      <c r="C42" s="13" t="n">
        <f aca="false">IFERROR(B42/$F42,"")</f>
        <v>0.0666666666666667</v>
      </c>
      <c r="D42" s="12" t="n">
        <f aca="false">COUNTIFS(Cleaned!$D$2:$D$125,2,Cleaned!G$2:G$125,1)</f>
        <v>14</v>
      </c>
      <c r="E42" s="13" t="n">
        <f aca="false">IFERROR(D42/$F42,"")</f>
        <v>0.933333333333333</v>
      </c>
      <c r="F42" s="12" t="n">
        <f aca="false">B42+D42</f>
        <v>15</v>
      </c>
    </row>
    <row r="43" customFormat="false" ht="15" hidden="false" customHeight="false" outlineLevel="0" collapsed="false">
      <c r="A43" s="12" t="s">
        <v>706</v>
      </c>
      <c r="B43" s="12" t="n">
        <f aca="false">COUNTIFS(Cleaned!$D$2:$D$125,3,Cleaned!G$2:G$125,0)</f>
        <v>0</v>
      </c>
      <c r="C43" s="13" t="n">
        <f aca="false">IFERROR(B43/$F43,"")</f>
        <v>0</v>
      </c>
      <c r="D43" s="12" t="n">
        <f aca="false">COUNTIFS(Cleaned!$D$2:$D$125,3,Cleaned!G$2:G$125,1)</f>
        <v>10</v>
      </c>
      <c r="E43" s="13" t="n">
        <f aca="false">IFERROR(D43/$F43,"")</f>
        <v>1</v>
      </c>
      <c r="F43" s="12" t="n">
        <f aca="false">B43+D43</f>
        <v>10</v>
      </c>
    </row>
    <row r="44" customFormat="false" ht="15" hidden="false" customHeight="false" outlineLevel="0" collapsed="false">
      <c r="A44" s="12" t="s">
        <v>707</v>
      </c>
      <c r="B44" s="12" t="n">
        <f aca="false">COUNTIFS(Cleaned!$D$2:$D$125,4,Cleaned!G$2:G$125,0)</f>
        <v>0</v>
      </c>
      <c r="C44" s="13" t="n">
        <f aca="false">IFERROR(B44/$F44,"")</f>
        <v>0</v>
      </c>
      <c r="D44" s="12" t="n">
        <f aca="false">COUNTIFS(Cleaned!$D$2:$D$125,4,Cleaned!G$2:G$125,1)</f>
        <v>6</v>
      </c>
      <c r="E44" s="13" t="n">
        <f aca="false">IFERROR(D44/$F44,"")</f>
        <v>1</v>
      </c>
      <c r="F44" s="12" t="n">
        <f aca="false">B44+D44</f>
        <v>6</v>
      </c>
    </row>
    <row r="45" customFormat="false" ht="15" hidden="false" customHeight="false" outlineLevel="0" collapsed="false">
      <c r="A45" s="12" t="s">
        <v>708</v>
      </c>
      <c r="B45" s="12" t="n">
        <f aca="false">COUNTIFS(Cleaned!$D$2:$D$125,5,Cleaned!G$2:G$125,0)</f>
        <v>0</v>
      </c>
      <c r="C45" s="13" t="n">
        <f aca="false">IFERROR(B45/$F45,"")</f>
        <v>0</v>
      </c>
      <c r="D45" s="12" t="n">
        <f aca="false">COUNTIFS(Cleaned!$D$2:$D$125,5,Cleaned!G$2:G$125,1)</f>
        <v>1</v>
      </c>
      <c r="E45" s="13" t="n">
        <f aca="false">IFERROR(D45/$F45,"")</f>
        <v>1</v>
      </c>
      <c r="F45" s="12" t="n">
        <f aca="false">B45+D45</f>
        <v>1</v>
      </c>
    </row>
    <row r="46" customFormat="false" ht="15" hidden="false" customHeight="false" outlineLevel="0" collapsed="false">
      <c r="A46" s="12" t="s">
        <v>709</v>
      </c>
      <c r="B46" s="12" t="n">
        <f aca="false">COUNTIFS(Cleaned!$D$2:$D$125,6,Cleaned!G$2:G$125,0)</f>
        <v>0</v>
      </c>
      <c r="C46" s="13" t="n">
        <f aca="false">IFERROR(B46/$F46,"")</f>
        <v>0</v>
      </c>
      <c r="D46" s="12" t="n">
        <f aca="false">COUNTIFS(Cleaned!$D$2:$D$125,6,Cleaned!G$2:G$125,1)</f>
        <v>3</v>
      </c>
      <c r="E46" s="13" t="n">
        <f aca="false">IFERROR(D46/$F46,"")</f>
        <v>1</v>
      </c>
      <c r="F46" s="12" t="n">
        <f aca="false">B46+D46</f>
        <v>3</v>
      </c>
    </row>
    <row r="47" customFormat="false" ht="15" hidden="false" customHeight="false" outlineLevel="0" collapsed="false">
      <c r="A47" s="12" t="s">
        <v>710</v>
      </c>
      <c r="B47" s="12" t="n">
        <f aca="false">COUNTIFS(Cleaned!$D$2:$D$125,7,Cleaned!G$2:G$125,0)</f>
        <v>0</v>
      </c>
      <c r="C47" s="13" t="n">
        <f aca="false">IFERROR(B47/$F47,"")</f>
        <v>0</v>
      </c>
      <c r="D47" s="12" t="n">
        <f aca="false">COUNTIFS(Cleaned!$D$2:$D$125,7,Cleaned!G$2:G$125,1)</f>
        <v>9</v>
      </c>
      <c r="E47" s="13" t="n">
        <f aca="false">IFERROR(D47/$F47,"")</f>
        <v>1</v>
      </c>
      <c r="F47" s="12" t="n">
        <f aca="false">B47+D47</f>
        <v>9</v>
      </c>
    </row>
    <row r="48" customFormat="false" ht="15" hidden="false" customHeight="false" outlineLevel="0" collapsed="false">
      <c r="A48" s="12" t="s">
        <v>711</v>
      </c>
      <c r="B48" s="12" t="n">
        <f aca="false">COUNTIFS(Cleaned!$D$2:$D$125,8,Cleaned!G$2:G$125,0)</f>
        <v>0</v>
      </c>
      <c r="C48" s="13" t="n">
        <f aca="false">IFERROR(B48/$F48,"")</f>
        <v>0</v>
      </c>
      <c r="D48" s="12" t="n">
        <f aca="false">COUNTIFS(Cleaned!$D$2:$D$125,8,Cleaned!G$2:G$125,1)</f>
        <v>4</v>
      </c>
      <c r="E48" s="13" t="n">
        <f aca="false">IFERROR(D48/$F48,"")</f>
        <v>1</v>
      </c>
      <c r="F48" s="12" t="n">
        <f aca="false">B48+D48</f>
        <v>4</v>
      </c>
    </row>
    <row r="49" customFormat="false" ht="15" hidden="false" customHeight="false" outlineLevel="0" collapsed="false">
      <c r="A49" s="12" t="s">
        <v>712</v>
      </c>
      <c r="B49" s="12" t="n">
        <f aca="false">COUNTIFS(Cleaned!$D$2:$D$125,9,Cleaned!G$2:G$125,0)</f>
        <v>0</v>
      </c>
      <c r="C49" s="13" t="n">
        <f aca="false">IFERROR(B49/$F49,"")</f>
        <v>0</v>
      </c>
      <c r="D49" s="12" t="n">
        <f aca="false">COUNTIFS(Cleaned!$D$2:$D$125,9,Cleaned!G$2:G$125,1)</f>
        <v>2</v>
      </c>
      <c r="E49" s="13" t="n">
        <f aca="false">IFERROR(D49/$F49,"")</f>
        <v>1</v>
      </c>
      <c r="F49" s="12" t="n">
        <f aca="false">B49+D49</f>
        <v>2</v>
      </c>
    </row>
    <row r="50" customFormat="false" ht="15" hidden="false" customHeight="false" outlineLevel="0" collapsed="false">
      <c r="A50" s="12" t="s">
        <v>713</v>
      </c>
      <c r="B50" s="12" t="n">
        <f aca="false">COUNTIFS(Cleaned!$D$2:$D$125,10,Cleaned!G$2:G$125,0)</f>
        <v>0</v>
      </c>
      <c r="C50" s="13" t="n">
        <f aca="false">IFERROR(B50/$F50,"")</f>
        <v>0</v>
      </c>
      <c r="D50" s="12" t="n">
        <f aca="false">COUNTIFS(Cleaned!$D$2:$D$125,10,Cleaned!G$2:G$125,1)</f>
        <v>2</v>
      </c>
      <c r="E50" s="13" t="n">
        <f aca="false">IFERROR(D50/$F50,"")</f>
        <v>1</v>
      </c>
      <c r="F50" s="12" t="n">
        <f aca="false">B50+D50</f>
        <v>2</v>
      </c>
    </row>
    <row r="51" customFormat="false" ht="15" hidden="false" customHeight="false" outlineLevel="0" collapsed="false">
      <c r="A51" s="12" t="s">
        <v>714</v>
      </c>
      <c r="B51" s="12" t="n">
        <f aca="false">COUNTIFS(Cleaned!$D$2:$D$125,11,Cleaned!G$2:G$125,0)</f>
        <v>0</v>
      </c>
      <c r="C51" s="13" t="n">
        <f aca="false">IFERROR(B51/$F51,"")</f>
        <v>0</v>
      </c>
      <c r="D51" s="12" t="n">
        <f aca="false">COUNTIFS(Cleaned!$D$2:$D$125,11,Cleaned!G$2:G$125,1)</f>
        <v>11</v>
      </c>
      <c r="E51" s="13" t="n">
        <f aca="false">IFERROR(D51/$F51,"")</f>
        <v>1</v>
      </c>
      <c r="F51" s="12" t="n">
        <f aca="false">B51+D51</f>
        <v>11</v>
      </c>
    </row>
    <row r="52" customFormat="false" ht="15" hidden="false" customHeight="false" outlineLevel="0" collapsed="false">
      <c r="A52" s="12" t="s">
        <v>715</v>
      </c>
      <c r="B52" s="12" t="n">
        <f aca="false">COUNTIFS(Cleaned!$D$2:$D$125,12,Cleaned!G$2:G$125,0)</f>
        <v>0</v>
      </c>
      <c r="C52" s="13" t="n">
        <f aca="false">IFERROR(B52/$F52,"")</f>
        <v>0</v>
      </c>
      <c r="D52" s="12" t="n">
        <f aca="false">COUNTIFS(Cleaned!$D$2:$D$125,12,Cleaned!G$2:G$125,1)</f>
        <v>5</v>
      </c>
      <c r="E52" s="13" t="n">
        <f aca="false">IFERROR(D52/$F52,"")</f>
        <v>1</v>
      </c>
      <c r="F52" s="12" t="n">
        <f aca="false">B52+D52</f>
        <v>5</v>
      </c>
    </row>
    <row r="53" customFormat="false" ht="15" hidden="false" customHeight="false" outlineLevel="0" collapsed="false">
      <c r="A53" s="11" t="s">
        <v>716</v>
      </c>
      <c r="B53" s="11" t="n">
        <f aca="false">SUM(B41:B52)</f>
        <v>1</v>
      </c>
      <c r="C53" s="14" t="n">
        <f aca="false">IFERROR(B53/$F53,"")</f>
        <v>0.0128205128205128</v>
      </c>
      <c r="D53" s="11" t="n">
        <f aca="false">SUM(D41:D52)</f>
        <v>77</v>
      </c>
      <c r="E53" s="14" t="n">
        <f aca="false">IFERROR(D53/$F53,"")</f>
        <v>0.987179487179487</v>
      </c>
      <c r="F53" s="11" t="n">
        <f aca="false">SUM(F41:F52)</f>
        <v>78</v>
      </c>
    </row>
    <row r="56" customFormat="false" ht="15" hidden="false" customHeight="false" outlineLevel="0" collapsed="false">
      <c r="A56" s="6" t="s">
        <v>7</v>
      </c>
      <c r="B56" s="7" t="s">
        <v>720</v>
      </c>
    </row>
    <row r="57" customFormat="false" ht="15" hidden="false" customHeight="false" outlineLevel="0" collapsed="false">
      <c r="A57" s="8"/>
      <c r="B57" s="9" t="s">
        <v>718</v>
      </c>
      <c r="C57" s="8"/>
      <c r="D57" s="9" t="s">
        <v>719</v>
      </c>
      <c r="E57" s="8"/>
      <c r="F57" s="9" t="s">
        <v>694</v>
      </c>
    </row>
    <row r="58" customFormat="false" ht="15" hidden="false" customHeight="false" outlineLevel="0" collapsed="false">
      <c r="B58" s="10" t="s">
        <v>695</v>
      </c>
      <c r="C58" s="10" t="s">
        <v>696</v>
      </c>
      <c r="D58" s="10" t="s">
        <v>695</v>
      </c>
      <c r="E58" s="10" t="s">
        <v>696</v>
      </c>
    </row>
    <row r="59" customFormat="false" ht="15" hidden="false" customHeight="false" outlineLevel="0" collapsed="false">
      <c r="A59" s="11" t="s">
        <v>697</v>
      </c>
    </row>
    <row r="60" customFormat="false" ht="15" hidden="false" customHeight="false" outlineLevel="0" collapsed="false">
      <c r="A60" s="12" t="s">
        <v>698</v>
      </c>
      <c r="B60" s="12" t="n">
        <f aca="false">COUNTIFS(Cleaned!$C$2:$C$125,1,Cleaned!H$2:H$125,0)</f>
        <v>0</v>
      </c>
      <c r="C60" s="13" t="n">
        <f aca="false">IFERROR(B60/$F60,"")</f>
        <v>0</v>
      </c>
      <c r="D60" s="12" t="n">
        <f aca="false">COUNTIFS(Cleaned!$C$2:$C$125,1,Cleaned!H$2:H$125,1)</f>
        <v>15</v>
      </c>
      <c r="E60" s="13" t="n">
        <f aca="false">IFERROR(D60/$F60,"")</f>
        <v>1</v>
      </c>
      <c r="F60" s="12" t="n">
        <f aca="false">B60+D60</f>
        <v>15</v>
      </c>
    </row>
    <row r="61" customFormat="false" ht="15" hidden="false" customHeight="false" outlineLevel="0" collapsed="false">
      <c r="A61" s="12" t="s">
        <v>699</v>
      </c>
      <c r="B61" s="12" t="n">
        <f aca="false">COUNTIFS(Cleaned!$C$2:$C$125,2,Cleaned!H$2:H$125,0)</f>
        <v>0</v>
      </c>
      <c r="C61" s="13" t="n">
        <f aca="false">IFERROR(B61/$F61,"")</f>
        <v>0</v>
      </c>
      <c r="D61" s="12" t="n">
        <f aca="false">COUNTIFS(Cleaned!$C$2:$C$125,2,Cleaned!H$2:H$125,1)</f>
        <v>13</v>
      </c>
      <c r="E61" s="13" t="n">
        <f aca="false">IFERROR(D61/$F61,"")</f>
        <v>1</v>
      </c>
      <c r="F61" s="12" t="n">
        <f aca="false">B61+D61</f>
        <v>13</v>
      </c>
    </row>
    <row r="62" customFormat="false" ht="15" hidden="false" customHeight="false" outlineLevel="0" collapsed="false">
      <c r="A62" s="12" t="s">
        <v>700</v>
      </c>
      <c r="B62" s="12" t="n">
        <f aca="false">COUNTIFS(Cleaned!$C$2:$C$125,3,Cleaned!H$2:H$125,0)</f>
        <v>0</v>
      </c>
      <c r="C62" s="13" t="n">
        <f aca="false">IFERROR(B62/$F62,"")</f>
        <v>0</v>
      </c>
      <c r="D62" s="12" t="n">
        <f aca="false">COUNTIFS(Cleaned!$C$2:$C$125,3,Cleaned!H$2:H$125,1)</f>
        <v>17</v>
      </c>
      <c r="E62" s="13" t="n">
        <f aca="false">IFERROR(D62/$F62,"")</f>
        <v>1</v>
      </c>
      <c r="F62" s="12" t="n">
        <f aca="false">B62+D62</f>
        <v>17</v>
      </c>
    </row>
    <row r="63" customFormat="false" ht="15" hidden="false" customHeight="false" outlineLevel="0" collapsed="false">
      <c r="A63" s="12" t="s">
        <v>701</v>
      </c>
      <c r="B63" s="12" t="n">
        <f aca="false">COUNTIFS(Cleaned!$C$2:$C$125,4,Cleaned!H$2:H$125,0)</f>
        <v>0</v>
      </c>
      <c r="C63" s="13" t="n">
        <f aca="false">IFERROR(B63/$F63,"")</f>
        <v>0</v>
      </c>
      <c r="D63" s="12" t="n">
        <f aca="false">COUNTIFS(Cleaned!$C$2:$C$125,4,Cleaned!H$2:H$125,1)</f>
        <v>11</v>
      </c>
      <c r="E63" s="13" t="n">
        <f aca="false">IFERROR(D63/$F63,"")</f>
        <v>1</v>
      </c>
      <c r="F63" s="12" t="n">
        <f aca="false">B63+D63</f>
        <v>11</v>
      </c>
    </row>
    <row r="64" customFormat="false" ht="15" hidden="false" customHeight="false" outlineLevel="0" collapsed="false">
      <c r="A64" s="12" t="s">
        <v>702</v>
      </c>
      <c r="B64" s="12" t="n">
        <f aca="false">COUNTIFS(Cleaned!$C$2:$C$125,5,Cleaned!H$2:H$125,0)</f>
        <v>0</v>
      </c>
      <c r="C64" s="13" t="n">
        <f aca="false">IFERROR(B64/$F64,"")</f>
        <v>0</v>
      </c>
      <c r="D64" s="12" t="n">
        <f aca="false">COUNTIFS(Cleaned!$C$2:$C$125,5,Cleaned!H$2:H$125,1)</f>
        <v>22</v>
      </c>
      <c r="E64" s="13" t="n">
        <f aca="false">IFERROR(D64/$F64,"")</f>
        <v>1</v>
      </c>
      <c r="F64" s="12" t="n">
        <f aca="false">B64+D64</f>
        <v>22</v>
      </c>
    </row>
    <row r="65" customFormat="false" ht="15" hidden="false" customHeight="false" outlineLevel="0" collapsed="false">
      <c r="A65" s="11" t="s">
        <v>703</v>
      </c>
      <c r="B65" s="11" t="n">
        <f aca="false">SUM(B60:B64)</f>
        <v>0</v>
      </c>
      <c r="C65" s="14" t="n">
        <f aca="false">IFERROR(B65/$F65,"")</f>
        <v>0</v>
      </c>
      <c r="D65" s="11" t="n">
        <f aca="false">SUM(D60:D64)</f>
        <v>78</v>
      </c>
      <c r="E65" s="14" t="n">
        <f aca="false">IFERROR(D65/$F65,"")</f>
        <v>1</v>
      </c>
      <c r="F65" s="11" t="n">
        <f aca="false">SUM(F60:F64)</f>
        <v>78</v>
      </c>
    </row>
    <row r="66" customFormat="false" ht="15" hidden="false" customHeight="false" outlineLevel="0" collapsed="false">
      <c r="A66" s="11" t="s">
        <v>3</v>
      </c>
    </row>
    <row r="67" customFormat="false" ht="15" hidden="false" customHeight="false" outlineLevel="0" collapsed="false">
      <c r="A67" s="12" t="s">
        <v>704</v>
      </c>
      <c r="B67" s="12" t="n">
        <f aca="false">COUNTIFS(Cleaned!$D$2:$D$125,1,Cleaned!H$2:H$125,0)</f>
        <v>0</v>
      </c>
      <c r="C67" s="13" t="n">
        <f aca="false">IFERROR(B67/$F67,"")</f>
        <v>0</v>
      </c>
      <c r="D67" s="12" t="n">
        <f aca="false">COUNTIFS(Cleaned!$D$2:$D$125,1,Cleaned!H$2:H$125,1)</f>
        <v>10</v>
      </c>
      <c r="E67" s="13" t="n">
        <f aca="false">IFERROR(D67/$F67,"")</f>
        <v>1</v>
      </c>
      <c r="F67" s="12" t="n">
        <f aca="false">B67+D67</f>
        <v>10</v>
      </c>
    </row>
    <row r="68" customFormat="false" ht="15" hidden="false" customHeight="false" outlineLevel="0" collapsed="false">
      <c r="A68" s="12" t="s">
        <v>705</v>
      </c>
      <c r="B68" s="12" t="n">
        <f aca="false">COUNTIFS(Cleaned!$D$2:$D$125,2,Cleaned!H$2:H$125,0)</f>
        <v>0</v>
      </c>
      <c r="C68" s="13" t="n">
        <f aca="false">IFERROR(B68/$F68,"")</f>
        <v>0</v>
      </c>
      <c r="D68" s="12" t="n">
        <f aca="false">COUNTIFS(Cleaned!$D$2:$D$125,2,Cleaned!H$2:H$125,1)</f>
        <v>15</v>
      </c>
      <c r="E68" s="13" t="n">
        <f aca="false">IFERROR(D68/$F68,"")</f>
        <v>1</v>
      </c>
      <c r="F68" s="12" t="n">
        <f aca="false">B68+D68</f>
        <v>15</v>
      </c>
    </row>
    <row r="69" customFormat="false" ht="15" hidden="false" customHeight="false" outlineLevel="0" collapsed="false">
      <c r="A69" s="12" t="s">
        <v>706</v>
      </c>
      <c r="B69" s="12" t="n">
        <f aca="false">COUNTIFS(Cleaned!$D$2:$D$125,3,Cleaned!H$2:H$125,0)</f>
        <v>0</v>
      </c>
      <c r="C69" s="13" t="n">
        <f aca="false">IFERROR(B69/$F69,"")</f>
        <v>0</v>
      </c>
      <c r="D69" s="12" t="n">
        <f aca="false">COUNTIFS(Cleaned!$D$2:$D$125,3,Cleaned!H$2:H$125,1)</f>
        <v>10</v>
      </c>
      <c r="E69" s="13" t="n">
        <f aca="false">IFERROR(D69/$F69,"")</f>
        <v>1</v>
      </c>
      <c r="F69" s="12" t="n">
        <f aca="false">B69+D69</f>
        <v>10</v>
      </c>
    </row>
    <row r="70" customFormat="false" ht="15" hidden="false" customHeight="false" outlineLevel="0" collapsed="false">
      <c r="A70" s="12" t="s">
        <v>707</v>
      </c>
      <c r="B70" s="12" t="n">
        <f aca="false">COUNTIFS(Cleaned!$D$2:$D$125,4,Cleaned!H$2:H$125,0)</f>
        <v>0</v>
      </c>
      <c r="C70" s="13" t="n">
        <f aca="false">IFERROR(B70/$F70,"")</f>
        <v>0</v>
      </c>
      <c r="D70" s="12" t="n">
        <f aca="false">COUNTIFS(Cleaned!$D$2:$D$125,4,Cleaned!H$2:H$125,1)</f>
        <v>6</v>
      </c>
      <c r="E70" s="13" t="n">
        <f aca="false">IFERROR(D70/$F70,"")</f>
        <v>1</v>
      </c>
      <c r="F70" s="12" t="n">
        <f aca="false">B70+D70</f>
        <v>6</v>
      </c>
    </row>
    <row r="71" customFormat="false" ht="15" hidden="false" customHeight="false" outlineLevel="0" collapsed="false">
      <c r="A71" s="12" t="s">
        <v>708</v>
      </c>
      <c r="B71" s="12" t="n">
        <f aca="false">COUNTIFS(Cleaned!$D$2:$D$125,5,Cleaned!H$2:H$125,0)</f>
        <v>0</v>
      </c>
      <c r="C71" s="13" t="n">
        <f aca="false">IFERROR(B71/$F71,"")</f>
        <v>0</v>
      </c>
      <c r="D71" s="12" t="n">
        <f aca="false">COUNTIFS(Cleaned!$D$2:$D$125,5,Cleaned!H$2:H$125,1)</f>
        <v>1</v>
      </c>
      <c r="E71" s="13" t="n">
        <f aca="false">IFERROR(D71/$F71,"")</f>
        <v>1</v>
      </c>
      <c r="F71" s="12" t="n">
        <f aca="false">B71+D71</f>
        <v>1</v>
      </c>
    </row>
    <row r="72" customFormat="false" ht="15" hidden="false" customHeight="false" outlineLevel="0" collapsed="false">
      <c r="A72" s="12" t="s">
        <v>709</v>
      </c>
      <c r="B72" s="12" t="n">
        <f aca="false">COUNTIFS(Cleaned!$D$2:$D$125,6,Cleaned!H$2:H$125,0)</f>
        <v>0</v>
      </c>
      <c r="C72" s="13" t="n">
        <f aca="false">IFERROR(B72/$F72,"")</f>
        <v>0</v>
      </c>
      <c r="D72" s="12" t="n">
        <f aca="false">COUNTIFS(Cleaned!$D$2:$D$125,6,Cleaned!H$2:H$125,1)</f>
        <v>3</v>
      </c>
      <c r="E72" s="13" t="n">
        <f aca="false">IFERROR(D72/$F72,"")</f>
        <v>1</v>
      </c>
      <c r="F72" s="12" t="n">
        <f aca="false">B72+D72</f>
        <v>3</v>
      </c>
    </row>
    <row r="73" customFormat="false" ht="15" hidden="false" customHeight="false" outlineLevel="0" collapsed="false">
      <c r="A73" s="12" t="s">
        <v>710</v>
      </c>
      <c r="B73" s="12" t="n">
        <f aca="false">COUNTIFS(Cleaned!$D$2:$D$125,7,Cleaned!H$2:H$125,0)</f>
        <v>0</v>
      </c>
      <c r="C73" s="13" t="n">
        <f aca="false">IFERROR(B73/$F73,"")</f>
        <v>0</v>
      </c>
      <c r="D73" s="12" t="n">
        <f aca="false">COUNTIFS(Cleaned!$D$2:$D$125,7,Cleaned!H$2:H$125,1)</f>
        <v>9</v>
      </c>
      <c r="E73" s="13" t="n">
        <f aca="false">IFERROR(D73/$F73,"")</f>
        <v>1</v>
      </c>
      <c r="F73" s="12" t="n">
        <f aca="false">B73+D73</f>
        <v>9</v>
      </c>
    </row>
    <row r="74" customFormat="false" ht="15" hidden="false" customHeight="false" outlineLevel="0" collapsed="false">
      <c r="A74" s="12" t="s">
        <v>711</v>
      </c>
      <c r="B74" s="12" t="n">
        <f aca="false">COUNTIFS(Cleaned!$D$2:$D$125,8,Cleaned!H$2:H$125,0)</f>
        <v>0</v>
      </c>
      <c r="C74" s="13" t="n">
        <f aca="false">IFERROR(B74/$F74,"")</f>
        <v>0</v>
      </c>
      <c r="D74" s="12" t="n">
        <f aca="false">COUNTIFS(Cleaned!$D$2:$D$125,8,Cleaned!H$2:H$125,1)</f>
        <v>4</v>
      </c>
      <c r="E74" s="13" t="n">
        <f aca="false">IFERROR(D74/$F74,"")</f>
        <v>1</v>
      </c>
      <c r="F74" s="12" t="n">
        <f aca="false">B74+D74</f>
        <v>4</v>
      </c>
    </row>
    <row r="75" customFormat="false" ht="15" hidden="false" customHeight="false" outlineLevel="0" collapsed="false">
      <c r="A75" s="12" t="s">
        <v>712</v>
      </c>
      <c r="B75" s="12" t="n">
        <f aca="false">COUNTIFS(Cleaned!$D$2:$D$125,9,Cleaned!H$2:H$125,0)</f>
        <v>0</v>
      </c>
      <c r="C75" s="13" t="n">
        <f aca="false">IFERROR(B75/$F75,"")</f>
        <v>0</v>
      </c>
      <c r="D75" s="12" t="n">
        <f aca="false">COUNTIFS(Cleaned!$D$2:$D$125,9,Cleaned!H$2:H$125,1)</f>
        <v>2</v>
      </c>
      <c r="E75" s="13" t="n">
        <f aca="false">IFERROR(D75/$F75,"")</f>
        <v>1</v>
      </c>
      <c r="F75" s="12" t="n">
        <f aca="false">B75+D75</f>
        <v>2</v>
      </c>
    </row>
    <row r="76" customFormat="false" ht="15" hidden="false" customHeight="false" outlineLevel="0" collapsed="false">
      <c r="A76" s="12" t="s">
        <v>713</v>
      </c>
      <c r="B76" s="12" t="n">
        <f aca="false">COUNTIFS(Cleaned!$D$2:$D$125,10,Cleaned!H$2:H$125,0)</f>
        <v>0</v>
      </c>
      <c r="C76" s="13" t="n">
        <f aca="false">IFERROR(B76/$F76,"")</f>
        <v>0</v>
      </c>
      <c r="D76" s="12" t="n">
        <f aca="false">COUNTIFS(Cleaned!$D$2:$D$125,10,Cleaned!H$2:H$125,1)</f>
        <v>2</v>
      </c>
      <c r="E76" s="13" t="n">
        <f aca="false">IFERROR(D76/$F76,"")</f>
        <v>1</v>
      </c>
      <c r="F76" s="12" t="n">
        <f aca="false">B76+D76</f>
        <v>2</v>
      </c>
    </row>
    <row r="77" customFormat="false" ht="15" hidden="false" customHeight="false" outlineLevel="0" collapsed="false">
      <c r="A77" s="12" t="s">
        <v>714</v>
      </c>
      <c r="B77" s="12" t="n">
        <f aca="false">COUNTIFS(Cleaned!$D$2:$D$125,11,Cleaned!H$2:H$125,0)</f>
        <v>0</v>
      </c>
      <c r="C77" s="13" t="n">
        <f aca="false">IFERROR(B77/$F77,"")</f>
        <v>0</v>
      </c>
      <c r="D77" s="12" t="n">
        <f aca="false">COUNTIFS(Cleaned!$D$2:$D$125,11,Cleaned!H$2:H$125,1)</f>
        <v>11</v>
      </c>
      <c r="E77" s="13" t="n">
        <f aca="false">IFERROR(D77/$F77,"")</f>
        <v>1</v>
      </c>
      <c r="F77" s="12" t="n">
        <f aca="false">B77+D77</f>
        <v>11</v>
      </c>
    </row>
    <row r="78" customFormat="false" ht="15" hidden="false" customHeight="false" outlineLevel="0" collapsed="false">
      <c r="A78" s="12" t="s">
        <v>715</v>
      </c>
      <c r="B78" s="12" t="n">
        <f aca="false">COUNTIFS(Cleaned!$D$2:$D$125,12,Cleaned!H$2:H$125,0)</f>
        <v>0</v>
      </c>
      <c r="C78" s="13" t="n">
        <f aca="false">IFERROR(B78/$F78,"")</f>
        <v>0</v>
      </c>
      <c r="D78" s="12" t="n">
        <f aca="false">COUNTIFS(Cleaned!$D$2:$D$125,12,Cleaned!H$2:H$125,1)</f>
        <v>5</v>
      </c>
      <c r="E78" s="13" t="n">
        <f aca="false">IFERROR(D78/$F78,"")</f>
        <v>1</v>
      </c>
      <c r="F78" s="12" t="n">
        <f aca="false">B78+D78</f>
        <v>5</v>
      </c>
    </row>
    <row r="79" customFormat="false" ht="15" hidden="false" customHeight="false" outlineLevel="0" collapsed="false">
      <c r="A79" s="11" t="s">
        <v>716</v>
      </c>
      <c r="B79" s="11" t="n">
        <f aca="false">SUM(B67:B78)</f>
        <v>0</v>
      </c>
      <c r="C79" s="14" t="n">
        <f aca="false">IFERROR(B79/$F79,"")</f>
        <v>0</v>
      </c>
      <c r="D79" s="11" t="n">
        <f aca="false">SUM(D67:D78)</f>
        <v>78</v>
      </c>
      <c r="E79" s="14" t="n">
        <f aca="false">IFERROR(D79/$F79,"")</f>
        <v>1</v>
      </c>
      <c r="F79" s="11" t="n">
        <f aca="false">SUM(F67:F78)</f>
        <v>78</v>
      </c>
    </row>
    <row r="82" customFormat="false" ht="15" hidden="false" customHeight="false" outlineLevel="0" collapsed="false">
      <c r="A82" s="6" t="s">
        <v>8</v>
      </c>
      <c r="B82" s="7" t="s">
        <v>721</v>
      </c>
    </row>
    <row r="83" customFormat="false" ht="15" hidden="false" customHeight="false" outlineLevel="0" collapsed="false">
      <c r="A83" s="8"/>
      <c r="B83" s="9" t="s">
        <v>718</v>
      </c>
      <c r="C83" s="8"/>
      <c r="D83" s="9" t="s">
        <v>719</v>
      </c>
      <c r="E83" s="8"/>
      <c r="F83" s="9" t="s">
        <v>694</v>
      </c>
    </row>
    <row r="84" customFormat="false" ht="15" hidden="false" customHeight="false" outlineLevel="0" collapsed="false">
      <c r="B84" s="10" t="s">
        <v>695</v>
      </c>
      <c r="C84" s="10" t="s">
        <v>696</v>
      </c>
      <c r="D84" s="10" t="s">
        <v>695</v>
      </c>
      <c r="E84" s="10" t="s">
        <v>696</v>
      </c>
    </row>
    <row r="85" customFormat="false" ht="15" hidden="false" customHeight="false" outlineLevel="0" collapsed="false">
      <c r="A85" s="11" t="s">
        <v>697</v>
      </c>
    </row>
    <row r="86" customFormat="false" ht="15" hidden="false" customHeight="false" outlineLevel="0" collapsed="false">
      <c r="A86" s="12" t="s">
        <v>698</v>
      </c>
      <c r="B86" s="12" t="n">
        <f aca="false">COUNTIFS(Cleaned!$C$2:$C$125,1,Cleaned!I$2:I$125,0)</f>
        <v>5</v>
      </c>
      <c r="C86" s="13" t="n">
        <f aca="false">IFERROR(B86/$F86,"")</f>
        <v>0.333333333333333</v>
      </c>
      <c r="D86" s="12" t="n">
        <f aca="false">COUNTIFS(Cleaned!$C$2:$C$125,1,Cleaned!I$2:I$125,1)</f>
        <v>10</v>
      </c>
      <c r="E86" s="13" t="n">
        <f aca="false">IFERROR(D86/$F86,"")</f>
        <v>0.666666666666667</v>
      </c>
      <c r="F86" s="12" t="n">
        <f aca="false">B86+D86</f>
        <v>15</v>
      </c>
    </row>
    <row r="87" customFormat="false" ht="15" hidden="false" customHeight="false" outlineLevel="0" collapsed="false">
      <c r="A87" s="12" t="s">
        <v>699</v>
      </c>
      <c r="B87" s="12" t="n">
        <f aca="false">COUNTIFS(Cleaned!$C$2:$C$125,2,Cleaned!I$2:I$125,0)</f>
        <v>1</v>
      </c>
      <c r="C87" s="13" t="n">
        <f aca="false">IFERROR(B87/$F87,"")</f>
        <v>0.0769230769230769</v>
      </c>
      <c r="D87" s="12" t="n">
        <f aca="false">COUNTIFS(Cleaned!$C$2:$C$125,2,Cleaned!I$2:I$125,1)</f>
        <v>12</v>
      </c>
      <c r="E87" s="13" t="n">
        <f aca="false">IFERROR(D87/$F87,"")</f>
        <v>0.923076923076923</v>
      </c>
      <c r="F87" s="12" t="n">
        <f aca="false">B87+D87</f>
        <v>13</v>
      </c>
    </row>
    <row r="88" customFormat="false" ht="15" hidden="false" customHeight="false" outlineLevel="0" collapsed="false">
      <c r="A88" s="12" t="s">
        <v>700</v>
      </c>
      <c r="B88" s="12" t="n">
        <f aca="false">COUNTIFS(Cleaned!$C$2:$C$125,3,Cleaned!I$2:I$125,0)</f>
        <v>1</v>
      </c>
      <c r="C88" s="13" t="n">
        <f aca="false">IFERROR(B88/$F88,"")</f>
        <v>0.0588235294117647</v>
      </c>
      <c r="D88" s="12" t="n">
        <f aca="false">COUNTIFS(Cleaned!$C$2:$C$125,3,Cleaned!I$2:I$125,1)</f>
        <v>16</v>
      </c>
      <c r="E88" s="13" t="n">
        <f aca="false">IFERROR(D88/$F88,"")</f>
        <v>0.941176470588235</v>
      </c>
      <c r="F88" s="12" t="n">
        <f aca="false">B88+D88</f>
        <v>17</v>
      </c>
    </row>
    <row r="89" customFormat="false" ht="15" hidden="false" customHeight="false" outlineLevel="0" collapsed="false">
      <c r="A89" s="12" t="s">
        <v>701</v>
      </c>
      <c r="B89" s="12" t="n">
        <f aca="false">COUNTIFS(Cleaned!$C$2:$C$125,4,Cleaned!I$2:I$125,0)</f>
        <v>0</v>
      </c>
      <c r="C89" s="13" t="n">
        <f aca="false">IFERROR(B89/$F89,"")</f>
        <v>0</v>
      </c>
      <c r="D89" s="12" t="n">
        <f aca="false">COUNTIFS(Cleaned!$C$2:$C$125,4,Cleaned!I$2:I$125,1)</f>
        <v>11</v>
      </c>
      <c r="E89" s="13" t="n">
        <f aca="false">IFERROR(D89/$F89,"")</f>
        <v>1</v>
      </c>
      <c r="F89" s="12" t="n">
        <f aca="false">B89+D89</f>
        <v>11</v>
      </c>
    </row>
    <row r="90" customFormat="false" ht="15" hidden="false" customHeight="false" outlineLevel="0" collapsed="false">
      <c r="A90" s="12" t="s">
        <v>702</v>
      </c>
      <c r="B90" s="12" t="n">
        <f aca="false">COUNTIFS(Cleaned!$C$2:$C$125,5,Cleaned!I$2:I$125,0)</f>
        <v>0</v>
      </c>
      <c r="C90" s="13" t="n">
        <f aca="false">IFERROR(B90/$F90,"")</f>
        <v>0</v>
      </c>
      <c r="D90" s="12" t="n">
        <f aca="false">COUNTIFS(Cleaned!$C$2:$C$125,5,Cleaned!I$2:I$125,1)</f>
        <v>22</v>
      </c>
      <c r="E90" s="13" t="n">
        <f aca="false">IFERROR(D90/$F90,"")</f>
        <v>1</v>
      </c>
      <c r="F90" s="12" t="n">
        <f aca="false">B90+D90</f>
        <v>22</v>
      </c>
    </row>
    <row r="91" customFormat="false" ht="15" hidden="false" customHeight="false" outlineLevel="0" collapsed="false">
      <c r="A91" s="11" t="s">
        <v>703</v>
      </c>
      <c r="B91" s="11" t="n">
        <f aca="false">SUM(B86:B90)</f>
        <v>7</v>
      </c>
      <c r="C91" s="14" t="n">
        <f aca="false">IFERROR(B91/$F91,"")</f>
        <v>0.0897435897435897</v>
      </c>
      <c r="D91" s="11" t="n">
        <f aca="false">SUM(D86:D90)</f>
        <v>71</v>
      </c>
      <c r="E91" s="14" t="n">
        <f aca="false">IFERROR(D91/$F91,"")</f>
        <v>0.91025641025641</v>
      </c>
      <c r="F91" s="11" t="n">
        <f aca="false">SUM(F86:F90)</f>
        <v>78</v>
      </c>
    </row>
    <row r="92" customFormat="false" ht="15" hidden="false" customHeight="false" outlineLevel="0" collapsed="false">
      <c r="A92" s="11" t="s">
        <v>3</v>
      </c>
    </row>
    <row r="93" customFormat="false" ht="15" hidden="false" customHeight="false" outlineLevel="0" collapsed="false">
      <c r="A93" s="12" t="s">
        <v>704</v>
      </c>
      <c r="B93" s="12" t="n">
        <f aca="false">COUNTIFS(Cleaned!$D$2:$D$125,1,Cleaned!I$2:I$125,0)</f>
        <v>1</v>
      </c>
      <c r="C93" s="13" t="n">
        <f aca="false">IFERROR(B93/$F93,"")</f>
        <v>0.1</v>
      </c>
      <c r="D93" s="12" t="n">
        <f aca="false">COUNTIFS(Cleaned!$D$2:$D$125,1,Cleaned!I$2:I$125,1)</f>
        <v>9</v>
      </c>
      <c r="E93" s="13" t="n">
        <f aca="false">IFERROR(D93/$F93,"")</f>
        <v>0.9</v>
      </c>
      <c r="F93" s="12" t="n">
        <f aca="false">B93+D93</f>
        <v>10</v>
      </c>
    </row>
    <row r="94" customFormat="false" ht="15" hidden="false" customHeight="false" outlineLevel="0" collapsed="false">
      <c r="A94" s="12" t="s">
        <v>705</v>
      </c>
      <c r="B94" s="12" t="n">
        <f aca="false">COUNTIFS(Cleaned!$D$2:$D$125,2,Cleaned!I$2:I$125,0)</f>
        <v>0</v>
      </c>
      <c r="C94" s="13" t="n">
        <f aca="false">IFERROR(B94/$F94,"")</f>
        <v>0</v>
      </c>
      <c r="D94" s="12" t="n">
        <f aca="false">COUNTIFS(Cleaned!$D$2:$D$125,2,Cleaned!I$2:I$125,1)</f>
        <v>15</v>
      </c>
      <c r="E94" s="13" t="n">
        <f aca="false">IFERROR(D94/$F94,"")</f>
        <v>1</v>
      </c>
      <c r="F94" s="12" t="n">
        <f aca="false">B94+D94</f>
        <v>15</v>
      </c>
    </row>
    <row r="95" customFormat="false" ht="15" hidden="false" customHeight="false" outlineLevel="0" collapsed="false">
      <c r="A95" s="12" t="s">
        <v>706</v>
      </c>
      <c r="B95" s="12" t="n">
        <f aca="false">COUNTIFS(Cleaned!$D$2:$D$125,3,Cleaned!I$2:I$125,0)</f>
        <v>1</v>
      </c>
      <c r="C95" s="13" t="n">
        <f aca="false">IFERROR(B95/$F95,"")</f>
        <v>0.1</v>
      </c>
      <c r="D95" s="12" t="n">
        <f aca="false">COUNTIFS(Cleaned!$D$2:$D$125,3,Cleaned!I$2:I$125,1)</f>
        <v>9</v>
      </c>
      <c r="E95" s="13" t="n">
        <f aca="false">IFERROR(D95/$F95,"")</f>
        <v>0.9</v>
      </c>
      <c r="F95" s="12" t="n">
        <f aca="false">B95+D95</f>
        <v>10</v>
      </c>
    </row>
    <row r="96" customFormat="false" ht="15" hidden="false" customHeight="false" outlineLevel="0" collapsed="false">
      <c r="A96" s="12" t="s">
        <v>707</v>
      </c>
      <c r="B96" s="12" t="n">
        <f aca="false">COUNTIFS(Cleaned!$D$2:$D$125,4,Cleaned!I$2:I$125,0)</f>
        <v>0</v>
      </c>
      <c r="C96" s="13" t="n">
        <f aca="false">IFERROR(B96/$F96,"")</f>
        <v>0</v>
      </c>
      <c r="D96" s="12" t="n">
        <f aca="false">COUNTIFS(Cleaned!$D$2:$D$125,4,Cleaned!I$2:I$125,1)</f>
        <v>6</v>
      </c>
      <c r="E96" s="13" t="n">
        <f aca="false">IFERROR(D96/$F96,"")</f>
        <v>1</v>
      </c>
      <c r="F96" s="12" t="n">
        <f aca="false">B96+D96</f>
        <v>6</v>
      </c>
    </row>
    <row r="97" customFormat="false" ht="15" hidden="false" customHeight="false" outlineLevel="0" collapsed="false">
      <c r="A97" s="12" t="s">
        <v>708</v>
      </c>
      <c r="B97" s="12" t="n">
        <f aca="false">COUNTIFS(Cleaned!$D$2:$D$125,5,Cleaned!I$2:I$125,0)</f>
        <v>0</v>
      </c>
      <c r="C97" s="13" t="n">
        <f aca="false">IFERROR(B97/$F97,"")</f>
        <v>0</v>
      </c>
      <c r="D97" s="12" t="n">
        <f aca="false">COUNTIFS(Cleaned!$D$2:$D$125,5,Cleaned!I$2:I$125,1)</f>
        <v>1</v>
      </c>
      <c r="E97" s="13" t="n">
        <f aca="false">IFERROR(D97/$F97,"")</f>
        <v>1</v>
      </c>
      <c r="F97" s="12" t="n">
        <f aca="false">B97+D97</f>
        <v>1</v>
      </c>
    </row>
    <row r="98" customFormat="false" ht="15" hidden="false" customHeight="false" outlineLevel="0" collapsed="false">
      <c r="A98" s="12" t="s">
        <v>709</v>
      </c>
      <c r="B98" s="12" t="n">
        <f aca="false">COUNTIFS(Cleaned!$D$2:$D$125,6,Cleaned!I$2:I$125,0)</f>
        <v>0</v>
      </c>
      <c r="C98" s="13" t="n">
        <f aca="false">IFERROR(B98/$F98,"")</f>
        <v>0</v>
      </c>
      <c r="D98" s="12" t="n">
        <f aca="false">COUNTIFS(Cleaned!$D$2:$D$125,6,Cleaned!I$2:I$125,1)</f>
        <v>3</v>
      </c>
      <c r="E98" s="13" t="n">
        <f aca="false">IFERROR(D98/$F98,"")</f>
        <v>1</v>
      </c>
      <c r="F98" s="12" t="n">
        <f aca="false">B98+D98</f>
        <v>3</v>
      </c>
    </row>
    <row r="99" customFormat="false" ht="15" hidden="false" customHeight="false" outlineLevel="0" collapsed="false">
      <c r="A99" s="12" t="s">
        <v>710</v>
      </c>
      <c r="B99" s="12" t="n">
        <f aca="false">COUNTIFS(Cleaned!$D$2:$D$125,7,Cleaned!I$2:I$125,0)</f>
        <v>1</v>
      </c>
      <c r="C99" s="13" t="n">
        <f aca="false">IFERROR(B99/$F99,"")</f>
        <v>0.111111111111111</v>
      </c>
      <c r="D99" s="12" t="n">
        <f aca="false">COUNTIFS(Cleaned!$D$2:$D$125,7,Cleaned!I$2:I$125,1)</f>
        <v>8</v>
      </c>
      <c r="E99" s="13" t="n">
        <f aca="false">IFERROR(D99/$F99,"")</f>
        <v>0.888888888888889</v>
      </c>
      <c r="F99" s="12" t="n">
        <f aca="false">B99+D99</f>
        <v>9</v>
      </c>
    </row>
    <row r="100" customFormat="false" ht="15" hidden="false" customHeight="false" outlineLevel="0" collapsed="false">
      <c r="A100" s="12" t="s">
        <v>711</v>
      </c>
      <c r="B100" s="12" t="n">
        <f aca="false">COUNTIFS(Cleaned!$D$2:$D$125,8,Cleaned!I$2:I$125,0)</f>
        <v>1</v>
      </c>
      <c r="C100" s="13" t="n">
        <f aca="false">IFERROR(B100/$F100,"")</f>
        <v>0.25</v>
      </c>
      <c r="D100" s="12" t="n">
        <f aca="false">COUNTIFS(Cleaned!$D$2:$D$125,8,Cleaned!I$2:I$125,1)</f>
        <v>3</v>
      </c>
      <c r="E100" s="13" t="n">
        <f aca="false">IFERROR(D100/$F100,"")</f>
        <v>0.75</v>
      </c>
      <c r="F100" s="12" t="n">
        <f aca="false">B100+D100</f>
        <v>4</v>
      </c>
    </row>
    <row r="101" customFormat="false" ht="15" hidden="false" customHeight="false" outlineLevel="0" collapsed="false">
      <c r="A101" s="12" t="s">
        <v>712</v>
      </c>
      <c r="B101" s="12" t="n">
        <f aca="false">COUNTIFS(Cleaned!$D$2:$D$125,9,Cleaned!I$2:I$125,0)</f>
        <v>1</v>
      </c>
      <c r="C101" s="13" t="n">
        <f aca="false">IFERROR(B101/$F101,"")</f>
        <v>0.5</v>
      </c>
      <c r="D101" s="12" t="n">
        <f aca="false">COUNTIFS(Cleaned!$D$2:$D$125,9,Cleaned!I$2:I$125,1)</f>
        <v>1</v>
      </c>
      <c r="E101" s="13" t="n">
        <f aca="false">IFERROR(D101/$F101,"")</f>
        <v>0.5</v>
      </c>
      <c r="F101" s="12" t="n">
        <f aca="false">B101+D101</f>
        <v>2</v>
      </c>
    </row>
    <row r="102" customFormat="false" ht="15" hidden="false" customHeight="false" outlineLevel="0" collapsed="false">
      <c r="A102" s="12" t="s">
        <v>713</v>
      </c>
      <c r="B102" s="12" t="n">
        <f aca="false">COUNTIFS(Cleaned!$D$2:$D$125,10,Cleaned!I$2:I$125,0)</f>
        <v>0</v>
      </c>
      <c r="C102" s="13" t="n">
        <f aca="false">IFERROR(B102/$F102,"")</f>
        <v>0</v>
      </c>
      <c r="D102" s="12" t="n">
        <f aca="false">COUNTIFS(Cleaned!$D$2:$D$125,10,Cleaned!I$2:I$125,1)</f>
        <v>2</v>
      </c>
      <c r="E102" s="13" t="n">
        <f aca="false">IFERROR(D102/$F102,"")</f>
        <v>1</v>
      </c>
      <c r="F102" s="12" t="n">
        <f aca="false">B102+D102</f>
        <v>2</v>
      </c>
    </row>
    <row r="103" customFormat="false" ht="15" hidden="false" customHeight="false" outlineLevel="0" collapsed="false">
      <c r="A103" s="12" t="s">
        <v>714</v>
      </c>
      <c r="B103" s="12" t="n">
        <f aca="false">COUNTIFS(Cleaned!$D$2:$D$125,11,Cleaned!I$2:I$125,0)</f>
        <v>1</v>
      </c>
      <c r="C103" s="13" t="n">
        <f aca="false">IFERROR(B103/$F103,"")</f>
        <v>0.0909090909090909</v>
      </c>
      <c r="D103" s="12" t="n">
        <f aca="false">COUNTIFS(Cleaned!$D$2:$D$125,11,Cleaned!I$2:I$125,1)</f>
        <v>10</v>
      </c>
      <c r="E103" s="13" t="n">
        <f aca="false">IFERROR(D103/$F103,"")</f>
        <v>0.909090909090909</v>
      </c>
      <c r="F103" s="12" t="n">
        <f aca="false">B103+D103</f>
        <v>11</v>
      </c>
    </row>
    <row r="104" customFormat="false" ht="15" hidden="false" customHeight="false" outlineLevel="0" collapsed="false">
      <c r="A104" s="12" t="s">
        <v>715</v>
      </c>
      <c r="B104" s="12" t="n">
        <f aca="false">COUNTIFS(Cleaned!$D$2:$D$125,12,Cleaned!I$2:I$125,0)</f>
        <v>1</v>
      </c>
      <c r="C104" s="13" t="n">
        <f aca="false">IFERROR(B104/$F104,"")</f>
        <v>0.2</v>
      </c>
      <c r="D104" s="12" t="n">
        <f aca="false">COUNTIFS(Cleaned!$D$2:$D$125,12,Cleaned!I$2:I$125,1)</f>
        <v>4</v>
      </c>
      <c r="E104" s="13" t="n">
        <f aca="false">IFERROR(D104/$F104,"")</f>
        <v>0.8</v>
      </c>
      <c r="F104" s="12" t="n">
        <f aca="false">B104+D104</f>
        <v>5</v>
      </c>
    </row>
    <row r="105" customFormat="false" ht="15" hidden="false" customHeight="false" outlineLevel="0" collapsed="false">
      <c r="A105" s="11" t="s">
        <v>716</v>
      </c>
      <c r="B105" s="11" t="n">
        <f aca="false">SUM(B93:B104)</f>
        <v>7</v>
      </c>
      <c r="C105" s="14" t="n">
        <f aca="false">IFERROR(B105/$F105,"")</f>
        <v>0.0897435897435897</v>
      </c>
      <c r="D105" s="11" t="n">
        <f aca="false">SUM(D93:D104)</f>
        <v>71</v>
      </c>
      <c r="E105" s="14" t="n">
        <f aca="false">IFERROR(D105/$F105,"")</f>
        <v>0.91025641025641</v>
      </c>
      <c r="F105" s="11" t="n">
        <f aca="false">SUM(F93:F104)</f>
        <v>78</v>
      </c>
    </row>
    <row r="108" customFormat="false" ht="15" hidden="false" customHeight="false" outlineLevel="0" collapsed="false">
      <c r="A108" s="6" t="s">
        <v>9</v>
      </c>
      <c r="B108" s="7" t="s">
        <v>722</v>
      </c>
    </row>
    <row r="109" customFormat="false" ht="15" hidden="false" customHeight="false" outlineLevel="0" collapsed="false">
      <c r="A109" s="8"/>
      <c r="B109" s="9" t="s">
        <v>718</v>
      </c>
      <c r="C109" s="8"/>
      <c r="D109" s="9" t="s">
        <v>719</v>
      </c>
      <c r="E109" s="8"/>
      <c r="F109" s="9" t="s">
        <v>694</v>
      </c>
    </row>
    <row r="110" customFormat="false" ht="15" hidden="false" customHeight="false" outlineLevel="0" collapsed="false">
      <c r="B110" s="10" t="s">
        <v>695</v>
      </c>
      <c r="C110" s="10" t="s">
        <v>696</v>
      </c>
      <c r="D110" s="10" t="s">
        <v>695</v>
      </c>
      <c r="E110" s="10" t="s">
        <v>696</v>
      </c>
    </row>
    <row r="111" customFormat="false" ht="15" hidden="false" customHeight="false" outlineLevel="0" collapsed="false">
      <c r="A111" s="11" t="s">
        <v>697</v>
      </c>
    </row>
    <row r="112" customFormat="false" ht="15" hidden="false" customHeight="false" outlineLevel="0" collapsed="false">
      <c r="A112" s="12" t="s">
        <v>698</v>
      </c>
      <c r="B112" s="12" t="n">
        <f aca="false">COUNTIFS(Cleaned!$C$2:$C$125,1,Cleaned!J$2:J$125,0)</f>
        <v>10</v>
      </c>
      <c r="C112" s="13" t="n">
        <f aca="false">IFERROR(B112/$F112,"")</f>
        <v>0.666666666666667</v>
      </c>
      <c r="D112" s="12" t="n">
        <f aca="false">COUNTIFS(Cleaned!$C$2:$C$125,1,Cleaned!J$2:J$125,1)</f>
        <v>5</v>
      </c>
      <c r="E112" s="13" t="n">
        <f aca="false">IFERROR(D112/$F112,"")</f>
        <v>0.333333333333333</v>
      </c>
      <c r="F112" s="12" t="n">
        <f aca="false">B112+D112</f>
        <v>15</v>
      </c>
    </row>
    <row r="113" customFormat="false" ht="15" hidden="false" customHeight="false" outlineLevel="0" collapsed="false">
      <c r="A113" s="12" t="s">
        <v>699</v>
      </c>
      <c r="B113" s="12" t="n">
        <f aca="false">COUNTIFS(Cleaned!$C$2:$C$125,2,Cleaned!J$2:J$125,0)</f>
        <v>11</v>
      </c>
      <c r="C113" s="13" t="n">
        <f aca="false">IFERROR(B113/$F113,"")</f>
        <v>0.846153846153846</v>
      </c>
      <c r="D113" s="12" t="n">
        <f aca="false">COUNTIFS(Cleaned!$C$2:$C$125,2,Cleaned!J$2:J$125,1)</f>
        <v>2</v>
      </c>
      <c r="E113" s="13" t="n">
        <f aca="false">IFERROR(D113/$F113,"")</f>
        <v>0.153846153846154</v>
      </c>
      <c r="F113" s="12" t="n">
        <f aca="false">B113+D113</f>
        <v>13</v>
      </c>
    </row>
    <row r="114" customFormat="false" ht="15" hidden="false" customHeight="false" outlineLevel="0" collapsed="false">
      <c r="A114" s="12" t="s">
        <v>700</v>
      </c>
      <c r="B114" s="12" t="n">
        <f aca="false">COUNTIFS(Cleaned!$C$2:$C$125,3,Cleaned!J$2:J$125,0)</f>
        <v>9</v>
      </c>
      <c r="C114" s="13" t="n">
        <f aca="false">IFERROR(B114/$F114,"")</f>
        <v>0.529411764705882</v>
      </c>
      <c r="D114" s="12" t="n">
        <f aca="false">COUNTIFS(Cleaned!$C$2:$C$125,3,Cleaned!J$2:J$125,1)</f>
        <v>8</v>
      </c>
      <c r="E114" s="13" t="n">
        <f aca="false">IFERROR(D114/$F114,"")</f>
        <v>0.470588235294118</v>
      </c>
      <c r="F114" s="12" t="n">
        <f aca="false">B114+D114</f>
        <v>17</v>
      </c>
    </row>
    <row r="115" customFormat="false" ht="15" hidden="false" customHeight="false" outlineLevel="0" collapsed="false">
      <c r="A115" s="12" t="s">
        <v>701</v>
      </c>
      <c r="B115" s="12" t="n">
        <f aca="false">COUNTIFS(Cleaned!$C$2:$C$125,4,Cleaned!J$2:J$125,0)</f>
        <v>3</v>
      </c>
      <c r="C115" s="13" t="n">
        <f aca="false">IFERROR(B115/$F115,"")</f>
        <v>0.272727272727273</v>
      </c>
      <c r="D115" s="12" t="n">
        <f aca="false">COUNTIFS(Cleaned!$C$2:$C$125,4,Cleaned!J$2:J$125,1)</f>
        <v>8</v>
      </c>
      <c r="E115" s="13" t="n">
        <f aca="false">IFERROR(D115/$F115,"")</f>
        <v>0.727272727272727</v>
      </c>
      <c r="F115" s="12" t="n">
        <f aca="false">B115+D115</f>
        <v>11</v>
      </c>
    </row>
    <row r="116" customFormat="false" ht="15" hidden="false" customHeight="false" outlineLevel="0" collapsed="false">
      <c r="A116" s="12" t="s">
        <v>702</v>
      </c>
      <c r="B116" s="12" t="n">
        <f aca="false">COUNTIFS(Cleaned!$C$2:$C$125,5,Cleaned!J$2:J$125,0)</f>
        <v>5</v>
      </c>
      <c r="C116" s="13" t="n">
        <f aca="false">IFERROR(B116/$F116,"")</f>
        <v>0.227272727272727</v>
      </c>
      <c r="D116" s="12" t="n">
        <f aca="false">COUNTIFS(Cleaned!$C$2:$C$125,5,Cleaned!J$2:J$125,1)</f>
        <v>17</v>
      </c>
      <c r="E116" s="13" t="n">
        <f aca="false">IFERROR(D116/$F116,"")</f>
        <v>0.772727272727273</v>
      </c>
      <c r="F116" s="12" t="n">
        <f aca="false">B116+D116</f>
        <v>22</v>
      </c>
    </row>
    <row r="117" customFormat="false" ht="15" hidden="false" customHeight="false" outlineLevel="0" collapsed="false">
      <c r="A117" s="11" t="s">
        <v>703</v>
      </c>
      <c r="B117" s="11" t="n">
        <f aca="false">SUM(B112:B116)</f>
        <v>38</v>
      </c>
      <c r="C117" s="14" t="n">
        <f aca="false">IFERROR(B117/$F117,"")</f>
        <v>0.487179487179487</v>
      </c>
      <c r="D117" s="11" t="n">
        <f aca="false">SUM(D112:D116)</f>
        <v>40</v>
      </c>
      <c r="E117" s="14" t="n">
        <f aca="false">IFERROR(D117/$F117,"")</f>
        <v>0.512820512820513</v>
      </c>
      <c r="F117" s="11" t="n">
        <f aca="false">SUM(F112:F116)</f>
        <v>78</v>
      </c>
    </row>
    <row r="118" customFormat="false" ht="15" hidden="false" customHeight="false" outlineLevel="0" collapsed="false">
      <c r="A118" s="11" t="s">
        <v>3</v>
      </c>
    </row>
    <row r="119" customFormat="false" ht="15" hidden="false" customHeight="false" outlineLevel="0" collapsed="false">
      <c r="A119" s="12" t="s">
        <v>704</v>
      </c>
      <c r="B119" s="12" t="n">
        <f aca="false">COUNTIFS(Cleaned!$D$2:$D$125,1,Cleaned!J$2:J$125,0)</f>
        <v>3</v>
      </c>
      <c r="C119" s="13" t="n">
        <f aca="false">IFERROR(B119/$F119,"")</f>
        <v>0.3</v>
      </c>
      <c r="D119" s="12" t="n">
        <f aca="false">COUNTIFS(Cleaned!$D$2:$D$125,1,Cleaned!J$2:J$125,1)</f>
        <v>7</v>
      </c>
      <c r="E119" s="13" t="n">
        <f aca="false">IFERROR(D119/$F119,"")</f>
        <v>0.7</v>
      </c>
      <c r="F119" s="12" t="n">
        <f aca="false">B119+D119</f>
        <v>10</v>
      </c>
    </row>
    <row r="120" customFormat="false" ht="15" hidden="false" customHeight="false" outlineLevel="0" collapsed="false">
      <c r="A120" s="12" t="s">
        <v>705</v>
      </c>
      <c r="B120" s="12" t="n">
        <f aca="false">COUNTIFS(Cleaned!$D$2:$D$125,2,Cleaned!J$2:J$125,0)</f>
        <v>4</v>
      </c>
      <c r="C120" s="13" t="n">
        <f aca="false">IFERROR(B120/$F120,"")</f>
        <v>0.266666666666667</v>
      </c>
      <c r="D120" s="12" t="n">
        <f aca="false">COUNTIFS(Cleaned!$D$2:$D$125,2,Cleaned!J$2:J$125,1)</f>
        <v>11</v>
      </c>
      <c r="E120" s="13" t="n">
        <f aca="false">IFERROR(D120/$F120,"")</f>
        <v>0.733333333333333</v>
      </c>
      <c r="F120" s="12" t="n">
        <f aca="false">B120+D120</f>
        <v>15</v>
      </c>
    </row>
    <row r="121" customFormat="false" ht="15" hidden="false" customHeight="false" outlineLevel="0" collapsed="false">
      <c r="A121" s="12" t="s">
        <v>706</v>
      </c>
      <c r="B121" s="12" t="n">
        <f aca="false">COUNTIFS(Cleaned!$D$2:$D$125,3,Cleaned!J$2:J$125,0)</f>
        <v>5</v>
      </c>
      <c r="C121" s="13" t="n">
        <f aca="false">IFERROR(B121/$F121,"")</f>
        <v>0.5</v>
      </c>
      <c r="D121" s="12" t="n">
        <f aca="false">COUNTIFS(Cleaned!$D$2:$D$125,3,Cleaned!J$2:J$125,1)</f>
        <v>5</v>
      </c>
      <c r="E121" s="13" t="n">
        <f aca="false">IFERROR(D121/$F121,"")</f>
        <v>0.5</v>
      </c>
      <c r="F121" s="12" t="n">
        <f aca="false">B121+D121</f>
        <v>10</v>
      </c>
    </row>
    <row r="122" customFormat="false" ht="15" hidden="false" customHeight="false" outlineLevel="0" collapsed="false">
      <c r="A122" s="12" t="s">
        <v>707</v>
      </c>
      <c r="B122" s="12" t="n">
        <f aca="false">COUNTIFS(Cleaned!$D$2:$D$125,4,Cleaned!J$2:J$125,0)</f>
        <v>2</v>
      </c>
      <c r="C122" s="13" t="n">
        <f aca="false">IFERROR(B122/$F122,"")</f>
        <v>0.333333333333333</v>
      </c>
      <c r="D122" s="12" t="n">
        <f aca="false">COUNTIFS(Cleaned!$D$2:$D$125,4,Cleaned!J$2:J$125,1)</f>
        <v>4</v>
      </c>
      <c r="E122" s="13" t="n">
        <f aca="false">IFERROR(D122/$F122,"")</f>
        <v>0.666666666666667</v>
      </c>
      <c r="F122" s="12" t="n">
        <f aca="false">B122+D122</f>
        <v>6</v>
      </c>
    </row>
    <row r="123" customFormat="false" ht="15" hidden="false" customHeight="false" outlineLevel="0" collapsed="false">
      <c r="A123" s="12" t="s">
        <v>708</v>
      </c>
      <c r="B123" s="12" t="n">
        <f aca="false">COUNTIFS(Cleaned!$D$2:$D$125,5,Cleaned!J$2:J$125,0)</f>
        <v>0</v>
      </c>
      <c r="C123" s="13" t="n">
        <f aca="false">IFERROR(B123/$F123,"")</f>
        <v>0</v>
      </c>
      <c r="D123" s="12" t="n">
        <f aca="false">COUNTIFS(Cleaned!$D$2:$D$125,5,Cleaned!J$2:J$125,1)</f>
        <v>1</v>
      </c>
      <c r="E123" s="13" t="n">
        <f aca="false">IFERROR(D123/$F123,"")</f>
        <v>1</v>
      </c>
      <c r="F123" s="12" t="n">
        <f aca="false">B123+D123</f>
        <v>1</v>
      </c>
    </row>
    <row r="124" customFormat="false" ht="15" hidden="false" customHeight="false" outlineLevel="0" collapsed="false">
      <c r="A124" s="12" t="s">
        <v>709</v>
      </c>
      <c r="B124" s="12" t="n">
        <f aca="false">COUNTIFS(Cleaned!$D$2:$D$125,6,Cleaned!J$2:J$125,0)</f>
        <v>1</v>
      </c>
      <c r="C124" s="13" t="n">
        <f aca="false">IFERROR(B124/$F124,"")</f>
        <v>0.333333333333333</v>
      </c>
      <c r="D124" s="12" t="n">
        <f aca="false">COUNTIFS(Cleaned!$D$2:$D$125,6,Cleaned!J$2:J$125,1)</f>
        <v>2</v>
      </c>
      <c r="E124" s="13" t="n">
        <f aca="false">IFERROR(D124/$F124,"")</f>
        <v>0.666666666666667</v>
      </c>
      <c r="F124" s="12" t="n">
        <f aca="false">B124+D124</f>
        <v>3</v>
      </c>
    </row>
    <row r="125" customFormat="false" ht="15" hidden="false" customHeight="false" outlineLevel="0" collapsed="false">
      <c r="A125" s="12" t="s">
        <v>710</v>
      </c>
      <c r="B125" s="12" t="n">
        <f aca="false">COUNTIFS(Cleaned!$D$2:$D$125,7,Cleaned!J$2:J$125,0)</f>
        <v>6</v>
      </c>
      <c r="C125" s="13" t="n">
        <f aca="false">IFERROR(B125/$F125,"")</f>
        <v>0.666666666666667</v>
      </c>
      <c r="D125" s="12" t="n">
        <f aca="false">COUNTIFS(Cleaned!$D$2:$D$125,7,Cleaned!J$2:J$125,1)</f>
        <v>3</v>
      </c>
      <c r="E125" s="13" t="n">
        <f aca="false">IFERROR(D125/$F125,"")</f>
        <v>0.333333333333333</v>
      </c>
      <c r="F125" s="12" t="n">
        <f aca="false">B125+D125</f>
        <v>9</v>
      </c>
    </row>
    <row r="126" customFormat="false" ht="15" hidden="false" customHeight="false" outlineLevel="0" collapsed="false">
      <c r="A126" s="12" t="s">
        <v>711</v>
      </c>
      <c r="B126" s="12" t="n">
        <f aca="false">COUNTIFS(Cleaned!$D$2:$D$125,8,Cleaned!J$2:J$125,0)</f>
        <v>3</v>
      </c>
      <c r="C126" s="13" t="n">
        <f aca="false">IFERROR(B126/$F126,"")</f>
        <v>0.75</v>
      </c>
      <c r="D126" s="12" t="n">
        <f aca="false">COUNTIFS(Cleaned!$D$2:$D$125,8,Cleaned!J$2:J$125,1)</f>
        <v>1</v>
      </c>
      <c r="E126" s="13" t="n">
        <f aca="false">IFERROR(D126/$F126,"")</f>
        <v>0.25</v>
      </c>
      <c r="F126" s="12" t="n">
        <f aca="false">B126+D126</f>
        <v>4</v>
      </c>
    </row>
    <row r="127" customFormat="false" ht="15" hidden="false" customHeight="false" outlineLevel="0" collapsed="false">
      <c r="A127" s="12" t="s">
        <v>712</v>
      </c>
      <c r="B127" s="12" t="n">
        <f aca="false">COUNTIFS(Cleaned!$D$2:$D$125,9,Cleaned!J$2:J$125,0)</f>
        <v>0</v>
      </c>
      <c r="C127" s="13" t="n">
        <f aca="false">IFERROR(B127/$F127,"")</f>
        <v>0</v>
      </c>
      <c r="D127" s="12" t="n">
        <f aca="false">COUNTIFS(Cleaned!$D$2:$D$125,9,Cleaned!J$2:J$125,1)</f>
        <v>2</v>
      </c>
      <c r="E127" s="13" t="n">
        <f aca="false">IFERROR(D127/$F127,"")</f>
        <v>1</v>
      </c>
      <c r="F127" s="12" t="n">
        <f aca="false">B127+D127</f>
        <v>2</v>
      </c>
    </row>
    <row r="128" customFormat="false" ht="15" hidden="false" customHeight="false" outlineLevel="0" collapsed="false">
      <c r="A128" s="12" t="s">
        <v>713</v>
      </c>
      <c r="B128" s="12" t="n">
        <f aca="false">COUNTIFS(Cleaned!$D$2:$D$125,10,Cleaned!J$2:J$125,0)</f>
        <v>2</v>
      </c>
      <c r="C128" s="13" t="n">
        <f aca="false">IFERROR(B128/$F128,"")</f>
        <v>1</v>
      </c>
      <c r="D128" s="12" t="n">
        <f aca="false">COUNTIFS(Cleaned!$D$2:$D$125,10,Cleaned!J$2:J$125,1)</f>
        <v>0</v>
      </c>
      <c r="E128" s="13" t="n">
        <f aca="false">IFERROR(D128/$F128,"")</f>
        <v>0</v>
      </c>
      <c r="F128" s="12" t="n">
        <f aca="false">B128+D128</f>
        <v>2</v>
      </c>
    </row>
    <row r="129" customFormat="false" ht="15" hidden="false" customHeight="false" outlineLevel="0" collapsed="false">
      <c r="A129" s="12" t="s">
        <v>714</v>
      </c>
      <c r="B129" s="12" t="n">
        <f aca="false">COUNTIFS(Cleaned!$D$2:$D$125,11,Cleaned!J$2:J$125,0)</f>
        <v>7</v>
      </c>
      <c r="C129" s="13" t="n">
        <f aca="false">IFERROR(B129/$F129,"")</f>
        <v>0.636363636363636</v>
      </c>
      <c r="D129" s="12" t="n">
        <f aca="false">COUNTIFS(Cleaned!$D$2:$D$125,11,Cleaned!J$2:J$125,1)</f>
        <v>4</v>
      </c>
      <c r="E129" s="13" t="n">
        <f aca="false">IFERROR(D129/$F129,"")</f>
        <v>0.363636363636364</v>
      </c>
      <c r="F129" s="12" t="n">
        <f aca="false">B129+D129</f>
        <v>11</v>
      </c>
    </row>
    <row r="130" customFormat="false" ht="15" hidden="false" customHeight="false" outlineLevel="0" collapsed="false">
      <c r="A130" s="12" t="s">
        <v>715</v>
      </c>
      <c r="B130" s="12" t="n">
        <f aca="false">COUNTIFS(Cleaned!$D$2:$D$125,12,Cleaned!J$2:J$125,0)</f>
        <v>5</v>
      </c>
      <c r="C130" s="13" t="n">
        <f aca="false">IFERROR(B130/$F130,"")</f>
        <v>1</v>
      </c>
      <c r="D130" s="12" t="n">
        <f aca="false">COUNTIFS(Cleaned!$D$2:$D$125,12,Cleaned!J$2:J$125,1)</f>
        <v>0</v>
      </c>
      <c r="E130" s="13" t="n">
        <f aca="false">IFERROR(D130/$F130,"")</f>
        <v>0</v>
      </c>
      <c r="F130" s="12" t="n">
        <f aca="false">B130+D130</f>
        <v>5</v>
      </c>
    </row>
    <row r="131" customFormat="false" ht="15" hidden="false" customHeight="false" outlineLevel="0" collapsed="false">
      <c r="A131" s="11" t="s">
        <v>716</v>
      </c>
      <c r="B131" s="11" t="n">
        <f aca="false">SUM(B119:B130)</f>
        <v>38</v>
      </c>
      <c r="C131" s="14" t="n">
        <f aca="false">IFERROR(B131/$F131,"")</f>
        <v>0.487179487179487</v>
      </c>
      <c r="D131" s="11" t="n">
        <f aca="false">SUM(D119:D130)</f>
        <v>40</v>
      </c>
      <c r="E131" s="14" t="n">
        <f aca="false">IFERROR(D131/$F131,"")</f>
        <v>0.512820512820513</v>
      </c>
      <c r="F131" s="11" t="n">
        <f aca="false">SUM(F119:F130)</f>
        <v>78</v>
      </c>
    </row>
    <row r="134" customFormat="false" ht="15" hidden="false" customHeight="false" outlineLevel="0" collapsed="false">
      <c r="A134" s="6" t="s">
        <v>10</v>
      </c>
      <c r="B134" s="7" t="s">
        <v>723</v>
      </c>
    </row>
    <row r="135" customFormat="false" ht="15" hidden="false" customHeight="false" outlineLevel="0" collapsed="false">
      <c r="A135" s="8"/>
      <c r="B135" s="9" t="s">
        <v>718</v>
      </c>
      <c r="C135" s="8"/>
      <c r="D135" s="9" t="s">
        <v>719</v>
      </c>
      <c r="E135" s="8"/>
      <c r="F135" s="9" t="s">
        <v>694</v>
      </c>
    </row>
    <row r="136" customFormat="false" ht="15" hidden="false" customHeight="false" outlineLevel="0" collapsed="false">
      <c r="B136" s="10" t="s">
        <v>695</v>
      </c>
      <c r="C136" s="10" t="s">
        <v>696</v>
      </c>
      <c r="D136" s="10" t="s">
        <v>695</v>
      </c>
      <c r="E136" s="10" t="s">
        <v>696</v>
      </c>
    </row>
    <row r="137" customFormat="false" ht="15" hidden="false" customHeight="false" outlineLevel="0" collapsed="false">
      <c r="A137" s="11" t="s">
        <v>697</v>
      </c>
    </row>
    <row r="138" customFormat="false" ht="15" hidden="false" customHeight="false" outlineLevel="0" collapsed="false">
      <c r="A138" s="12" t="s">
        <v>698</v>
      </c>
      <c r="B138" s="12" t="n">
        <f aca="false">COUNTIFS(Cleaned!$C$2:$C$125,1,Cleaned!K$2:K$125,0)</f>
        <v>4</v>
      </c>
      <c r="C138" s="13" t="n">
        <f aca="false">IFERROR(B138/$F138,"")</f>
        <v>0.266666666666667</v>
      </c>
      <c r="D138" s="12" t="n">
        <f aca="false">COUNTIFS(Cleaned!$C$2:$C$125,1,Cleaned!K$2:K$125,1)</f>
        <v>11</v>
      </c>
      <c r="E138" s="13" t="n">
        <f aca="false">IFERROR(D138/$F138,"")</f>
        <v>0.733333333333333</v>
      </c>
      <c r="F138" s="12" t="n">
        <f aca="false">B138+D138</f>
        <v>15</v>
      </c>
    </row>
    <row r="139" customFormat="false" ht="15" hidden="false" customHeight="false" outlineLevel="0" collapsed="false">
      <c r="A139" s="12" t="s">
        <v>699</v>
      </c>
      <c r="B139" s="12" t="n">
        <f aca="false">COUNTIFS(Cleaned!$C$2:$C$125,2,Cleaned!K$2:K$125,0)</f>
        <v>2</v>
      </c>
      <c r="C139" s="13" t="n">
        <f aca="false">IFERROR(B139/$F139,"")</f>
        <v>0.153846153846154</v>
      </c>
      <c r="D139" s="12" t="n">
        <f aca="false">COUNTIFS(Cleaned!$C$2:$C$125,2,Cleaned!K$2:K$125,1)</f>
        <v>11</v>
      </c>
      <c r="E139" s="13" t="n">
        <f aca="false">IFERROR(D139/$F139,"")</f>
        <v>0.846153846153846</v>
      </c>
      <c r="F139" s="12" t="n">
        <f aca="false">B139+D139</f>
        <v>13</v>
      </c>
    </row>
    <row r="140" customFormat="false" ht="15" hidden="false" customHeight="false" outlineLevel="0" collapsed="false">
      <c r="A140" s="12" t="s">
        <v>700</v>
      </c>
      <c r="B140" s="12" t="n">
        <f aca="false">COUNTIFS(Cleaned!$C$2:$C$125,3,Cleaned!K$2:K$125,0)</f>
        <v>2</v>
      </c>
      <c r="C140" s="13" t="n">
        <f aca="false">IFERROR(B140/$F140,"")</f>
        <v>0.117647058823529</v>
      </c>
      <c r="D140" s="12" t="n">
        <f aca="false">COUNTIFS(Cleaned!$C$2:$C$125,3,Cleaned!K$2:K$125,1)</f>
        <v>15</v>
      </c>
      <c r="E140" s="13" t="n">
        <f aca="false">IFERROR(D140/$F140,"")</f>
        <v>0.882352941176471</v>
      </c>
      <c r="F140" s="12" t="n">
        <f aca="false">B140+D140</f>
        <v>17</v>
      </c>
    </row>
    <row r="141" customFormat="false" ht="15" hidden="false" customHeight="false" outlineLevel="0" collapsed="false">
      <c r="A141" s="12" t="s">
        <v>701</v>
      </c>
      <c r="B141" s="12" t="n">
        <f aca="false">COUNTIFS(Cleaned!$C$2:$C$125,4,Cleaned!K$2:K$125,0)</f>
        <v>1</v>
      </c>
      <c r="C141" s="13" t="n">
        <f aca="false">IFERROR(B141/$F141,"")</f>
        <v>0.0909090909090909</v>
      </c>
      <c r="D141" s="12" t="n">
        <f aca="false">COUNTIFS(Cleaned!$C$2:$C$125,4,Cleaned!K$2:K$125,1)</f>
        <v>10</v>
      </c>
      <c r="E141" s="13" t="n">
        <f aca="false">IFERROR(D141/$F141,"")</f>
        <v>0.909090909090909</v>
      </c>
      <c r="F141" s="12" t="n">
        <f aca="false">B141+D141</f>
        <v>11</v>
      </c>
    </row>
    <row r="142" customFormat="false" ht="15" hidden="false" customHeight="false" outlineLevel="0" collapsed="false">
      <c r="A142" s="12" t="s">
        <v>702</v>
      </c>
      <c r="B142" s="12" t="n">
        <f aca="false">COUNTIFS(Cleaned!$C$2:$C$125,5,Cleaned!K$2:K$125,0)</f>
        <v>1</v>
      </c>
      <c r="C142" s="13" t="n">
        <f aca="false">IFERROR(B142/$F142,"")</f>
        <v>0.0454545454545455</v>
      </c>
      <c r="D142" s="12" t="n">
        <f aca="false">COUNTIFS(Cleaned!$C$2:$C$125,5,Cleaned!K$2:K$125,1)</f>
        <v>21</v>
      </c>
      <c r="E142" s="13" t="n">
        <f aca="false">IFERROR(D142/$F142,"")</f>
        <v>0.954545454545455</v>
      </c>
      <c r="F142" s="12" t="n">
        <f aca="false">B142+D142</f>
        <v>22</v>
      </c>
    </row>
    <row r="143" customFormat="false" ht="15" hidden="false" customHeight="false" outlineLevel="0" collapsed="false">
      <c r="A143" s="11" t="s">
        <v>703</v>
      </c>
      <c r="B143" s="11" t="n">
        <f aca="false">SUM(B138:B142)</f>
        <v>10</v>
      </c>
      <c r="C143" s="14" t="n">
        <f aca="false">IFERROR(B143/$F143,"")</f>
        <v>0.128205128205128</v>
      </c>
      <c r="D143" s="11" t="n">
        <f aca="false">SUM(D138:D142)</f>
        <v>68</v>
      </c>
      <c r="E143" s="14" t="n">
        <f aca="false">IFERROR(D143/$F143,"")</f>
        <v>0.871794871794872</v>
      </c>
      <c r="F143" s="11" t="n">
        <f aca="false">SUM(F138:F142)</f>
        <v>78</v>
      </c>
    </row>
    <row r="144" customFormat="false" ht="15" hidden="false" customHeight="false" outlineLevel="0" collapsed="false">
      <c r="A144" s="11" t="s">
        <v>3</v>
      </c>
    </row>
    <row r="145" customFormat="false" ht="15" hidden="false" customHeight="false" outlineLevel="0" collapsed="false">
      <c r="A145" s="12" t="s">
        <v>704</v>
      </c>
      <c r="B145" s="12" t="n">
        <f aca="false">COUNTIFS(Cleaned!$D$2:$D$125,1,Cleaned!K$2:K$125,0)</f>
        <v>3</v>
      </c>
      <c r="C145" s="13" t="n">
        <f aca="false">IFERROR(B145/$F145,"")</f>
        <v>0.3</v>
      </c>
      <c r="D145" s="12" t="n">
        <f aca="false">COUNTIFS(Cleaned!$D$2:$D$125,1,Cleaned!K$2:K$125,1)</f>
        <v>7</v>
      </c>
      <c r="E145" s="13" t="n">
        <f aca="false">IFERROR(D145/$F145,"")</f>
        <v>0.7</v>
      </c>
      <c r="F145" s="12" t="n">
        <f aca="false">B145+D145</f>
        <v>10</v>
      </c>
    </row>
    <row r="146" customFormat="false" ht="15" hidden="false" customHeight="false" outlineLevel="0" collapsed="false">
      <c r="A146" s="12" t="s">
        <v>705</v>
      </c>
      <c r="B146" s="12" t="n">
        <f aca="false">COUNTIFS(Cleaned!$D$2:$D$125,2,Cleaned!K$2:K$125,0)</f>
        <v>1</v>
      </c>
      <c r="C146" s="13" t="n">
        <f aca="false">IFERROR(B146/$F146,"")</f>
        <v>0.0666666666666667</v>
      </c>
      <c r="D146" s="12" t="n">
        <f aca="false">COUNTIFS(Cleaned!$D$2:$D$125,2,Cleaned!K$2:K$125,1)</f>
        <v>14</v>
      </c>
      <c r="E146" s="13" t="n">
        <f aca="false">IFERROR(D146/$F146,"")</f>
        <v>0.933333333333333</v>
      </c>
      <c r="F146" s="12" t="n">
        <f aca="false">B146+D146</f>
        <v>15</v>
      </c>
    </row>
    <row r="147" customFormat="false" ht="15" hidden="false" customHeight="false" outlineLevel="0" collapsed="false">
      <c r="A147" s="12" t="s">
        <v>706</v>
      </c>
      <c r="B147" s="12" t="n">
        <f aca="false">COUNTIFS(Cleaned!$D$2:$D$125,3,Cleaned!K$2:K$125,0)</f>
        <v>0</v>
      </c>
      <c r="C147" s="13" t="n">
        <f aca="false">IFERROR(B147/$F147,"")</f>
        <v>0</v>
      </c>
      <c r="D147" s="12" t="n">
        <f aca="false">COUNTIFS(Cleaned!$D$2:$D$125,3,Cleaned!K$2:K$125,1)</f>
        <v>10</v>
      </c>
      <c r="E147" s="13" t="n">
        <f aca="false">IFERROR(D147/$F147,"")</f>
        <v>1</v>
      </c>
      <c r="F147" s="12" t="n">
        <f aca="false">B147+D147</f>
        <v>10</v>
      </c>
    </row>
    <row r="148" customFormat="false" ht="15" hidden="false" customHeight="false" outlineLevel="0" collapsed="false">
      <c r="A148" s="12" t="s">
        <v>707</v>
      </c>
      <c r="B148" s="12" t="n">
        <f aca="false">COUNTIFS(Cleaned!$D$2:$D$125,4,Cleaned!K$2:K$125,0)</f>
        <v>1</v>
      </c>
      <c r="C148" s="13" t="n">
        <f aca="false">IFERROR(B148/$F148,"")</f>
        <v>0.166666666666667</v>
      </c>
      <c r="D148" s="12" t="n">
        <f aca="false">COUNTIFS(Cleaned!$D$2:$D$125,4,Cleaned!K$2:K$125,1)</f>
        <v>5</v>
      </c>
      <c r="E148" s="13" t="n">
        <f aca="false">IFERROR(D148/$F148,"")</f>
        <v>0.833333333333333</v>
      </c>
      <c r="F148" s="12" t="n">
        <f aca="false">B148+D148</f>
        <v>6</v>
      </c>
    </row>
    <row r="149" customFormat="false" ht="15" hidden="false" customHeight="false" outlineLevel="0" collapsed="false">
      <c r="A149" s="12" t="s">
        <v>708</v>
      </c>
      <c r="B149" s="12" t="n">
        <f aca="false">COUNTIFS(Cleaned!$D$2:$D$125,5,Cleaned!K$2:K$125,0)</f>
        <v>0</v>
      </c>
      <c r="C149" s="13" t="n">
        <f aca="false">IFERROR(B149/$F149,"")</f>
        <v>0</v>
      </c>
      <c r="D149" s="12" t="n">
        <f aca="false">COUNTIFS(Cleaned!$D$2:$D$125,5,Cleaned!K$2:K$125,1)</f>
        <v>1</v>
      </c>
      <c r="E149" s="13" t="n">
        <f aca="false">IFERROR(D149/$F149,"")</f>
        <v>1</v>
      </c>
      <c r="F149" s="12" t="n">
        <f aca="false">B149+D149</f>
        <v>1</v>
      </c>
    </row>
    <row r="150" customFormat="false" ht="15" hidden="false" customHeight="false" outlineLevel="0" collapsed="false">
      <c r="A150" s="12" t="s">
        <v>709</v>
      </c>
      <c r="B150" s="12" t="n">
        <f aca="false">COUNTIFS(Cleaned!$D$2:$D$125,6,Cleaned!K$2:K$125,0)</f>
        <v>0</v>
      </c>
      <c r="C150" s="13" t="n">
        <f aca="false">IFERROR(B150/$F150,"")</f>
        <v>0</v>
      </c>
      <c r="D150" s="12" t="n">
        <f aca="false">COUNTIFS(Cleaned!$D$2:$D$125,6,Cleaned!K$2:K$125,1)</f>
        <v>3</v>
      </c>
      <c r="E150" s="13" t="n">
        <f aca="false">IFERROR(D150/$F150,"")</f>
        <v>1</v>
      </c>
      <c r="F150" s="12" t="n">
        <f aca="false">B150+D150</f>
        <v>3</v>
      </c>
    </row>
    <row r="151" customFormat="false" ht="15" hidden="false" customHeight="false" outlineLevel="0" collapsed="false">
      <c r="A151" s="12" t="s">
        <v>710</v>
      </c>
      <c r="B151" s="12" t="n">
        <f aca="false">COUNTIFS(Cleaned!$D$2:$D$125,7,Cleaned!K$2:K$125,0)</f>
        <v>1</v>
      </c>
      <c r="C151" s="13" t="n">
        <f aca="false">IFERROR(B151/$F151,"")</f>
        <v>0.111111111111111</v>
      </c>
      <c r="D151" s="12" t="n">
        <f aca="false">COUNTIFS(Cleaned!$D$2:$D$125,7,Cleaned!K$2:K$125,1)</f>
        <v>8</v>
      </c>
      <c r="E151" s="13" t="n">
        <f aca="false">IFERROR(D151/$F151,"")</f>
        <v>0.888888888888889</v>
      </c>
      <c r="F151" s="12" t="n">
        <f aca="false">B151+D151</f>
        <v>9</v>
      </c>
    </row>
    <row r="152" customFormat="false" ht="15" hidden="false" customHeight="false" outlineLevel="0" collapsed="false">
      <c r="A152" s="12" t="s">
        <v>711</v>
      </c>
      <c r="B152" s="12" t="n">
        <f aca="false">COUNTIFS(Cleaned!$D$2:$D$125,8,Cleaned!K$2:K$125,0)</f>
        <v>1</v>
      </c>
      <c r="C152" s="13" t="n">
        <f aca="false">IFERROR(B152/$F152,"")</f>
        <v>0.25</v>
      </c>
      <c r="D152" s="12" t="n">
        <f aca="false">COUNTIFS(Cleaned!$D$2:$D$125,8,Cleaned!K$2:K$125,1)</f>
        <v>3</v>
      </c>
      <c r="E152" s="13" t="n">
        <f aca="false">IFERROR(D152/$F152,"")</f>
        <v>0.75</v>
      </c>
      <c r="F152" s="12" t="n">
        <f aca="false">B152+D152</f>
        <v>4</v>
      </c>
    </row>
    <row r="153" customFormat="false" ht="15" hidden="false" customHeight="false" outlineLevel="0" collapsed="false">
      <c r="A153" s="12" t="s">
        <v>712</v>
      </c>
      <c r="B153" s="12" t="n">
        <f aca="false">COUNTIFS(Cleaned!$D$2:$D$125,9,Cleaned!K$2:K$125,0)</f>
        <v>0</v>
      </c>
      <c r="C153" s="13" t="n">
        <f aca="false">IFERROR(B153/$F153,"")</f>
        <v>0</v>
      </c>
      <c r="D153" s="12" t="n">
        <f aca="false">COUNTIFS(Cleaned!$D$2:$D$125,9,Cleaned!K$2:K$125,1)</f>
        <v>2</v>
      </c>
      <c r="E153" s="13" t="n">
        <f aca="false">IFERROR(D153/$F153,"")</f>
        <v>1</v>
      </c>
      <c r="F153" s="12" t="n">
        <f aca="false">B153+D153</f>
        <v>2</v>
      </c>
    </row>
    <row r="154" customFormat="false" ht="15" hidden="false" customHeight="false" outlineLevel="0" collapsed="false">
      <c r="A154" s="12" t="s">
        <v>713</v>
      </c>
      <c r="B154" s="12" t="n">
        <f aca="false">COUNTIFS(Cleaned!$D$2:$D$125,10,Cleaned!K$2:K$125,0)</f>
        <v>1</v>
      </c>
      <c r="C154" s="13" t="n">
        <f aca="false">IFERROR(B154/$F154,"")</f>
        <v>0.5</v>
      </c>
      <c r="D154" s="12" t="n">
        <f aca="false">COUNTIFS(Cleaned!$D$2:$D$125,10,Cleaned!K$2:K$125,1)</f>
        <v>1</v>
      </c>
      <c r="E154" s="13" t="n">
        <f aca="false">IFERROR(D154/$F154,"")</f>
        <v>0.5</v>
      </c>
      <c r="F154" s="12" t="n">
        <f aca="false">B154+D154</f>
        <v>2</v>
      </c>
    </row>
    <row r="155" customFormat="false" ht="15" hidden="false" customHeight="false" outlineLevel="0" collapsed="false">
      <c r="A155" s="12" t="s">
        <v>714</v>
      </c>
      <c r="B155" s="12" t="n">
        <f aca="false">COUNTIFS(Cleaned!$D$2:$D$125,11,Cleaned!K$2:K$125,0)</f>
        <v>1</v>
      </c>
      <c r="C155" s="13" t="n">
        <f aca="false">IFERROR(B155/$F155,"")</f>
        <v>0.0909090909090909</v>
      </c>
      <c r="D155" s="12" t="n">
        <f aca="false">COUNTIFS(Cleaned!$D$2:$D$125,11,Cleaned!K$2:K$125,1)</f>
        <v>10</v>
      </c>
      <c r="E155" s="13" t="n">
        <f aca="false">IFERROR(D155/$F155,"")</f>
        <v>0.909090909090909</v>
      </c>
      <c r="F155" s="12" t="n">
        <f aca="false">B155+D155</f>
        <v>11</v>
      </c>
    </row>
    <row r="156" customFormat="false" ht="15" hidden="false" customHeight="false" outlineLevel="0" collapsed="false">
      <c r="A156" s="12" t="s">
        <v>715</v>
      </c>
      <c r="B156" s="12" t="n">
        <f aca="false">COUNTIFS(Cleaned!$D$2:$D$125,12,Cleaned!K$2:K$125,0)</f>
        <v>1</v>
      </c>
      <c r="C156" s="13" t="n">
        <f aca="false">IFERROR(B156/$F156,"")</f>
        <v>0.2</v>
      </c>
      <c r="D156" s="12" t="n">
        <f aca="false">COUNTIFS(Cleaned!$D$2:$D$125,12,Cleaned!K$2:K$125,1)</f>
        <v>4</v>
      </c>
      <c r="E156" s="13" t="n">
        <f aca="false">IFERROR(D156/$F156,"")</f>
        <v>0.8</v>
      </c>
      <c r="F156" s="12" t="n">
        <f aca="false">B156+D156</f>
        <v>5</v>
      </c>
    </row>
    <row r="157" customFormat="false" ht="15" hidden="false" customHeight="false" outlineLevel="0" collapsed="false">
      <c r="A157" s="11" t="s">
        <v>716</v>
      </c>
      <c r="B157" s="11" t="n">
        <f aca="false">SUM(B145:B156)</f>
        <v>10</v>
      </c>
      <c r="C157" s="14" t="n">
        <f aca="false">IFERROR(B157/$F157,"")</f>
        <v>0.128205128205128</v>
      </c>
      <c r="D157" s="11" t="n">
        <f aca="false">SUM(D145:D156)</f>
        <v>68</v>
      </c>
      <c r="E157" s="14" t="n">
        <f aca="false">IFERROR(D157/$F157,"")</f>
        <v>0.871794871794872</v>
      </c>
      <c r="F157" s="11" t="n">
        <f aca="false">SUM(F145:F156)</f>
        <v>78</v>
      </c>
    </row>
    <row r="160" customFormat="false" ht="15" hidden="false" customHeight="false" outlineLevel="0" collapsed="false">
      <c r="A160" s="6" t="s">
        <v>11</v>
      </c>
      <c r="B160" s="7" t="s">
        <v>724</v>
      </c>
    </row>
    <row r="161" customFormat="false" ht="15" hidden="false" customHeight="false" outlineLevel="0" collapsed="false">
      <c r="A161" s="8"/>
      <c r="B161" s="9" t="s">
        <v>718</v>
      </c>
      <c r="C161" s="8"/>
      <c r="D161" s="9" t="s">
        <v>719</v>
      </c>
      <c r="E161" s="8"/>
      <c r="F161" s="9" t="s">
        <v>694</v>
      </c>
    </row>
    <row r="162" customFormat="false" ht="15" hidden="false" customHeight="false" outlineLevel="0" collapsed="false">
      <c r="B162" s="10" t="s">
        <v>695</v>
      </c>
      <c r="C162" s="10" t="s">
        <v>696</v>
      </c>
      <c r="D162" s="10" t="s">
        <v>695</v>
      </c>
      <c r="E162" s="10" t="s">
        <v>696</v>
      </c>
    </row>
    <row r="163" customFormat="false" ht="15" hidden="false" customHeight="false" outlineLevel="0" collapsed="false">
      <c r="A163" s="11" t="s">
        <v>697</v>
      </c>
    </row>
    <row r="164" customFormat="false" ht="15" hidden="false" customHeight="false" outlineLevel="0" collapsed="false">
      <c r="A164" s="12" t="s">
        <v>698</v>
      </c>
      <c r="B164" s="12" t="n">
        <f aca="false">COUNTIFS(Cleaned!$C$2:$C$125,1,Cleaned!L$2:L$125,0)</f>
        <v>10</v>
      </c>
      <c r="C164" s="13" t="n">
        <f aca="false">IFERROR(B164/$F164,"")</f>
        <v>0.666666666666667</v>
      </c>
      <c r="D164" s="12" t="n">
        <f aca="false">COUNTIFS(Cleaned!$C$2:$C$125,1,Cleaned!L$2:L$125,1)</f>
        <v>5</v>
      </c>
      <c r="E164" s="13" t="n">
        <f aca="false">IFERROR(D164/$F164,"")</f>
        <v>0.333333333333333</v>
      </c>
      <c r="F164" s="12" t="n">
        <f aca="false">B164+D164</f>
        <v>15</v>
      </c>
    </row>
    <row r="165" customFormat="false" ht="15" hidden="false" customHeight="false" outlineLevel="0" collapsed="false">
      <c r="A165" s="12" t="s">
        <v>699</v>
      </c>
      <c r="B165" s="12" t="n">
        <f aca="false">COUNTIFS(Cleaned!$C$2:$C$125,2,Cleaned!L$2:L$125,0)</f>
        <v>6</v>
      </c>
      <c r="C165" s="13" t="n">
        <f aca="false">IFERROR(B165/$F165,"")</f>
        <v>0.461538461538462</v>
      </c>
      <c r="D165" s="12" t="n">
        <f aca="false">COUNTIFS(Cleaned!$C$2:$C$125,2,Cleaned!L$2:L$125,1)</f>
        <v>7</v>
      </c>
      <c r="E165" s="13" t="n">
        <f aca="false">IFERROR(D165/$F165,"")</f>
        <v>0.538461538461538</v>
      </c>
      <c r="F165" s="12" t="n">
        <f aca="false">B165+D165</f>
        <v>13</v>
      </c>
    </row>
    <row r="166" customFormat="false" ht="15" hidden="false" customHeight="false" outlineLevel="0" collapsed="false">
      <c r="A166" s="12" t="s">
        <v>700</v>
      </c>
      <c r="B166" s="12" t="n">
        <f aca="false">COUNTIFS(Cleaned!$C$2:$C$125,3,Cleaned!L$2:L$125,0)</f>
        <v>9</v>
      </c>
      <c r="C166" s="13" t="n">
        <f aca="false">IFERROR(B166/$F166,"")</f>
        <v>0.529411764705882</v>
      </c>
      <c r="D166" s="12" t="n">
        <f aca="false">COUNTIFS(Cleaned!$C$2:$C$125,3,Cleaned!L$2:L$125,1)</f>
        <v>8</v>
      </c>
      <c r="E166" s="13" t="n">
        <f aca="false">IFERROR(D166/$F166,"")</f>
        <v>0.470588235294118</v>
      </c>
      <c r="F166" s="12" t="n">
        <f aca="false">B166+D166</f>
        <v>17</v>
      </c>
    </row>
    <row r="167" customFormat="false" ht="15" hidden="false" customHeight="false" outlineLevel="0" collapsed="false">
      <c r="A167" s="12" t="s">
        <v>701</v>
      </c>
      <c r="B167" s="12" t="n">
        <f aca="false">COUNTIFS(Cleaned!$C$2:$C$125,4,Cleaned!L$2:L$125,0)</f>
        <v>1</v>
      </c>
      <c r="C167" s="13" t="n">
        <f aca="false">IFERROR(B167/$F167,"")</f>
        <v>0.0909090909090909</v>
      </c>
      <c r="D167" s="12" t="n">
        <f aca="false">COUNTIFS(Cleaned!$C$2:$C$125,4,Cleaned!L$2:L$125,1)</f>
        <v>10</v>
      </c>
      <c r="E167" s="13" t="n">
        <f aca="false">IFERROR(D167/$F167,"")</f>
        <v>0.909090909090909</v>
      </c>
      <c r="F167" s="12" t="n">
        <f aca="false">B167+D167</f>
        <v>11</v>
      </c>
    </row>
    <row r="168" customFormat="false" ht="15" hidden="false" customHeight="false" outlineLevel="0" collapsed="false">
      <c r="A168" s="12" t="s">
        <v>702</v>
      </c>
      <c r="B168" s="12" t="n">
        <f aca="false">COUNTIFS(Cleaned!$C$2:$C$125,5,Cleaned!L$2:L$125,0)</f>
        <v>3</v>
      </c>
      <c r="C168" s="13" t="n">
        <f aca="false">IFERROR(B168/$F168,"")</f>
        <v>0.136363636363636</v>
      </c>
      <c r="D168" s="12" t="n">
        <f aca="false">COUNTIFS(Cleaned!$C$2:$C$125,5,Cleaned!L$2:L$125,1)</f>
        <v>19</v>
      </c>
      <c r="E168" s="13" t="n">
        <f aca="false">IFERROR(D168/$F168,"")</f>
        <v>0.863636363636364</v>
      </c>
      <c r="F168" s="12" t="n">
        <f aca="false">B168+D168</f>
        <v>22</v>
      </c>
    </row>
    <row r="169" customFormat="false" ht="15" hidden="false" customHeight="false" outlineLevel="0" collapsed="false">
      <c r="A169" s="11" t="s">
        <v>703</v>
      </c>
      <c r="B169" s="11" t="n">
        <f aca="false">SUM(B164:B168)</f>
        <v>29</v>
      </c>
      <c r="C169" s="14" t="n">
        <f aca="false">IFERROR(B169/$F169,"")</f>
        <v>0.371794871794872</v>
      </c>
      <c r="D169" s="11" t="n">
        <f aca="false">SUM(D164:D168)</f>
        <v>49</v>
      </c>
      <c r="E169" s="14" t="n">
        <f aca="false">IFERROR(D169/$F169,"")</f>
        <v>0.628205128205128</v>
      </c>
      <c r="F169" s="11" t="n">
        <f aca="false">SUM(F164:F168)</f>
        <v>78</v>
      </c>
    </row>
    <row r="170" customFormat="false" ht="15" hidden="false" customHeight="false" outlineLevel="0" collapsed="false">
      <c r="A170" s="11" t="s">
        <v>3</v>
      </c>
    </row>
    <row r="171" customFormat="false" ht="15" hidden="false" customHeight="false" outlineLevel="0" collapsed="false">
      <c r="A171" s="12" t="s">
        <v>704</v>
      </c>
      <c r="B171" s="12" t="n">
        <f aca="false">COUNTIFS(Cleaned!$D$2:$D$125,1,Cleaned!L$2:L$125,0)</f>
        <v>3</v>
      </c>
      <c r="C171" s="13" t="n">
        <f aca="false">IFERROR(B171/$F171,"")</f>
        <v>0.3</v>
      </c>
      <c r="D171" s="12" t="n">
        <f aca="false">COUNTIFS(Cleaned!$D$2:$D$125,1,Cleaned!L$2:L$125,1)</f>
        <v>7</v>
      </c>
      <c r="E171" s="13" t="n">
        <f aca="false">IFERROR(D171/$F171,"")</f>
        <v>0.7</v>
      </c>
      <c r="F171" s="12" t="n">
        <f aca="false">B171+D171</f>
        <v>10</v>
      </c>
    </row>
    <row r="172" customFormat="false" ht="15" hidden="false" customHeight="false" outlineLevel="0" collapsed="false">
      <c r="A172" s="12" t="s">
        <v>705</v>
      </c>
      <c r="B172" s="12" t="n">
        <f aca="false">COUNTIFS(Cleaned!$D$2:$D$125,2,Cleaned!L$2:L$125,0)</f>
        <v>3</v>
      </c>
      <c r="C172" s="13" t="n">
        <f aca="false">IFERROR(B172/$F172,"")</f>
        <v>0.2</v>
      </c>
      <c r="D172" s="12" t="n">
        <f aca="false">COUNTIFS(Cleaned!$D$2:$D$125,2,Cleaned!L$2:L$125,1)</f>
        <v>12</v>
      </c>
      <c r="E172" s="13" t="n">
        <f aca="false">IFERROR(D172/$F172,"")</f>
        <v>0.8</v>
      </c>
      <c r="F172" s="12" t="n">
        <f aca="false">B172+D172</f>
        <v>15</v>
      </c>
    </row>
    <row r="173" customFormat="false" ht="15" hidden="false" customHeight="false" outlineLevel="0" collapsed="false">
      <c r="A173" s="12" t="s">
        <v>706</v>
      </c>
      <c r="B173" s="12" t="n">
        <f aca="false">COUNTIFS(Cleaned!$D$2:$D$125,3,Cleaned!L$2:L$125,0)</f>
        <v>4</v>
      </c>
      <c r="C173" s="13" t="n">
        <f aca="false">IFERROR(B173/$F173,"")</f>
        <v>0.4</v>
      </c>
      <c r="D173" s="12" t="n">
        <f aca="false">COUNTIFS(Cleaned!$D$2:$D$125,3,Cleaned!L$2:L$125,1)</f>
        <v>6</v>
      </c>
      <c r="E173" s="13" t="n">
        <f aca="false">IFERROR(D173/$F173,"")</f>
        <v>0.6</v>
      </c>
      <c r="F173" s="12" t="n">
        <f aca="false">B173+D173</f>
        <v>10</v>
      </c>
    </row>
    <row r="174" customFormat="false" ht="15" hidden="false" customHeight="false" outlineLevel="0" collapsed="false">
      <c r="A174" s="12" t="s">
        <v>707</v>
      </c>
      <c r="B174" s="12" t="n">
        <f aca="false">COUNTIFS(Cleaned!$D$2:$D$125,4,Cleaned!L$2:L$125,0)</f>
        <v>2</v>
      </c>
      <c r="C174" s="13" t="n">
        <f aca="false">IFERROR(B174/$F174,"")</f>
        <v>0.333333333333333</v>
      </c>
      <c r="D174" s="12" t="n">
        <f aca="false">COUNTIFS(Cleaned!$D$2:$D$125,4,Cleaned!L$2:L$125,1)</f>
        <v>4</v>
      </c>
      <c r="E174" s="13" t="n">
        <f aca="false">IFERROR(D174/$F174,"")</f>
        <v>0.666666666666667</v>
      </c>
      <c r="F174" s="12" t="n">
        <f aca="false">B174+D174</f>
        <v>6</v>
      </c>
    </row>
    <row r="175" customFormat="false" ht="15" hidden="false" customHeight="false" outlineLevel="0" collapsed="false">
      <c r="A175" s="12" t="s">
        <v>708</v>
      </c>
      <c r="B175" s="12" t="n">
        <f aca="false">COUNTIFS(Cleaned!$D$2:$D$125,5,Cleaned!L$2:L$125,0)</f>
        <v>0</v>
      </c>
      <c r="C175" s="13" t="n">
        <f aca="false">IFERROR(B175/$F175,"")</f>
        <v>0</v>
      </c>
      <c r="D175" s="12" t="n">
        <f aca="false">COUNTIFS(Cleaned!$D$2:$D$125,5,Cleaned!L$2:L$125,1)</f>
        <v>1</v>
      </c>
      <c r="E175" s="13" t="n">
        <f aca="false">IFERROR(D175/$F175,"")</f>
        <v>1</v>
      </c>
      <c r="F175" s="12" t="n">
        <f aca="false">B175+D175</f>
        <v>1</v>
      </c>
    </row>
    <row r="176" customFormat="false" ht="15" hidden="false" customHeight="false" outlineLevel="0" collapsed="false">
      <c r="A176" s="12" t="s">
        <v>709</v>
      </c>
      <c r="B176" s="12" t="n">
        <f aca="false">COUNTIFS(Cleaned!$D$2:$D$125,6,Cleaned!L$2:L$125,0)</f>
        <v>1</v>
      </c>
      <c r="C176" s="13" t="n">
        <f aca="false">IFERROR(B176/$F176,"")</f>
        <v>0.333333333333333</v>
      </c>
      <c r="D176" s="12" t="n">
        <f aca="false">COUNTIFS(Cleaned!$D$2:$D$125,6,Cleaned!L$2:L$125,1)</f>
        <v>2</v>
      </c>
      <c r="E176" s="13" t="n">
        <f aca="false">IFERROR(D176/$F176,"")</f>
        <v>0.666666666666667</v>
      </c>
      <c r="F176" s="12" t="n">
        <f aca="false">B176+D176</f>
        <v>3</v>
      </c>
    </row>
    <row r="177" customFormat="false" ht="15" hidden="false" customHeight="false" outlineLevel="0" collapsed="false">
      <c r="A177" s="12" t="s">
        <v>710</v>
      </c>
      <c r="B177" s="12" t="n">
        <f aca="false">COUNTIFS(Cleaned!$D$2:$D$125,7,Cleaned!L$2:L$125,0)</f>
        <v>5</v>
      </c>
      <c r="C177" s="13" t="n">
        <f aca="false">IFERROR(B177/$F177,"")</f>
        <v>0.555555555555556</v>
      </c>
      <c r="D177" s="12" t="n">
        <f aca="false">COUNTIFS(Cleaned!$D$2:$D$125,7,Cleaned!L$2:L$125,1)</f>
        <v>4</v>
      </c>
      <c r="E177" s="13" t="n">
        <f aca="false">IFERROR(D177/$F177,"")</f>
        <v>0.444444444444444</v>
      </c>
      <c r="F177" s="12" t="n">
        <f aca="false">B177+D177</f>
        <v>9</v>
      </c>
    </row>
    <row r="178" customFormat="false" ht="15" hidden="false" customHeight="false" outlineLevel="0" collapsed="false">
      <c r="A178" s="12" t="s">
        <v>711</v>
      </c>
      <c r="B178" s="12" t="n">
        <f aca="false">COUNTIFS(Cleaned!$D$2:$D$125,8,Cleaned!L$2:L$125,0)</f>
        <v>1</v>
      </c>
      <c r="C178" s="13" t="n">
        <f aca="false">IFERROR(B178/$F178,"")</f>
        <v>0.25</v>
      </c>
      <c r="D178" s="12" t="n">
        <f aca="false">COUNTIFS(Cleaned!$D$2:$D$125,8,Cleaned!L$2:L$125,1)</f>
        <v>3</v>
      </c>
      <c r="E178" s="13" t="n">
        <f aca="false">IFERROR(D178/$F178,"")</f>
        <v>0.75</v>
      </c>
      <c r="F178" s="12" t="n">
        <f aca="false">B178+D178</f>
        <v>4</v>
      </c>
    </row>
    <row r="179" customFormat="false" ht="15" hidden="false" customHeight="false" outlineLevel="0" collapsed="false">
      <c r="A179" s="12" t="s">
        <v>712</v>
      </c>
      <c r="B179" s="12" t="n">
        <f aca="false">COUNTIFS(Cleaned!$D$2:$D$125,9,Cleaned!L$2:L$125,0)</f>
        <v>0</v>
      </c>
      <c r="C179" s="13" t="n">
        <f aca="false">IFERROR(B179/$F179,"")</f>
        <v>0</v>
      </c>
      <c r="D179" s="12" t="n">
        <f aca="false">COUNTIFS(Cleaned!$D$2:$D$125,9,Cleaned!L$2:L$125,1)</f>
        <v>2</v>
      </c>
      <c r="E179" s="13" t="n">
        <f aca="false">IFERROR(D179/$F179,"")</f>
        <v>1</v>
      </c>
      <c r="F179" s="12" t="n">
        <f aca="false">B179+D179</f>
        <v>2</v>
      </c>
    </row>
    <row r="180" customFormat="false" ht="15" hidden="false" customHeight="false" outlineLevel="0" collapsed="false">
      <c r="A180" s="12" t="s">
        <v>713</v>
      </c>
      <c r="B180" s="12" t="n">
        <f aca="false">COUNTIFS(Cleaned!$D$2:$D$125,10,Cleaned!L$2:L$125,0)</f>
        <v>2</v>
      </c>
      <c r="C180" s="13" t="n">
        <f aca="false">IFERROR(B180/$F180,"")</f>
        <v>1</v>
      </c>
      <c r="D180" s="12" t="n">
        <f aca="false">COUNTIFS(Cleaned!$D$2:$D$125,10,Cleaned!L$2:L$125,1)</f>
        <v>0</v>
      </c>
      <c r="E180" s="13" t="n">
        <f aca="false">IFERROR(D180/$F180,"")</f>
        <v>0</v>
      </c>
      <c r="F180" s="12" t="n">
        <f aca="false">B180+D180</f>
        <v>2</v>
      </c>
    </row>
    <row r="181" customFormat="false" ht="15" hidden="false" customHeight="false" outlineLevel="0" collapsed="false">
      <c r="A181" s="12" t="s">
        <v>714</v>
      </c>
      <c r="B181" s="12" t="n">
        <f aca="false">COUNTIFS(Cleaned!$D$2:$D$125,11,Cleaned!L$2:L$125,0)</f>
        <v>6</v>
      </c>
      <c r="C181" s="13" t="n">
        <f aca="false">IFERROR(B181/$F181,"")</f>
        <v>0.545454545454545</v>
      </c>
      <c r="D181" s="12" t="n">
        <f aca="false">COUNTIFS(Cleaned!$D$2:$D$125,11,Cleaned!L$2:L$125,1)</f>
        <v>5</v>
      </c>
      <c r="E181" s="13" t="n">
        <f aca="false">IFERROR(D181/$F181,"")</f>
        <v>0.454545454545455</v>
      </c>
      <c r="F181" s="12" t="n">
        <f aca="false">B181+D181</f>
        <v>11</v>
      </c>
    </row>
    <row r="182" customFormat="false" ht="15" hidden="false" customHeight="false" outlineLevel="0" collapsed="false">
      <c r="A182" s="12" t="s">
        <v>715</v>
      </c>
      <c r="B182" s="12" t="n">
        <f aca="false">COUNTIFS(Cleaned!$D$2:$D$125,12,Cleaned!L$2:L$125,0)</f>
        <v>2</v>
      </c>
      <c r="C182" s="13" t="n">
        <f aca="false">IFERROR(B182/$F182,"")</f>
        <v>0.4</v>
      </c>
      <c r="D182" s="12" t="n">
        <f aca="false">COUNTIFS(Cleaned!$D$2:$D$125,12,Cleaned!L$2:L$125,1)</f>
        <v>3</v>
      </c>
      <c r="E182" s="13" t="n">
        <f aca="false">IFERROR(D182/$F182,"")</f>
        <v>0.6</v>
      </c>
      <c r="F182" s="12" t="n">
        <f aca="false">B182+D182</f>
        <v>5</v>
      </c>
    </row>
    <row r="183" customFormat="false" ht="15" hidden="false" customHeight="false" outlineLevel="0" collapsed="false">
      <c r="A183" s="11" t="s">
        <v>716</v>
      </c>
      <c r="B183" s="11" t="n">
        <f aca="false">SUM(B171:B182)</f>
        <v>29</v>
      </c>
      <c r="C183" s="14" t="n">
        <f aca="false">IFERROR(B183/$F183,"")</f>
        <v>0.371794871794872</v>
      </c>
      <c r="D183" s="11" t="n">
        <f aca="false">SUM(D171:D182)</f>
        <v>49</v>
      </c>
      <c r="E183" s="14" t="n">
        <f aca="false">IFERROR(D183/$F183,"")</f>
        <v>0.628205128205128</v>
      </c>
      <c r="F183" s="11" t="n">
        <f aca="false">SUM(F171:F182)</f>
        <v>78</v>
      </c>
    </row>
    <row r="186" customFormat="false" ht="15" hidden="false" customHeight="false" outlineLevel="0" collapsed="false">
      <c r="A186" s="6" t="s">
        <v>12</v>
      </c>
      <c r="B186" s="7" t="s">
        <v>725</v>
      </c>
    </row>
    <row r="187" customFormat="false" ht="15" hidden="false" customHeight="false" outlineLevel="0" collapsed="false">
      <c r="A187" s="8"/>
      <c r="B187" s="9" t="s">
        <v>726</v>
      </c>
      <c r="C187" s="8"/>
      <c r="D187" s="9" t="s">
        <v>362</v>
      </c>
      <c r="E187" s="8"/>
      <c r="F187" s="9" t="s">
        <v>694</v>
      </c>
    </row>
    <row r="188" customFormat="false" ht="15" hidden="false" customHeight="false" outlineLevel="0" collapsed="false">
      <c r="B188" s="10" t="s">
        <v>695</v>
      </c>
      <c r="C188" s="10" t="s">
        <v>696</v>
      </c>
      <c r="D188" s="10" t="s">
        <v>695</v>
      </c>
      <c r="E188" s="10" t="s">
        <v>696</v>
      </c>
    </row>
    <row r="189" customFormat="false" ht="15" hidden="false" customHeight="false" outlineLevel="0" collapsed="false">
      <c r="A189" s="11" t="s">
        <v>697</v>
      </c>
    </row>
    <row r="190" customFormat="false" ht="15" hidden="false" customHeight="false" outlineLevel="0" collapsed="false">
      <c r="A190" s="12" t="s">
        <v>698</v>
      </c>
      <c r="B190" s="12" t="n">
        <f aca="false">COUNTIFS(Cleaned!$C$2:$C$125,1,Cleaned!M$2:M$125,1)</f>
        <v>4</v>
      </c>
      <c r="C190" s="13" t="n">
        <f aca="false">IFERROR(B190/$F190,"")</f>
        <v>0.266666666666667</v>
      </c>
      <c r="D190" s="12" t="n">
        <f aca="false">COUNTIFS(Cleaned!$C$2:$C$125,1,Cleaned!M$2:M$125,2)</f>
        <v>11</v>
      </c>
      <c r="E190" s="13" t="n">
        <f aca="false">IFERROR(D190/$F190,"")</f>
        <v>0.733333333333333</v>
      </c>
      <c r="F190" s="12" t="n">
        <f aca="false">B190+D190</f>
        <v>15</v>
      </c>
    </row>
    <row r="191" customFormat="false" ht="15" hidden="false" customHeight="false" outlineLevel="0" collapsed="false">
      <c r="A191" s="12" t="s">
        <v>699</v>
      </c>
      <c r="B191" s="12" t="n">
        <f aca="false">COUNTIFS(Cleaned!$C$2:$C$125,2,Cleaned!M$2:M$125,1)</f>
        <v>6</v>
      </c>
      <c r="C191" s="13" t="n">
        <f aca="false">IFERROR(B191/$F191,"")</f>
        <v>0.461538461538462</v>
      </c>
      <c r="D191" s="12" t="n">
        <f aca="false">COUNTIFS(Cleaned!$C$2:$C$125,2,Cleaned!M$2:M$125,2)</f>
        <v>7</v>
      </c>
      <c r="E191" s="13" t="n">
        <f aca="false">IFERROR(D191/$F191,"")</f>
        <v>0.538461538461538</v>
      </c>
      <c r="F191" s="12" t="n">
        <f aca="false">B191+D191</f>
        <v>13</v>
      </c>
    </row>
    <row r="192" customFormat="false" ht="15" hidden="false" customHeight="false" outlineLevel="0" collapsed="false">
      <c r="A192" s="12" t="s">
        <v>700</v>
      </c>
      <c r="B192" s="12" t="n">
        <f aca="false">COUNTIFS(Cleaned!$C$2:$C$125,3,Cleaned!M$2:M$125,1)</f>
        <v>16</v>
      </c>
      <c r="C192" s="13" t="n">
        <f aca="false">IFERROR(B192/$F192,"")</f>
        <v>0.941176470588235</v>
      </c>
      <c r="D192" s="12" t="n">
        <f aca="false">COUNTIFS(Cleaned!$C$2:$C$125,3,Cleaned!M$2:M$125,2)</f>
        <v>1</v>
      </c>
      <c r="E192" s="13" t="n">
        <f aca="false">IFERROR(D192/$F192,"")</f>
        <v>0.0588235294117647</v>
      </c>
      <c r="F192" s="12" t="n">
        <f aca="false">B192+D192</f>
        <v>17</v>
      </c>
    </row>
    <row r="193" customFormat="false" ht="15" hidden="false" customHeight="false" outlineLevel="0" collapsed="false">
      <c r="A193" s="12" t="s">
        <v>701</v>
      </c>
      <c r="B193" s="12" t="n">
        <f aca="false">COUNTIFS(Cleaned!$C$2:$C$125,4,Cleaned!M$2:M$125,1)</f>
        <v>10</v>
      </c>
      <c r="C193" s="13" t="n">
        <f aca="false">IFERROR(B193/$F193,"")</f>
        <v>0.909090909090909</v>
      </c>
      <c r="D193" s="12" t="n">
        <f aca="false">COUNTIFS(Cleaned!$C$2:$C$125,4,Cleaned!M$2:M$125,2)</f>
        <v>1</v>
      </c>
      <c r="E193" s="13" t="n">
        <f aca="false">IFERROR(D193/$F193,"")</f>
        <v>0.0909090909090909</v>
      </c>
      <c r="F193" s="12" t="n">
        <f aca="false">B193+D193</f>
        <v>11</v>
      </c>
    </row>
    <row r="194" customFormat="false" ht="15" hidden="false" customHeight="false" outlineLevel="0" collapsed="false">
      <c r="A194" s="12" t="s">
        <v>702</v>
      </c>
      <c r="B194" s="12" t="n">
        <f aca="false">COUNTIFS(Cleaned!$C$2:$C$125,5,Cleaned!M$2:M$125,1)</f>
        <v>22</v>
      </c>
      <c r="C194" s="13" t="n">
        <f aca="false">IFERROR(B194/$F194,"")</f>
        <v>1</v>
      </c>
      <c r="D194" s="12" t="n">
        <f aca="false">COUNTIFS(Cleaned!$C$2:$C$125,5,Cleaned!M$2:M$125,2)</f>
        <v>0</v>
      </c>
      <c r="E194" s="13" t="n">
        <f aca="false">IFERROR(D194/$F194,"")</f>
        <v>0</v>
      </c>
      <c r="F194" s="12" t="n">
        <f aca="false">B194+D194</f>
        <v>22</v>
      </c>
    </row>
    <row r="195" customFormat="false" ht="15" hidden="false" customHeight="false" outlineLevel="0" collapsed="false">
      <c r="A195" s="11" t="s">
        <v>703</v>
      </c>
      <c r="B195" s="11" t="n">
        <f aca="false">SUM(B190:B194)</f>
        <v>58</v>
      </c>
      <c r="C195" s="14" t="n">
        <f aca="false">IFERROR(B195/$F195,"")</f>
        <v>0.743589743589744</v>
      </c>
      <c r="D195" s="11" t="n">
        <f aca="false">SUM(D190:D194)</f>
        <v>20</v>
      </c>
      <c r="E195" s="14" t="n">
        <f aca="false">IFERROR(D195/$F195,"")</f>
        <v>0.256410256410256</v>
      </c>
      <c r="F195" s="11" t="n">
        <f aca="false">SUM(F190:F194)</f>
        <v>78</v>
      </c>
    </row>
    <row r="196" customFormat="false" ht="15" hidden="false" customHeight="false" outlineLevel="0" collapsed="false">
      <c r="A196" s="11" t="s">
        <v>3</v>
      </c>
    </row>
    <row r="197" customFormat="false" ht="15" hidden="false" customHeight="false" outlineLevel="0" collapsed="false">
      <c r="A197" s="12" t="s">
        <v>704</v>
      </c>
      <c r="B197" s="12" t="n">
        <f aca="false">COUNTIFS(Cleaned!$D$2:$D$125,1,Cleaned!M$2:M$125,1)</f>
        <v>9</v>
      </c>
      <c r="C197" s="13" t="n">
        <f aca="false">IFERROR(B197/$F197,"")</f>
        <v>0.9</v>
      </c>
      <c r="D197" s="12" t="n">
        <f aca="false">COUNTIFS(Cleaned!$D$2:$D$125,1,Cleaned!M$2:M$125,2)</f>
        <v>1</v>
      </c>
      <c r="E197" s="13" t="n">
        <f aca="false">IFERROR(D197/$F197,"")</f>
        <v>0.1</v>
      </c>
      <c r="F197" s="12" t="n">
        <f aca="false">B197+D197</f>
        <v>10</v>
      </c>
    </row>
    <row r="198" customFormat="false" ht="15" hidden="false" customHeight="false" outlineLevel="0" collapsed="false">
      <c r="A198" s="12" t="s">
        <v>705</v>
      </c>
      <c r="B198" s="12" t="n">
        <f aca="false">COUNTIFS(Cleaned!$D$2:$D$125,2,Cleaned!M$2:M$125,1)</f>
        <v>14</v>
      </c>
      <c r="C198" s="13" t="n">
        <f aca="false">IFERROR(B198/$F198,"")</f>
        <v>0.933333333333333</v>
      </c>
      <c r="D198" s="12" t="n">
        <f aca="false">COUNTIFS(Cleaned!$D$2:$D$125,2,Cleaned!M$2:M$125,2)</f>
        <v>1</v>
      </c>
      <c r="E198" s="13" t="n">
        <f aca="false">IFERROR(D198/$F198,"")</f>
        <v>0.0666666666666667</v>
      </c>
      <c r="F198" s="12" t="n">
        <f aca="false">B198+D198</f>
        <v>15</v>
      </c>
    </row>
    <row r="199" customFormat="false" ht="15" hidden="false" customHeight="false" outlineLevel="0" collapsed="false">
      <c r="A199" s="12" t="s">
        <v>706</v>
      </c>
      <c r="B199" s="12" t="n">
        <f aca="false">COUNTIFS(Cleaned!$D$2:$D$125,3,Cleaned!M$2:M$125,1)</f>
        <v>8</v>
      </c>
      <c r="C199" s="13" t="n">
        <f aca="false">IFERROR(B199/$F199,"")</f>
        <v>0.8</v>
      </c>
      <c r="D199" s="12" t="n">
        <f aca="false">COUNTIFS(Cleaned!$D$2:$D$125,3,Cleaned!M$2:M$125,2)</f>
        <v>2</v>
      </c>
      <c r="E199" s="13" t="n">
        <f aca="false">IFERROR(D199/$F199,"")</f>
        <v>0.2</v>
      </c>
      <c r="F199" s="12" t="n">
        <f aca="false">B199+D199</f>
        <v>10</v>
      </c>
    </row>
    <row r="200" customFormat="false" ht="15" hidden="false" customHeight="false" outlineLevel="0" collapsed="false">
      <c r="A200" s="12" t="s">
        <v>707</v>
      </c>
      <c r="B200" s="12" t="n">
        <f aca="false">COUNTIFS(Cleaned!$D$2:$D$125,4,Cleaned!M$2:M$125,1)</f>
        <v>6</v>
      </c>
      <c r="C200" s="13" t="n">
        <f aca="false">IFERROR(B200/$F200,"")</f>
        <v>1</v>
      </c>
      <c r="D200" s="12" t="n">
        <f aca="false">COUNTIFS(Cleaned!$D$2:$D$125,4,Cleaned!M$2:M$125,2)</f>
        <v>0</v>
      </c>
      <c r="E200" s="13" t="n">
        <f aca="false">IFERROR(D200/$F200,"")</f>
        <v>0</v>
      </c>
      <c r="F200" s="12" t="n">
        <f aca="false">B200+D200</f>
        <v>6</v>
      </c>
    </row>
    <row r="201" customFormat="false" ht="15" hidden="false" customHeight="false" outlineLevel="0" collapsed="false">
      <c r="A201" s="12" t="s">
        <v>708</v>
      </c>
      <c r="B201" s="12" t="n">
        <f aca="false">COUNTIFS(Cleaned!$D$2:$D$125,5,Cleaned!M$2:M$125,1)</f>
        <v>1</v>
      </c>
      <c r="C201" s="13" t="n">
        <f aca="false">IFERROR(B201/$F201,"")</f>
        <v>1</v>
      </c>
      <c r="D201" s="12" t="n">
        <f aca="false">COUNTIFS(Cleaned!$D$2:$D$125,5,Cleaned!M$2:M$125,2)</f>
        <v>0</v>
      </c>
      <c r="E201" s="13" t="n">
        <f aca="false">IFERROR(D201/$F201,"")</f>
        <v>0</v>
      </c>
      <c r="F201" s="12" t="n">
        <f aca="false">B201+D201</f>
        <v>1</v>
      </c>
    </row>
    <row r="202" customFormat="false" ht="15" hidden="false" customHeight="false" outlineLevel="0" collapsed="false">
      <c r="A202" s="12" t="s">
        <v>709</v>
      </c>
      <c r="B202" s="12" t="n">
        <f aca="false">COUNTIFS(Cleaned!$D$2:$D$125,6,Cleaned!M$2:M$125,1)</f>
        <v>2</v>
      </c>
      <c r="C202" s="13" t="n">
        <f aca="false">IFERROR(B202/$F202,"")</f>
        <v>0.666666666666667</v>
      </c>
      <c r="D202" s="12" t="n">
        <f aca="false">COUNTIFS(Cleaned!$D$2:$D$125,6,Cleaned!M$2:M$125,2)</f>
        <v>1</v>
      </c>
      <c r="E202" s="13" t="n">
        <f aca="false">IFERROR(D202/$F202,"")</f>
        <v>0.333333333333333</v>
      </c>
      <c r="F202" s="12" t="n">
        <f aca="false">B202+D202</f>
        <v>3</v>
      </c>
    </row>
    <row r="203" customFormat="false" ht="15" hidden="false" customHeight="false" outlineLevel="0" collapsed="false">
      <c r="A203" s="12" t="s">
        <v>710</v>
      </c>
      <c r="B203" s="12" t="n">
        <f aca="false">COUNTIFS(Cleaned!$D$2:$D$125,7,Cleaned!M$2:M$125,1)</f>
        <v>7</v>
      </c>
      <c r="C203" s="13" t="n">
        <f aca="false">IFERROR(B203/$F203,"")</f>
        <v>0.777777777777778</v>
      </c>
      <c r="D203" s="12" t="n">
        <f aca="false">COUNTIFS(Cleaned!$D$2:$D$125,7,Cleaned!M$2:M$125,2)</f>
        <v>2</v>
      </c>
      <c r="E203" s="13" t="n">
        <f aca="false">IFERROR(D203/$F203,"")</f>
        <v>0.222222222222222</v>
      </c>
      <c r="F203" s="12" t="n">
        <f aca="false">B203+D203</f>
        <v>9</v>
      </c>
    </row>
    <row r="204" customFormat="false" ht="15" hidden="false" customHeight="false" outlineLevel="0" collapsed="false">
      <c r="A204" s="12" t="s">
        <v>711</v>
      </c>
      <c r="B204" s="12" t="n">
        <f aca="false">COUNTIFS(Cleaned!$D$2:$D$125,8,Cleaned!M$2:M$125,1)</f>
        <v>2</v>
      </c>
      <c r="C204" s="13" t="n">
        <f aca="false">IFERROR(B204/$F204,"")</f>
        <v>0.5</v>
      </c>
      <c r="D204" s="12" t="n">
        <f aca="false">COUNTIFS(Cleaned!$D$2:$D$125,8,Cleaned!M$2:M$125,2)</f>
        <v>2</v>
      </c>
      <c r="E204" s="13" t="n">
        <f aca="false">IFERROR(D204/$F204,"")</f>
        <v>0.5</v>
      </c>
      <c r="F204" s="12" t="n">
        <f aca="false">B204+D204</f>
        <v>4</v>
      </c>
    </row>
    <row r="205" customFormat="false" ht="15" hidden="false" customHeight="false" outlineLevel="0" collapsed="false">
      <c r="A205" s="12" t="s">
        <v>712</v>
      </c>
      <c r="B205" s="12" t="n">
        <f aca="false">COUNTIFS(Cleaned!$D$2:$D$125,9,Cleaned!M$2:M$125,1)</f>
        <v>1</v>
      </c>
      <c r="C205" s="13" t="n">
        <f aca="false">IFERROR(B205/$F205,"")</f>
        <v>0.5</v>
      </c>
      <c r="D205" s="12" t="n">
        <f aca="false">COUNTIFS(Cleaned!$D$2:$D$125,9,Cleaned!M$2:M$125,2)</f>
        <v>1</v>
      </c>
      <c r="E205" s="13" t="n">
        <f aca="false">IFERROR(D205/$F205,"")</f>
        <v>0.5</v>
      </c>
      <c r="F205" s="12" t="n">
        <f aca="false">B205+D205</f>
        <v>2</v>
      </c>
    </row>
    <row r="206" customFormat="false" ht="15" hidden="false" customHeight="false" outlineLevel="0" collapsed="false">
      <c r="A206" s="12" t="s">
        <v>713</v>
      </c>
      <c r="B206" s="12" t="n">
        <f aca="false">COUNTIFS(Cleaned!$D$2:$D$125,10,Cleaned!M$2:M$125,1)</f>
        <v>1</v>
      </c>
      <c r="C206" s="13" t="n">
        <f aca="false">IFERROR(B206/$F206,"")</f>
        <v>0.5</v>
      </c>
      <c r="D206" s="12" t="n">
        <f aca="false">COUNTIFS(Cleaned!$D$2:$D$125,10,Cleaned!M$2:M$125,2)</f>
        <v>1</v>
      </c>
      <c r="E206" s="13" t="n">
        <f aca="false">IFERROR(D206/$F206,"")</f>
        <v>0.5</v>
      </c>
      <c r="F206" s="12" t="n">
        <f aca="false">B206+D206</f>
        <v>2</v>
      </c>
    </row>
    <row r="207" customFormat="false" ht="15" hidden="false" customHeight="false" outlineLevel="0" collapsed="false">
      <c r="A207" s="12" t="s">
        <v>714</v>
      </c>
      <c r="B207" s="12" t="n">
        <f aca="false">COUNTIFS(Cleaned!$D$2:$D$125,11,Cleaned!M$2:M$125,1)</f>
        <v>7</v>
      </c>
      <c r="C207" s="13" t="n">
        <f aca="false">IFERROR(B207/$F207,"")</f>
        <v>0.636363636363636</v>
      </c>
      <c r="D207" s="12" t="n">
        <f aca="false">COUNTIFS(Cleaned!$D$2:$D$125,11,Cleaned!M$2:M$125,2)</f>
        <v>4</v>
      </c>
      <c r="E207" s="13" t="n">
        <f aca="false">IFERROR(D207/$F207,"")</f>
        <v>0.363636363636364</v>
      </c>
      <c r="F207" s="12" t="n">
        <f aca="false">B207+D207</f>
        <v>11</v>
      </c>
    </row>
    <row r="208" customFormat="false" ht="15" hidden="false" customHeight="false" outlineLevel="0" collapsed="false">
      <c r="A208" s="12" t="s">
        <v>715</v>
      </c>
      <c r="B208" s="12" t="n">
        <f aca="false">COUNTIFS(Cleaned!$D$2:$D$125,12,Cleaned!M$2:M$125,1)</f>
        <v>0</v>
      </c>
      <c r="C208" s="13" t="n">
        <f aca="false">IFERROR(B208/$F208,"")</f>
        <v>0</v>
      </c>
      <c r="D208" s="12" t="n">
        <f aca="false">COUNTIFS(Cleaned!$D$2:$D$125,12,Cleaned!M$2:M$125,2)</f>
        <v>5</v>
      </c>
      <c r="E208" s="13" t="n">
        <f aca="false">IFERROR(D208/$F208,"")</f>
        <v>1</v>
      </c>
      <c r="F208" s="12" t="n">
        <f aca="false">B208+D208</f>
        <v>5</v>
      </c>
    </row>
    <row r="209" customFormat="false" ht="15" hidden="false" customHeight="false" outlineLevel="0" collapsed="false">
      <c r="A209" s="11" t="s">
        <v>716</v>
      </c>
      <c r="B209" s="11" t="n">
        <f aca="false">SUM(B197:B208)</f>
        <v>58</v>
      </c>
      <c r="C209" s="14" t="n">
        <f aca="false">IFERROR(B209/$F209,"")</f>
        <v>0.743589743589744</v>
      </c>
      <c r="D209" s="11" t="n">
        <f aca="false">SUM(D197:D208)</f>
        <v>20</v>
      </c>
      <c r="E209" s="14" t="n">
        <f aca="false">IFERROR(D209/$F209,"")</f>
        <v>0.256410256410256</v>
      </c>
      <c r="F209" s="11" t="n">
        <f aca="false">SUM(F197:F208)</f>
        <v>78</v>
      </c>
    </row>
    <row r="212" customFormat="false" ht="15" hidden="false" customHeight="false" outlineLevel="0" collapsed="false">
      <c r="A212" s="6" t="s">
        <v>13</v>
      </c>
      <c r="B212" s="7" t="s">
        <v>727</v>
      </c>
    </row>
    <row r="213" customFormat="false" ht="15" hidden="false" customHeight="false" outlineLevel="0" collapsed="false">
      <c r="A213" s="8"/>
      <c r="B213" s="9" t="s">
        <v>718</v>
      </c>
      <c r="C213" s="8"/>
      <c r="D213" s="9" t="s">
        <v>719</v>
      </c>
      <c r="E213" s="8"/>
      <c r="F213" s="9" t="s">
        <v>694</v>
      </c>
    </row>
    <row r="214" customFormat="false" ht="15" hidden="false" customHeight="false" outlineLevel="0" collapsed="false">
      <c r="B214" s="10" t="s">
        <v>695</v>
      </c>
      <c r="C214" s="10" t="s">
        <v>696</v>
      </c>
      <c r="D214" s="10" t="s">
        <v>695</v>
      </c>
      <c r="E214" s="10" t="s">
        <v>696</v>
      </c>
    </row>
    <row r="215" customFormat="false" ht="15" hidden="false" customHeight="false" outlineLevel="0" collapsed="false">
      <c r="A215" s="11" t="s">
        <v>697</v>
      </c>
    </row>
    <row r="216" customFormat="false" ht="15" hidden="false" customHeight="false" outlineLevel="0" collapsed="false">
      <c r="A216" s="12" t="s">
        <v>698</v>
      </c>
      <c r="B216" s="12" t="n">
        <f aca="false">COUNTIFS(Cleaned!$C$2:$C$125,1,Cleaned!N$2:N$125,0)</f>
        <v>11</v>
      </c>
      <c r="C216" s="13" t="n">
        <f aca="false">IFERROR(B216/$F216,"")</f>
        <v>0.733333333333333</v>
      </c>
      <c r="D216" s="12" t="n">
        <f aca="false">COUNTIFS(Cleaned!$C$2:$C$125,1,Cleaned!N$2:N$125,1)</f>
        <v>4</v>
      </c>
      <c r="E216" s="13" t="n">
        <f aca="false">IFERROR(D216/$F216,"")</f>
        <v>0.266666666666667</v>
      </c>
      <c r="F216" s="12" t="n">
        <f aca="false">B216+D216</f>
        <v>15</v>
      </c>
    </row>
    <row r="217" customFormat="false" ht="15" hidden="false" customHeight="false" outlineLevel="0" collapsed="false">
      <c r="A217" s="12" t="s">
        <v>699</v>
      </c>
      <c r="B217" s="12" t="n">
        <f aca="false">COUNTIFS(Cleaned!$C$2:$C$125,2,Cleaned!N$2:N$125,0)</f>
        <v>6</v>
      </c>
      <c r="C217" s="13" t="n">
        <f aca="false">IFERROR(B217/$F217,"")</f>
        <v>0.461538461538462</v>
      </c>
      <c r="D217" s="12" t="n">
        <f aca="false">COUNTIFS(Cleaned!$C$2:$C$125,2,Cleaned!N$2:N$125,1)</f>
        <v>7</v>
      </c>
      <c r="E217" s="13" t="n">
        <f aca="false">IFERROR(D217/$F217,"")</f>
        <v>0.538461538461538</v>
      </c>
      <c r="F217" s="12" t="n">
        <f aca="false">B217+D217</f>
        <v>13</v>
      </c>
    </row>
    <row r="218" customFormat="false" ht="15" hidden="false" customHeight="false" outlineLevel="0" collapsed="false">
      <c r="A218" s="12" t="s">
        <v>700</v>
      </c>
      <c r="B218" s="12" t="n">
        <f aca="false">COUNTIFS(Cleaned!$C$2:$C$125,3,Cleaned!N$2:N$125,0)</f>
        <v>5</v>
      </c>
      <c r="C218" s="13" t="n">
        <f aca="false">IFERROR(B218/$F218,"")</f>
        <v>0.294117647058824</v>
      </c>
      <c r="D218" s="12" t="n">
        <f aca="false">COUNTIFS(Cleaned!$C$2:$C$125,3,Cleaned!N$2:N$125,1)</f>
        <v>12</v>
      </c>
      <c r="E218" s="13" t="n">
        <f aca="false">IFERROR(D218/$F218,"")</f>
        <v>0.705882352941177</v>
      </c>
      <c r="F218" s="12" t="n">
        <f aca="false">B218+D218</f>
        <v>17</v>
      </c>
    </row>
    <row r="219" customFormat="false" ht="15" hidden="false" customHeight="false" outlineLevel="0" collapsed="false">
      <c r="A219" s="12" t="s">
        <v>701</v>
      </c>
      <c r="B219" s="12" t="n">
        <f aca="false">COUNTIFS(Cleaned!$C$2:$C$125,4,Cleaned!N$2:N$125,0)</f>
        <v>4</v>
      </c>
      <c r="C219" s="13" t="n">
        <f aca="false">IFERROR(B219/$F219,"")</f>
        <v>0.363636363636364</v>
      </c>
      <c r="D219" s="12" t="n">
        <f aca="false">COUNTIFS(Cleaned!$C$2:$C$125,4,Cleaned!N$2:N$125,1)</f>
        <v>7</v>
      </c>
      <c r="E219" s="13" t="n">
        <f aca="false">IFERROR(D219/$F219,"")</f>
        <v>0.636363636363636</v>
      </c>
      <c r="F219" s="12" t="n">
        <f aca="false">B219+D219</f>
        <v>11</v>
      </c>
    </row>
    <row r="220" customFormat="false" ht="15" hidden="false" customHeight="false" outlineLevel="0" collapsed="false">
      <c r="A220" s="12" t="s">
        <v>702</v>
      </c>
      <c r="B220" s="12" t="n">
        <f aca="false">COUNTIFS(Cleaned!$C$2:$C$125,5,Cleaned!N$2:N$125,0)</f>
        <v>5</v>
      </c>
      <c r="C220" s="13" t="n">
        <f aca="false">IFERROR(B220/$F220,"")</f>
        <v>0.227272727272727</v>
      </c>
      <c r="D220" s="12" t="n">
        <f aca="false">COUNTIFS(Cleaned!$C$2:$C$125,5,Cleaned!N$2:N$125,1)</f>
        <v>17</v>
      </c>
      <c r="E220" s="13" t="n">
        <f aca="false">IFERROR(D220/$F220,"")</f>
        <v>0.772727272727273</v>
      </c>
      <c r="F220" s="12" t="n">
        <f aca="false">B220+D220</f>
        <v>22</v>
      </c>
    </row>
    <row r="221" customFormat="false" ht="15" hidden="false" customHeight="false" outlineLevel="0" collapsed="false">
      <c r="A221" s="11" t="s">
        <v>703</v>
      </c>
      <c r="B221" s="11" t="n">
        <f aca="false">SUM(B216:B220)</f>
        <v>31</v>
      </c>
      <c r="C221" s="14" t="n">
        <f aca="false">IFERROR(B221/$F221,"")</f>
        <v>0.397435897435897</v>
      </c>
      <c r="D221" s="11" t="n">
        <f aca="false">SUM(D216:D220)</f>
        <v>47</v>
      </c>
      <c r="E221" s="14" t="n">
        <f aca="false">IFERROR(D221/$F221,"")</f>
        <v>0.602564102564103</v>
      </c>
      <c r="F221" s="11" t="n">
        <f aca="false">SUM(F216:F220)</f>
        <v>78</v>
      </c>
    </row>
    <row r="222" customFormat="false" ht="15" hidden="false" customHeight="false" outlineLevel="0" collapsed="false">
      <c r="A222" s="11" t="s">
        <v>3</v>
      </c>
    </row>
    <row r="223" customFormat="false" ht="15" hidden="false" customHeight="false" outlineLevel="0" collapsed="false">
      <c r="A223" s="12" t="s">
        <v>704</v>
      </c>
      <c r="B223" s="12" t="n">
        <f aca="false">COUNTIFS(Cleaned!$D$2:$D$125,1,Cleaned!N$2:N$125,0)</f>
        <v>5</v>
      </c>
      <c r="C223" s="13" t="n">
        <f aca="false">IFERROR(B223/$F223,"")</f>
        <v>0.5</v>
      </c>
      <c r="D223" s="12" t="n">
        <f aca="false">COUNTIFS(Cleaned!$D$2:$D$125,1,Cleaned!N$2:N$125,1)</f>
        <v>5</v>
      </c>
      <c r="E223" s="13" t="n">
        <f aca="false">IFERROR(D223/$F223,"")</f>
        <v>0.5</v>
      </c>
      <c r="F223" s="12" t="n">
        <f aca="false">B223+D223</f>
        <v>10</v>
      </c>
    </row>
    <row r="224" customFormat="false" ht="15" hidden="false" customHeight="false" outlineLevel="0" collapsed="false">
      <c r="A224" s="12" t="s">
        <v>705</v>
      </c>
      <c r="B224" s="12" t="n">
        <f aca="false">COUNTIFS(Cleaned!$D$2:$D$125,2,Cleaned!N$2:N$125,0)</f>
        <v>3</v>
      </c>
      <c r="C224" s="13" t="n">
        <f aca="false">IFERROR(B224/$F224,"")</f>
        <v>0.2</v>
      </c>
      <c r="D224" s="12" t="n">
        <f aca="false">COUNTIFS(Cleaned!$D$2:$D$125,2,Cleaned!N$2:N$125,1)</f>
        <v>12</v>
      </c>
      <c r="E224" s="13" t="n">
        <f aca="false">IFERROR(D224/$F224,"")</f>
        <v>0.8</v>
      </c>
      <c r="F224" s="12" t="n">
        <f aca="false">B224+D224</f>
        <v>15</v>
      </c>
    </row>
    <row r="225" customFormat="false" ht="15" hidden="false" customHeight="false" outlineLevel="0" collapsed="false">
      <c r="A225" s="12" t="s">
        <v>706</v>
      </c>
      <c r="B225" s="12" t="n">
        <f aca="false">COUNTIFS(Cleaned!$D$2:$D$125,3,Cleaned!N$2:N$125,0)</f>
        <v>3</v>
      </c>
      <c r="C225" s="13" t="n">
        <f aca="false">IFERROR(B225/$F225,"")</f>
        <v>0.3</v>
      </c>
      <c r="D225" s="12" t="n">
        <f aca="false">COUNTIFS(Cleaned!$D$2:$D$125,3,Cleaned!N$2:N$125,1)</f>
        <v>7</v>
      </c>
      <c r="E225" s="13" t="n">
        <f aca="false">IFERROR(D225/$F225,"")</f>
        <v>0.7</v>
      </c>
      <c r="F225" s="12" t="n">
        <f aca="false">B225+D225</f>
        <v>10</v>
      </c>
    </row>
    <row r="226" customFormat="false" ht="15" hidden="false" customHeight="false" outlineLevel="0" collapsed="false">
      <c r="A226" s="12" t="s">
        <v>707</v>
      </c>
      <c r="B226" s="12" t="n">
        <f aca="false">COUNTIFS(Cleaned!$D$2:$D$125,4,Cleaned!N$2:N$125,0)</f>
        <v>3</v>
      </c>
      <c r="C226" s="13" t="n">
        <f aca="false">IFERROR(B226/$F226,"")</f>
        <v>0.5</v>
      </c>
      <c r="D226" s="12" t="n">
        <f aca="false">COUNTIFS(Cleaned!$D$2:$D$125,4,Cleaned!N$2:N$125,1)</f>
        <v>3</v>
      </c>
      <c r="E226" s="13" t="n">
        <f aca="false">IFERROR(D226/$F226,"")</f>
        <v>0.5</v>
      </c>
      <c r="F226" s="12" t="n">
        <f aca="false">B226+D226</f>
        <v>6</v>
      </c>
    </row>
    <row r="227" customFormat="false" ht="15" hidden="false" customHeight="false" outlineLevel="0" collapsed="false">
      <c r="A227" s="12" t="s">
        <v>708</v>
      </c>
      <c r="B227" s="12" t="n">
        <f aca="false">COUNTIFS(Cleaned!$D$2:$D$125,5,Cleaned!N$2:N$125,0)</f>
        <v>0</v>
      </c>
      <c r="C227" s="13" t="n">
        <f aca="false">IFERROR(B227/$F227,"")</f>
        <v>0</v>
      </c>
      <c r="D227" s="12" t="n">
        <f aca="false">COUNTIFS(Cleaned!$D$2:$D$125,5,Cleaned!N$2:N$125,1)</f>
        <v>1</v>
      </c>
      <c r="E227" s="13" t="n">
        <f aca="false">IFERROR(D227/$F227,"")</f>
        <v>1</v>
      </c>
      <c r="F227" s="12" t="n">
        <f aca="false">B227+D227</f>
        <v>1</v>
      </c>
    </row>
    <row r="228" customFormat="false" ht="15" hidden="false" customHeight="false" outlineLevel="0" collapsed="false">
      <c r="A228" s="12" t="s">
        <v>709</v>
      </c>
      <c r="B228" s="12" t="n">
        <f aca="false">COUNTIFS(Cleaned!$D$2:$D$125,6,Cleaned!N$2:N$125,0)</f>
        <v>1</v>
      </c>
      <c r="C228" s="13" t="n">
        <f aca="false">IFERROR(B228/$F228,"")</f>
        <v>0.333333333333333</v>
      </c>
      <c r="D228" s="12" t="n">
        <f aca="false">COUNTIFS(Cleaned!$D$2:$D$125,6,Cleaned!N$2:N$125,1)</f>
        <v>2</v>
      </c>
      <c r="E228" s="13" t="n">
        <f aca="false">IFERROR(D228/$F228,"")</f>
        <v>0.666666666666667</v>
      </c>
      <c r="F228" s="12" t="n">
        <f aca="false">B228+D228</f>
        <v>3</v>
      </c>
    </row>
    <row r="229" customFormat="false" ht="15" hidden="false" customHeight="false" outlineLevel="0" collapsed="false">
      <c r="A229" s="12" t="s">
        <v>710</v>
      </c>
      <c r="B229" s="12" t="n">
        <f aca="false">COUNTIFS(Cleaned!$D$2:$D$125,7,Cleaned!N$2:N$125,0)</f>
        <v>3</v>
      </c>
      <c r="C229" s="13" t="n">
        <f aca="false">IFERROR(B229/$F229,"")</f>
        <v>0.333333333333333</v>
      </c>
      <c r="D229" s="12" t="n">
        <f aca="false">COUNTIFS(Cleaned!$D$2:$D$125,7,Cleaned!N$2:N$125,1)</f>
        <v>6</v>
      </c>
      <c r="E229" s="13" t="n">
        <f aca="false">IFERROR(D229/$F229,"")</f>
        <v>0.666666666666667</v>
      </c>
      <c r="F229" s="12" t="n">
        <f aca="false">B229+D229</f>
        <v>9</v>
      </c>
    </row>
    <row r="230" customFormat="false" ht="15" hidden="false" customHeight="false" outlineLevel="0" collapsed="false">
      <c r="A230" s="12" t="s">
        <v>711</v>
      </c>
      <c r="B230" s="12" t="n">
        <f aca="false">COUNTIFS(Cleaned!$D$2:$D$125,8,Cleaned!N$2:N$125,0)</f>
        <v>2</v>
      </c>
      <c r="C230" s="13" t="n">
        <f aca="false">IFERROR(B230/$F230,"")</f>
        <v>0.5</v>
      </c>
      <c r="D230" s="12" t="n">
        <f aca="false">COUNTIFS(Cleaned!$D$2:$D$125,8,Cleaned!N$2:N$125,1)</f>
        <v>2</v>
      </c>
      <c r="E230" s="13" t="n">
        <f aca="false">IFERROR(D230/$F230,"")</f>
        <v>0.5</v>
      </c>
      <c r="F230" s="12" t="n">
        <f aca="false">B230+D230</f>
        <v>4</v>
      </c>
    </row>
    <row r="231" customFormat="false" ht="15" hidden="false" customHeight="false" outlineLevel="0" collapsed="false">
      <c r="A231" s="12" t="s">
        <v>712</v>
      </c>
      <c r="B231" s="12" t="n">
        <f aca="false">COUNTIFS(Cleaned!$D$2:$D$125,9,Cleaned!N$2:N$125,0)</f>
        <v>2</v>
      </c>
      <c r="C231" s="13" t="n">
        <f aca="false">IFERROR(B231/$F231,"")</f>
        <v>1</v>
      </c>
      <c r="D231" s="12" t="n">
        <f aca="false">COUNTIFS(Cleaned!$D$2:$D$125,9,Cleaned!N$2:N$125,1)</f>
        <v>0</v>
      </c>
      <c r="E231" s="13" t="n">
        <f aca="false">IFERROR(D231/$F231,"")</f>
        <v>0</v>
      </c>
      <c r="F231" s="12" t="n">
        <f aca="false">B231+D231</f>
        <v>2</v>
      </c>
    </row>
    <row r="232" customFormat="false" ht="15" hidden="false" customHeight="false" outlineLevel="0" collapsed="false">
      <c r="A232" s="12" t="s">
        <v>713</v>
      </c>
      <c r="B232" s="12" t="n">
        <f aca="false">COUNTIFS(Cleaned!$D$2:$D$125,10,Cleaned!N$2:N$125,0)</f>
        <v>1</v>
      </c>
      <c r="C232" s="13" t="n">
        <f aca="false">IFERROR(B232/$F232,"")</f>
        <v>0.5</v>
      </c>
      <c r="D232" s="12" t="n">
        <f aca="false">COUNTIFS(Cleaned!$D$2:$D$125,10,Cleaned!N$2:N$125,1)</f>
        <v>1</v>
      </c>
      <c r="E232" s="13" t="n">
        <f aca="false">IFERROR(D232/$F232,"")</f>
        <v>0.5</v>
      </c>
      <c r="F232" s="12" t="n">
        <f aca="false">B232+D232</f>
        <v>2</v>
      </c>
    </row>
    <row r="233" customFormat="false" ht="15" hidden="false" customHeight="false" outlineLevel="0" collapsed="false">
      <c r="A233" s="12" t="s">
        <v>714</v>
      </c>
      <c r="B233" s="12" t="n">
        <f aca="false">COUNTIFS(Cleaned!$D$2:$D$125,11,Cleaned!N$2:N$125,0)</f>
        <v>4</v>
      </c>
      <c r="C233" s="13" t="n">
        <f aca="false">IFERROR(B233/$F233,"")</f>
        <v>0.363636363636364</v>
      </c>
      <c r="D233" s="12" t="n">
        <f aca="false">COUNTIFS(Cleaned!$D$2:$D$125,11,Cleaned!N$2:N$125,1)</f>
        <v>7</v>
      </c>
      <c r="E233" s="13" t="n">
        <f aca="false">IFERROR(D233/$F233,"")</f>
        <v>0.636363636363636</v>
      </c>
      <c r="F233" s="12" t="n">
        <f aca="false">B233+D233</f>
        <v>11</v>
      </c>
    </row>
    <row r="234" customFormat="false" ht="15" hidden="false" customHeight="false" outlineLevel="0" collapsed="false">
      <c r="A234" s="12" t="s">
        <v>715</v>
      </c>
      <c r="B234" s="12" t="n">
        <f aca="false">COUNTIFS(Cleaned!$D$2:$D$125,12,Cleaned!N$2:N$125,0)</f>
        <v>4</v>
      </c>
      <c r="C234" s="13" t="n">
        <f aca="false">IFERROR(B234/$F234,"")</f>
        <v>0.8</v>
      </c>
      <c r="D234" s="12" t="n">
        <f aca="false">COUNTIFS(Cleaned!$D$2:$D$125,12,Cleaned!N$2:N$125,1)</f>
        <v>1</v>
      </c>
      <c r="E234" s="13" t="n">
        <f aca="false">IFERROR(D234/$F234,"")</f>
        <v>0.2</v>
      </c>
      <c r="F234" s="12" t="n">
        <f aca="false">B234+D234</f>
        <v>5</v>
      </c>
    </row>
    <row r="235" customFormat="false" ht="15" hidden="false" customHeight="false" outlineLevel="0" collapsed="false">
      <c r="A235" s="11" t="s">
        <v>716</v>
      </c>
      <c r="B235" s="11" t="n">
        <f aca="false">SUM(B223:B234)</f>
        <v>31</v>
      </c>
      <c r="C235" s="14" t="n">
        <f aca="false">IFERROR(B235/$F235,"")</f>
        <v>0.397435897435897</v>
      </c>
      <c r="D235" s="11" t="n">
        <f aca="false">SUM(D223:D234)</f>
        <v>47</v>
      </c>
      <c r="E235" s="14" t="n">
        <f aca="false">IFERROR(D235/$F235,"")</f>
        <v>0.602564102564103</v>
      </c>
      <c r="F235" s="11" t="n">
        <f aca="false">SUM(F223:F234)</f>
        <v>78</v>
      </c>
    </row>
    <row r="238" customFormat="false" ht="15" hidden="false" customHeight="false" outlineLevel="0" collapsed="false">
      <c r="A238" s="6" t="s">
        <v>14</v>
      </c>
      <c r="B238" s="7" t="s">
        <v>728</v>
      </c>
    </row>
    <row r="239" customFormat="false" ht="15" hidden="false" customHeight="false" outlineLevel="0" collapsed="false">
      <c r="A239" s="8"/>
      <c r="B239" s="9" t="s">
        <v>718</v>
      </c>
      <c r="C239" s="8"/>
      <c r="D239" s="9" t="s">
        <v>719</v>
      </c>
      <c r="E239" s="8"/>
      <c r="F239" s="9" t="s">
        <v>694</v>
      </c>
    </row>
    <row r="240" customFormat="false" ht="15" hidden="false" customHeight="false" outlineLevel="0" collapsed="false">
      <c r="B240" s="10" t="s">
        <v>695</v>
      </c>
      <c r="C240" s="10" t="s">
        <v>696</v>
      </c>
      <c r="D240" s="10" t="s">
        <v>695</v>
      </c>
      <c r="E240" s="10" t="s">
        <v>696</v>
      </c>
    </row>
    <row r="241" customFormat="false" ht="15" hidden="false" customHeight="false" outlineLevel="0" collapsed="false">
      <c r="A241" s="11" t="s">
        <v>697</v>
      </c>
    </row>
    <row r="242" customFormat="false" ht="15" hidden="false" customHeight="false" outlineLevel="0" collapsed="false">
      <c r="A242" s="12" t="s">
        <v>698</v>
      </c>
      <c r="B242" s="12" t="n">
        <f aca="false">COUNTIFS(Cleaned!$C$2:$C$125,1,Cleaned!O$2:O$125,0)</f>
        <v>2</v>
      </c>
      <c r="C242" s="13" t="n">
        <f aca="false">IFERROR(B242/$F242,"")</f>
        <v>0.133333333333333</v>
      </c>
      <c r="D242" s="12" t="n">
        <f aca="false">COUNTIFS(Cleaned!$C$2:$C$125,1,Cleaned!O$2:O$125,1)</f>
        <v>13</v>
      </c>
      <c r="E242" s="13" t="n">
        <f aca="false">IFERROR(D242/$F242,"")</f>
        <v>0.866666666666667</v>
      </c>
      <c r="F242" s="12" t="n">
        <f aca="false">B242+D242</f>
        <v>15</v>
      </c>
    </row>
    <row r="243" customFormat="false" ht="15" hidden="false" customHeight="false" outlineLevel="0" collapsed="false">
      <c r="A243" s="12" t="s">
        <v>699</v>
      </c>
      <c r="B243" s="12" t="n">
        <f aca="false">COUNTIFS(Cleaned!$C$2:$C$125,2,Cleaned!O$2:O$125,0)</f>
        <v>0</v>
      </c>
      <c r="C243" s="13" t="n">
        <f aca="false">IFERROR(B243/$F243,"")</f>
        <v>0</v>
      </c>
      <c r="D243" s="12" t="n">
        <f aca="false">COUNTIFS(Cleaned!$C$2:$C$125,2,Cleaned!O$2:O$125,1)</f>
        <v>13</v>
      </c>
      <c r="E243" s="13" t="n">
        <f aca="false">IFERROR(D243/$F243,"")</f>
        <v>1</v>
      </c>
      <c r="F243" s="12" t="n">
        <f aca="false">B243+D243</f>
        <v>13</v>
      </c>
    </row>
    <row r="244" customFormat="false" ht="15" hidden="false" customHeight="false" outlineLevel="0" collapsed="false">
      <c r="A244" s="12" t="s">
        <v>700</v>
      </c>
      <c r="B244" s="12" t="n">
        <f aca="false">COUNTIFS(Cleaned!$C$2:$C$125,3,Cleaned!O$2:O$125,0)</f>
        <v>0</v>
      </c>
      <c r="C244" s="13" t="n">
        <f aca="false">IFERROR(B244/$F244,"")</f>
        <v>0</v>
      </c>
      <c r="D244" s="12" t="n">
        <f aca="false">COUNTIFS(Cleaned!$C$2:$C$125,3,Cleaned!O$2:O$125,1)</f>
        <v>17</v>
      </c>
      <c r="E244" s="13" t="n">
        <f aca="false">IFERROR(D244/$F244,"")</f>
        <v>1</v>
      </c>
      <c r="F244" s="12" t="n">
        <f aca="false">B244+D244</f>
        <v>17</v>
      </c>
    </row>
    <row r="245" customFormat="false" ht="15" hidden="false" customHeight="false" outlineLevel="0" collapsed="false">
      <c r="A245" s="12" t="s">
        <v>701</v>
      </c>
      <c r="B245" s="12" t="n">
        <f aca="false">COUNTIFS(Cleaned!$C$2:$C$125,4,Cleaned!O$2:O$125,0)</f>
        <v>1</v>
      </c>
      <c r="C245" s="13" t="n">
        <f aca="false">IFERROR(B245/$F245,"")</f>
        <v>0.0909090909090909</v>
      </c>
      <c r="D245" s="12" t="n">
        <f aca="false">COUNTIFS(Cleaned!$C$2:$C$125,4,Cleaned!O$2:O$125,1)</f>
        <v>10</v>
      </c>
      <c r="E245" s="13" t="n">
        <f aca="false">IFERROR(D245/$F245,"")</f>
        <v>0.909090909090909</v>
      </c>
      <c r="F245" s="12" t="n">
        <f aca="false">B245+D245</f>
        <v>11</v>
      </c>
    </row>
    <row r="246" customFormat="false" ht="15" hidden="false" customHeight="false" outlineLevel="0" collapsed="false">
      <c r="A246" s="12" t="s">
        <v>702</v>
      </c>
      <c r="B246" s="12" t="n">
        <f aca="false">COUNTIFS(Cleaned!$C$2:$C$125,5,Cleaned!O$2:O$125,0)</f>
        <v>0</v>
      </c>
      <c r="C246" s="13" t="n">
        <f aca="false">IFERROR(B246/$F246,"")</f>
        <v>0</v>
      </c>
      <c r="D246" s="12" t="n">
        <f aca="false">COUNTIFS(Cleaned!$C$2:$C$125,5,Cleaned!O$2:O$125,1)</f>
        <v>22</v>
      </c>
      <c r="E246" s="13" t="n">
        <f aca="false">IFERROR(D246/$F246,"")</f>
        <v>1</v>
      </c>
      <c r="F246" s="12" t="n">
        <f aca="false">B246+D246</f>
        <v>22</v>
      </c>
    </row>
    <row r="247" customFormat="false" ht="15" hidden="false" customHeight="false" outlineLevel="0" collapsed="false">
      <c r="A247" s="11" t="s">
        <v>703</v>
      </c>
      <c r="B247" s="11" t="n">
        <f aca="false">SUM(B242:B246)</f>
        <v>3</v>
      </c>
      <c r="C247" s="14" t="n">
        <f aca="false">IFERROR(B247/$F247,"")</f>
        <v>0.0384615384615385</v>
      </c>
      <c r="D247" s="11" t="n">
        <f aca="false">SUM(D242:D246)</f>
        <v>75</v>
      </c>
      <c r="E247" s="14" t="n">
        <f aca="false">IFERROR(D247/$F247,"")</f>
        <v>0.961538461538462</v>
      </c>
      <c r="F247" s="11" t="n">
        <f aca="false">SUM(F242:F246)</f>
        <v>78</v>
      </c>
    </row>
    <row r="248" customFormat="false" ht="15" hidden="false" customHeight="false" outlineLevel="0" collapsed="false">
      <c r="A248" s="11" t="s">
        <v>3</v>
      </c>
    </row>
    <row r="249" customFormat="false" ht="15" hidden="false" customHeight="false" outlineLevel="0" collapsed="false">
      <c r="A249" s="12" t="s">
        <v>704</v>
      </c>
      <c r="B249" s="12" t="n">
        <f aca="false">COUNTIFS(Cleaned!$D$2:$D$125,1,Cleaned!O$2:O$125,0)</f>
        <v>0</v>
      </c>
      <c r="C249" s="13" t="n">
        <f aca="false">IFERROR(B249/$F249,"")</f>
        <v>0</v>
      </c>
      <c r="D249" s="12" t="n">
        <f aca="false">COUNTIFS(Cleaned!$D$2:$D$125,1,Cleaned!O$2:O$125,1)</f>
        <v>10</v>
      </c>
      <c r="E249" s="13" t="n">
        <f aca="false">IFERROR(D249/$F249,"")</f>
        <v>1</v>
      </c>
      <c r="F249" s="12" t="n">
        <f aca="false">B249+D249</f>
        <v>10</v>
      </c>
    </row>
    <row r="250" customFormat="false" ht="15" hidden="false" customHeight="false" outlineLevel="0" collapsed="false">
      <c r="A250" s="12" t="s">
        <v>705</v>
      </c>
      <c r="B250" s="12" t="n">
        <f aca="false">COUNTIFS(Cleaned!$D$2:$D$125,2,Cleaned!O$2:O$125,0)</f>
        <v>0</v>
      </c>
      <c r="C250" s="13" t="n">
        <f aca="false">IFERROR(B250/$F250,"")</f>
        <v>0</v>
      </c>
      <c r="D250" s="12" t="n">
        <f aca="false">COUNTIFS(Cleaned!$D$2:$D$125,2,Cleaned!O$2:O$125,1)</f>
        <v>15</v>
      </c>
      <c r="E250" s="13" t="n">
        <f aca="false">IFERROR(D250/$F250,"")</f>
        <v>1</v>
      </c>
      <c r="F250" s="12" t="n">
        <f aca="false">B250+D250</f>
        <v>15</v>
      </c>
    </row>
    <row r="251" customFormat="false" ht="15" hidden="false" customHeight="false" outlineLevel="0" collapsed="false">
      <c r="A251" s="12" t="s">
        <v>706</v>
      </c>
      <c r="B251" s="12" t="n">
        <f aca="false">COUNTIFS(Cleaned!$D$2:$D$125,3,Cleaned!O$2:O$125,0)</f>
        <v>0</v>
      </c>
      <c r="C251" s="13" t="n">
        <f aca="false">IFERROR(B251/$F251,"")</f>
        <v>0</v>
      </c>
      <c r="D251" s="12" t="n">
        <f aca="false">COUNTIFS(Cleaned!$D$2:$D$125,3,Cleaned!O$2:O$125,1)</f>
        <v>10</v>
      </c>
      <c r="E251" s="13" t="n">
        <f aca="false">IFERROR(D251/$F251,"")</f>
        <v>1</v>
      </c>
      <c r="F251" s="12" t="n">
        <f aca="false">B251+D251</f>
        <v>10</v>
      </c>
    </row>
    <row r="252" customFormat="false" ht="15" hidden="false" customHeight="false" outlineLevel="0" collapsed="false">
      <c r="A252" s="12" t="s">
        <v>707</v>
      </c>
      <c r="B252" s="12" t="n">
        <f aca="false">COUNTIFS(Cleaned!$D$2:$D$125,4,Cleaned!O$2:O$125,0)</f>
        <v>0</v>
      </c>
      <c r="C252" s="13" t="n">
        <f aca="false">IFERROR(B252/$F252,"")</f>
        <v>0</v>
      </c>
      <c r="D252" s="12" t="n">
        <f aca="false">COUNTIFS(Cleaned!$D$2:$D$125,4,Cleaned!O$2:O$125,1)</f>
        <v>6</v>
      </c>
      <c r="E252" s="13" t="n">
        <f aca="false">IFERROR(D252/$F252,"")</f>
        <v>1</v>
      </c>
      <c r="F252" s="12" t="n">
        <f aca="false">B252+D252</f>
        <v>6</v>
      </c>
    </row>
    <row r="253" customFormat="false" ht="15" hidden="false" customHeight="false" outlineLevel="0" collapsed="false">
      <c r="A253" s="12" t="s">
        <v>708</v>
      </c>
      <c r="B253" s="12" t="n">
        <f aca="false">COUNTIFS(Cleaned!$D$2:$D$125,5,Cleaned!O$2:O$125,0)</f>
        <v>0</v>
      </c>
      <c r="C253" s="13" t="n">
        <f aca="false">IFERROR(B253/$F253,"")</f>
        <v>0</v>
      </c>
      <c r="D253" s="12" t="n">
        <f aca="false">COUNTIFS(Cleaned!$D$2:$D$125,5,Cleaned!O$2:O$125,1)</f>
        <v>1</v>
      </c>
      <c r="E253" s="13" t="n">
        <f aca="false">IFERROR(D253/$F253,"")</f>
        <v>1</v>
      </c>
      <c r="F253" s="12" t="n">
        <f aca="false">B253+D253</f>
        <v>1</v>
      </c>
    </row>
    <row r="254" customFormat="false" ht="15" hidden="false" customHeight="false" outlineLevel="0" collapsed="false">
      <c r="A254" s="12" t="s">
        <v>709</v>
      </c>
      <c r="B254" s="12" t="n">
        <f aca="false">COUNTIFS(Cleaned!$D$2:$D$125,6,Cleaned!O$2:O$125,0)</f>
        <v>0</v>
      </c>
      <c r="C254" s="13" t="n">
        <f aca="false">IFERROR(B254/$F254,"")</f>
        <v>0</v>
      </c>
      <c r="D254" s="12" t="n">
        <f aca="false">COUNTIFS(Cleaned!$D$2:$D$125,6,Cleaned!O$2:O$125,1)</f>
        <v>3</v>
      </c>
      <c r="E254" s="13" t="n">
        <f aca="false">IFERROR(D254/$F254,"")</f>
        <v>1</v>
      </c>
      <c r="F254" s="12" t="n">
        <f aca="false">B254+D254</f>
        <v>3</v>
      </c>
    </row>
    <row r="255" customFormat="false" ht="15" hidden="false" customHeight="false" outlineLevel="0" collapsed="false">
      <c r="A255" s="12" t="s">
        <v>710</v>
      </c>
      <c r="B255" s="12" t="n">
        <f aca="false">COUNTIFS(Cleaned!$D$2:$D$125,7,Cleaned!O$2:O$125,0)</f>
        <v>0</v>
      </c>
      <c r="C255" s="13" t="n">
        <f aca="false">IFERROR(B255/$F255,"")</f>
        <v>0</v>
      </c>
      <c r="D255" s="12" t="n">
        <f aca="false">COUNTIFS(Cleaned!$D$2:$D$125,7,Cleaned!O$2:O$125,1)</f>
        <v>9</v>
      </c>
      <c r="E255" s="13" t="n">
        <f aca="false">IFERROR(D255/$F255,"")</f>
        <v>1</v>
      </c>
      <c r="F255" s="12" t="n">
        <f aca="false">B255+D255</f>
        <v>9</v>
      </c>
    </row>
    <row r="256" customFormat="false" ht="15" hidden="false" customHeight="false" outlineLevel="0" collapsed="false">
      <c r="A256" s="12" t="s">
        <v>711</v>
      </c>
      <c r="B256" s="12" t="n">
        <f aca="false">COUNTIFS(Cleaned!$D$2:$D$125,8,Cleaned!O$2:O$125,0)</f>
        <v>1</v>
      </c>
      <c r="C256" s="13" t="n">
        <f aca="false">IFERROR(B256/$F256,"")</f>
        <v>0.25</v>
      </c>
      <c r="D256" s="12" t="n">
        <f aca="false">COUNTIFS(Cleaned!$D$2:$D$125,8,Cleaned!O$2:O$125,1)</f>
        <v>3</v>
      </c>
      <c r="E256" s="13" t="n">
        <f aca="false">IFERROR(D256/$F256,"")</f>
        <v>0.75</v>
      </c>
      <c r="F256" s="12" t="n">
        <f aca="false">B256+D256</f>
        <v>4</v>
      </c>
    </row>
    <row r="257" customFormat="false" ht="15" hidden="false" customHeight="false" outlineLevel="0" collapsed="false">
      <c r="A257" s="12" t="s">
        <v>712</v>
      </c>
      <c r="B257" s="12" t="n">
        <f aca="false">COUNTIFS(Cleaned!$D$2:$D$125,9,Cleaned!O$2:O$125,0)</f>
        <v>1</v>
      </c>
      <c r="C257" s="13" t="n">
        <f aca="false">IFERROR(B257/$F257,"")</f>
        <v>0.5</v>
      </c>
      <c r="D257" s="12" t="n">
        <f aca="false">COUNTIFS(Cleaned!$D$2:$D$125,9,Cleaned!O$2:O$125,1)</f>
        <v>1</v>
      </c>
      <c r="E257" s="13" t="n">
        <f aca="false">IFERROR(D257/$F257,"")</f>
        <v>0.5</v>
      </c>
      <c r="F257" s="12" t="n">
        <f aca="false">B257+D257</f>
        <v>2</v>
      </c>
    </row>
    <row r="258" customFormat="false" ht="15" hidden="false" customHeight="false" outlineLevel="0" collapsed="false">
      <c r="A258" s="12" t="s">
        <v>713</v>
      </c>
      <c r="B258" s="12" t="n">
        <f aca="false">COUNTIFS(Cleaned!$D$2:$D$125,10,Cleaned!O$2:O$125,0)</f>
        <v>0</v>
      </c>
      <c r="C258" s="13" t="n">
        <f aca="false">IFERROR(B258/$F258,"")</f>
        <v>0</v>
      </c>
      <c r="D258" s="12" t="n">
        <f aca="false">COUNTIFS(Cleaned!$D$2:$D$125,10,Cleaned!O$2:O$125,1)</f>
        <v>2</v>
      </c>
      <c r="E258" s="13" t="n">
        <f aca="false">IFERROR(D258/$F258,"")</f>
        <v>1</v>
      </c>
      <c r="F258" s="12" t="n">
        <f aca="false">B258+D258</f>
        <v>2</v>
      </c>
    </row>
    <row r="259" customFormat="false" ht="15" hidden="false" customHeight="false" outlineLevel="0" collapsed="false">
      <c r="A259" s="12" t="s">
        <v>714</v>
      </c>
      <c r="B259" s="12" t="n">
        <f aca="false">COUNTIFS(Cleaned!$D$2:$D$125,11,Cleaned!O$2:O$125,0)</f>
        <v>1</v>
      </c>
      <c r="C259" s="13" t="n">
        <f aca="false">IFERROR(B259/$F259,"")</f>
        <v>0.0909090909090909</v>
      </c>
      <c r="D259" s="12" t="n">
        <f aca="false">COUNTIFS(Cleaned!$D$2:$D$125,11,Cleaned!O$2:O$125,1)</f>
        <v>10</v>
      </c>
      <c r="E259" s="13" t="n">
        <f aca="false">IFERROR(D259/$F259,"")</f>
        <v>0.909090909090909</v>
      </c>
      <c r="F259" s="12" t="n">
        <f aca="false">B259+D259</f>
        <v>11</v>
      </c>
    </row>
    <row r="260" customFormat="false" ht="15" hidden="false" customHeight="false" outlineLevel="0" collapsed="false">
      <c r="A260" s="12" t="s">
        <v>715</v>
      </c>
      <c r="B260" s="12" t="n">
        <f aca="false">COUNTIFS(Cleaned!$D$2:$D$125,12,Cleaned!O$2:O$125,0)</f>
        <v>0</v>
      </c>
      <c r="C260" s="13" t="n">
        <f aca="false">IFERROR(B260/$F260,"")</f>
        <v>0</v>
      </c>
      <c r="D260" s="12" t="n">
        <f aca="false">COUNTIFS(Cleaned!$D$2:$D$125,12,Cleaned!O$2:O$125,1)</f>
        <v>5</v>
      </c>
      <c r="E260" s="13" t="n">
        <f aca="false">IFERROR(D260/$F260,"")</f>
        <v>1</v>
      </c>
      <c r="F260" s="12" t="n">
        <f aca="false">B260+D260</f>
        <v>5</v>
      </c>
    </row>
    <row r="261" customFormat="false" ht="15" hidden="false" customHeight="false" outlineLevel="0" collapsed="false">
      <c r="A261" s="11" t="s">
        <v>716</v>
      </c>
      <c r="B261" s="11" t="n">
        <f aca="false">SUM(B249:B260)</f>
        <v>3</v>
      </c>
      <c r="C261" s="14" t="n">
        <f aca="false">IFERROR(B261/$F261,"")</f>
        <v>0.0384615384615385</v>
      </c>
      <c r="D261" s="11" t="n">
        <f aca="false">SUM(D249:D260)</f>
        <v>75</v>
      </c>
      <c r="E261" s="14" t="n">
        <f aca="false">IFERROR(D261/$F261,"")</f>
        <v>0.961538461538462</v>
      </c>
      <c r="F261" s="11" t="n">
        <f aca="false">SUM(F249:F260)</f>
        <v>78</v>
      </c>
    </row>
    <row r="264" customFormat="false" ht="15" hidden="false" customHeight="false" outlineLevel="0" collapsed="false">
      <c r="A264" s="6" t="s">
        <v>15</v>
      </c>
      <c r="B264" s="7" t="s">
        <v>729</v>
      </c>
    </row>
    <row r="265" customFormat="false" ht="15" hidden="false" customHeight="false" outlineLevel="0" collapsed="false">
      <c r="A265" s="8"/>
      <c r="B265" s="9" t="s">
        <v>718</v>
      </c>
      <c r="C265" s="8"/>
      <c r="D265" s="9" t="s">
        <v>719</v>
      </c>
      <c r="E265" s="8"/>
      <c r="F265" s="9" t="s">
        <v>694</v>
      </c>
    </row>
    <row r="266" customFormat="false" ht="15" hidden="false" customHeight="false" outlineLevel="0" collapsed="false">
      <c r="B266" s="10" t="s">
        <v>695</v>
      </c>
      <c r="C266" s="10" t="s">
        <v>696</v>
      </c>
      <c r="D266" s="10" t="s">
        <v>695</v>
      </c>
      <c r="E266" s="10" t="s">
        <v>696</v>
      </c>
    </row>
    <row r="267" customFormat="false" ht="15" hidden="false" customHeight="false" outlineLevel="0" collapsed="false">
      <c r="A267" s="11" t="s">
        <v>697</v>
      </c>
    </row>
    <row r="268" customFormat="false" ht="15" hidden="false" customHeight="false" outlineLevel="0" collapsed="false">
      <c r="A268" s="12" t="s">
        <v>698</v>
      </c>
      <c r="B268" s="12" t="n">
        <f aca="false">COUNTIFS(Cleaned!$C$2:$C$125,1,Cleaned!P$2:P$125,0)</f>
        <v>2</v>
      </c>
      <c r="C268" s="13" t="n">
        <f aca="false">IFERROR(B268/$F268,"")</f>
        <v>0.133333333333333</v>
      </c>
      <c r="D268" s="12" t="n">
        <f aca="false">COUNTIFS(Cleaned!$C$2:$C$125,1,Cleaned!P$2:P$125,1)</f>
        <v>13</v>
      </c>
      <c r="E268" s="13" t="n">
        <f aca="false">IFERROR(D268/$F268,"")</f>
        <v>0.866666666666667</v>
      </c>
      <c r="F268" s="12" t="n">
        <f aca="false">B268+D268</f>
        <v>15</v>
      </c>
    </row>
    <row r="269" customFormat="false" ht="15" hidden="false" customHeight="false" outlineLevel="0" collapsed="false">
      <c r="A269" s="12" t="s">
        <v>699</v>
      </c>
      <c r="B269" s="12" t="n">
        <f aca="false">COUNTIFS(Cleaned!$C$2:$C$125,2,Cleaned!P$2:P$125,0)</f>
        <v>2</v>
      </c>
      <c r="C269" s="13" t="n">
        <f aca="false">IFERROR(B269/$F269,"")</f>
        <v>0.153846153846154</v>
      </c>
      <c r="D269" s="12" t="n">
        <f aca="false">COUNTIFS(Cleaned!$C$2:$C$125,2,Cleaned!P$2:P$125,1)</f>
        <v>11</v>
      </c>
      <c r="E269" s="13" t="n">
        <f aca="false">IFERROR(D269/$F269,"")</f>
        <v>0.846153846153846</v>
      </c>
      <c r="F269" s="12" t="n">
        <f aca="false">B269+D269</f>
        <v>13</v>
      </c>
    </row>
    <row r="270" customFormat="false" ht="15" hidden="false" customHeight="false" outlineLevel="0" collapsed="false">
      <c r="A270" s="12" t="s">
        <v>700</v>
      </c>
      <c r="B270" s="12" t="n">
        <f aca="false">COUNTIFS(Cleaned!$C$2:$C$125,3,Cleaned!P$2:P$125,0)</f>
        <v>3</v>
      </c>
      <c r="C270" s="13" t="n">
        <f aca="false">IFERROR(B270/$F270,"")</f>
        <v>0.176470588235294</v>
      </c>
      <c r="D270" s="12" t="n">
        <f aca="false">COUNTIFS(Cleaned!$C$2:$C$125,3,Cleaned!P$2:P$125,1)</f>
        <v>14</v>
      </c>
      <c r="E270" s="13" t="n">
        <f aca="false">IFERROR(D270/$F270,"")</f>
        <v>0.823529411764706</v>
      </c>
      <c r="F270" s="12" t="n">
        <f aca="false">B270+D270</f>
        <v>17</v>
      </c>
    </row>
    <row r="271" customFormat="false" ht="15" hidden="false" customHeight="false" outlineLevel="0" collapsed="false">
      <c r="A271" s="12" t="s">
        <v>701</v>
      </c>
      <c r="B271" s="12" t="n">
        <f aca="false">COUNTIFS(Cleaned!$C$2:$C$125,4,Cleaned!P$2:P$125,0)</f>
        <v>1</v>
      </c>
      <c r="C271" s="13" t="n">
        <f aca="false">IFERROR(B271/$F271,"")</f>
        <v>0.0909090909090909</v>
      </c>
      <c r="D271" s="12" t="n">
        <f aca="false">COUNTIFS(Cleaned!$C$2:$C$125,4,Cleaned!P$2:P$125,1)</f>
        <v>10</v>
      </c>
      <c r="E271" s="13" t="n">
        <f aca="false">IFERROR(D271/$F271,"")</f>
        <v>0.909090909090909</v>
      </c>
      <c r="F271" s="12" t="n">
        <f aca="false">B271+D271</f>
        <v>11</v>
      </c>
    </row>
    <row r="272" customFormat="false" ht="15" hidden="false" customHeight="false" outlineLevel="0" collapsed="false">
      <c r="A272" s="12" t="s">
        <v>702</v>
      </c>
      <c r="B272" s="12" t="n">
        <f aca="false">COUNTIFS(Cleaned!$C$2:$C$125,5,Cleaned!P$2:P$125,0)</f>
        <v>5</v>
      </c>
      <c r="C272" s="13" t="n">
        <f aca="false">IFERROR(B272/$F272,"")</f>
        <v>0.227272727272727</v>
      </c>
      <c r="D272" s="12" t="n">
        <f aca="false">COUNTIFS(Cleaned!$C$2:$C$125,5,Cleaned!P$2:P$125,1)</f>
        <v>17</v>
      </c>
      <c r="E272" s="13" t="n">
        <f aca="false">IFERROR(D272/$F272,"")</f>
        <v>0.772727272727273</v>
      </c>
      <c r="F272" s="12" t="n">
        <f aca="false">B272+D272</f>
        <v>22</v>
      </c>
    </row>
    <row r="273" customFormat="false" ht="15" hidden="false" customHeight="false" outlineLevel="0" collapsed="false">
      <c r="A273" s="11" t="s">
        <v>703</v>
      </c>
      <c r="B273" s="11" t="n">
        <f aca="false">SUM(B268:B272)</f>
        <v>13</v>
      </c>
      <c r="C273" s="14" t="n">
        <f aca="false">IFERROR(B273/$F273,"")</f>
        <v>0.166666666666667</v>
      </c>
      <c r="D273" s="11" t="n">
        <f aca="false">SUM(D268:D272)</f>
        <v>65</v>
      </c>
      <c r="E273" s="14" t="n">
        <f aca="false">IFERROR(D273/$F273,"")</f>
        <v>0.833333333333333</v>
      </c>
      <c r="F273" s="11" t="n">
        <f aca="false">SUM(F268:F272)</f>
        <v>78</v>
      </c>
    </row>
    <row r="274" customFormat="false" ht="15" hidden="false" customHeight="false" outlineLevel="0" collapsed="false">
      <c r="A274" s="11" t="s">
        <v>3</v>
      </c>
    </row>
    <row r="275" customFormat="false" ht="15" hidden="false" customHeight="false" outlineLevel="0" collapsed="false">
      <c r="A275" s="12" t="s">
        <v>704</v>
      </c>
      <c r="B275" s="12" t="n">
        <f aca="false">COUNTIFS(Cleaned!$D$2:$D$125,1,Cleaned!P$2:P$125,0)</f>
        <v>0</v>
      </c>
      <c r="C275" s="13" t="n">
        <f aca="false">IFERROR(B275/$F275,"")</f>
        <v>0</v>
      </c>
      <c r="D275" s="12" t="n">
        <f aca="false">COUNTIFS(Cleaned!$D$2:$D$125,1,Cleaned!P$2:P$125,1)</f>
        <v>10</v>
      </c>
      <c r="E275" s="13" t="n">
        <f aca="false">IFERROR(D275/$F275,"")</f>
        <v>1</v>
      </c>
      <c r="F275" s="12" t="n">
        <f aca="false">B275+D275</f>
        <v>10</v>
      </c>
    </row>
    <row r="276" customFormat="false" ht="15" hidden="false" customHeight="false" outlineLevel="0" collapsed="false">
      <c r="A276" s="12" t="s">
        <v>705</v>
      </c>
      <c r="B276" s="12" t="n">
        <f aca="false">COUNTIFS(Cleaned!$D$2:$D$125,2,Cleaned!P$2:P$125,0)</f>
        <v>2</v>
      </c>
      <c r="C276" s="13" t="n">
        <f aca="false">IFERROR(B276/$F276,"")</f>
        <v>0.133333333333333</v>
      </c>
      <c r="D276" s="12" t="n">
        <f aca="false">COUNTIFS(Cleaned!$D$2:$D$125,2,Cleaned!P$2:P$125,1)</f>
        <v>13</v>
      </c>
      <c r="E276" s="13" t="n">
        <f aca="false">IFERROR(D276/$F276,"")</f>
        <v>0.866666666666667</v>
      </c>
      <c r="F276" s="12" t="n">
        <f aca="false">B276+D276</f>
        <v>15</v>
      </c>
    </row>
    <row r="277" customFormat="false" ht="15" hidden="false" customHeight="false" outlineLevel="0" collapsed="false">
      <c r="A277" s="12" t="s">
        <v>706</v>
      </c>
      <c r="B277" s="12" t="n">
        <f aca="false">COUNTIFS(Cleaned!$D$2:$D$125,3,Cleaned!P$2:P$125,0)</f>
        <v>2</v>
      </c>
      <c r="C277" s="13" t="n">
        <f aca="false">IFERROR(B277/$F277,"")</f>
        <v>0.2</v>
      </c>
      <c r="D277" s="12" t="n">
        <f aca="false">COUNTIFS(Cleaned!$D$2:$D$125,3,Cleaned!P$2:P$125,1)</f>
        <v>8</v>
      </c>
      <c r="E277" s="13" t="n">
        <f aca="false">IFERROR(D277/$F277,"")</f>
        <v>0.8</v>
      </c>
      <c r="F277" s="12" t="n">
        <f aca="false">B277+D277</f>
        <v>10</v>
      </c>
    </row>
    <row r="278" customFormat="false" ht="15" hidden="false" customHeight="false" outlineLevel="0" collapsed="false">
      <c r="A278" s="12" t="s">
        <v>707</v>
      </c>
      <c r="B278" s="12" t="n">
        <f aca="false">COUNTIFS(Cleaned!$D$2:$D$125,4,Cleaned!P$2:P$125,0)</f>
        <v>2</v>
      </c>
      <c r="C278" s="13" t="n">
        <f aca="false">IFERROR(B278/$F278,"")</f>
        <v>0.333333333333333</v>
      </c>
      <c r="D278" s="12" t="n">
        <f aca="false">COUNTIFS(Cleaned!$D$2:$D$125,4,Cleaned!P$2:P$125,1)</f>
        <v>4</v>
      </c>
      <c r="E278" s="13" t="n">
        <f aca="false">IFERROR(D278/$F278,"")</f>
        <v>0.666666666666667</v>
      </c>
      <c r="F278" s="12" t="n">
        <f aca="false">B278+D278</f>
        <v>6</v>
      </c>
    </row>
    <row r="279" customFormat="false" ht="15" hidden="false" customHeight="false" outlineLevel="0" collapsed="false">
      <c r="A279" s="12" t="s">
        <v>708</v>
      </c>
      <c r="B279" s="12" t="n">
        <f aca="false">COUNTIFS(Cleaned!$D$2:$D$125,5,Cleaned!P$2:P$125,0)</f>
        <v>0</v>
      </c>
      <c r="C279" s="13" t="n">
        <f aca="false">IFERROR(B279/$F279,"")</f>
        <v>0</v>
      </c>
      <c r="D279" s="12" t="n">
        <f aca="false">COUNTIFS(Cleaned!$D$2:$D$125,5,Cleaned!P$2:P$125,1)</f>
        <v>1</v>
      </c>
      <c r="E279" s="13" t="n">
        <f aca="false">IFERROR(D279/$F279,"")</f>
        <v>1</v>
      </c>
      <c r="F279" s="12" t="n">
        <f aca="false">B279+D279</f>
        <v>1</v>
      </c>
    </row>
    <row r="280" customFormat="false" ht="15" hidden="false" customHeight="false" outlineLevel="0" collapsed="false">
      <c r="A280" s="12" t="s">
        <v>709</v>
      </c>
      <c r="B280" s="12" t="n">
        <f aca="false">COUNTIFS(Cleaned!$D$2:$D$125,6,Cleaned!P$2:P$125,0)</f>
        <v>0</v>
      </c>
      <c r="C280" s="13" t="n">
        <f aca="false">IFERROR(B280/$F280,"")</f>
        <v>0</v>
      </c>
      <c r="D280" s="12" t="n">
        <f aca="false">COUNTIFS(Cleaned!$D$2:$D$125,6,Cleaned!P$2:P$125,1)</f>
        <v>3</v>
      </c>
      <c r="E280" s="13" t="n">
        <f aca="false">IFERROR(D280/$F280,"")</f>
        <v>1</v>
      </c>
      <c r="F280" s="12" t="n">
        <f aca="false">B280+D280</f>
        <v>3</v>
      </c>
    </row>
    <row r="281" customFormat="false" ht="15" hidden="false" customHeight="false" outlineLevel="0" collapsed="false">
      <c r="A281" s="12" t="s">
        <v>710</v>
      </c>
      <c r="B281" s="12" t="n">
        <f aca="false">COUNTIFS(Cleaned!$D$2:$D$125,7,Cleaned!P$2:P$125,0)</f>
        <v>3</v>
      </c>
      <c r="C281" s="13" t="n">
        <f aca="false">IFERROR(B281/$F281,"")</f>
        <v>0.333333333333333</v>
      </c>
      <c r="D281" s="12" t="n">
        <f aca="false">COUNTIFS(Cleaned!$D$2:$D$125,7,Cleaned!P$2:P$125,1)</f>
        <v>6</v>
      </c>
      <c r="E281" s="13" t="n">
        <f aca="false">IFERROR(D281/$F281,"")</f>
        <v>0.666666666666667</v>
      </c>
      <c r="F281" s="12" t="n">
        <f aca="false">B281+D281</f>
        <v>9</v>
      </c>
    </row>
    <row r="282" customFormat="false" ht="15" hidden="false" customHeight="false" outlineLevel="0" collapsed="false">
      <c r="A282" s="12" t="s">
        <v>711</v>
      </c>
      <c r="B282" s="12" t="n">
        <f aca="false">COUNTIFS(Cleaned!$D$2:$D$125,8,Cleaned!P$2:P$125,0)</f>
        <v>1</v>
      </c>
      <c r="C282" s="13" t="n">
        <f aca="false">IFERROR(B282/$F282,"")</f>
        <v>0.25</v>
      </c>
      <c r="D282" s="12" t="n">
        <f aca="false">COUNTIFS(Cleaned!$D$2:$D$125,8,Cleaned!P$2:P$125,1)</f>
        <v>3</v>
      </c>
      <c r="E282" s="13" t="n">
        <f aca="false">IFERROR(D282/$F282,"")</f>
        <v>0.75</v>
      </c>
      <c r="F282" s="12" t="n">
        <f aca="false">B282+D282</f>
        <v>4</v>
      </c>
    </row>
    <row r="283" customFormat="false" ht="15" hidden="false" customHeight="false" outlineLevel="0" collapsed="false">
      <c r="A283" s="12" t="s">
        <v>712</v>
      </c>
      <c r="B283" s="12" t="n">
        <f aca="false">COUNTIFS(Cleaned!$D$2:$D$125,9,Cleaned!P$2:P$125,0)</f>
        <v>0</v>
      </c>
      <c r="C283" s="13" t="n">
        <f aca="false">IFERROR(B283/$F283,"")</f>
        <v>0</v>
      </c>
      <c r="D283" s="12" t="n">
        <f aca="false">COUNTIFS(Cleaned!$D$2:$D$125,9,Cleaned!P$2:P$125,1)</f>
        <v>2</v>
      </c>
      <c r="E283" s="13" t="n">
        <f aca="false">IFERROR(D283/$F283,"")</f>
        <v>1</v>
      </c>
      <c r="F283" s="12" t="n">
        <f aca="false">B283+D283</f>
        <v>2</v>
      </c>
    </row>
    <row r="284" customFormat="false" ht="15" hidden="false" customHeight="false" outlineLevel="0" collapsed="false">
      <c r="A284" s="12" t="s">
        <v>713</v>
      </c>
      <c r="B284" s="12" t="n">
        <f aca="false">COUNTIFS(Cleaned!$D$2:$D$125,10,Cleaned!P$2:P$125,0)</f>
        <v>1</v>
      </c>
      <c r="C284" s="13" t="n">
        <f aca="false">IFERROR(B284/$F284,"")</f>
        <v>0.5</v>
      </c>
      <c r="D284" s="12" t="n">
        <f aca="false">COUNTIFS(Cleaned!$D$2:$D$125,10,Cleaned!P$2:P$125,1)</f>
        <v>1</v>
      </c>
      <c r="E284" s="13" t="n">
        <f aca="false">IFERROR(D284/$F284,"")</f>
        <v>0.5</v>
      </c>
      <c r="F284" s="12" t="n">
        <f aca="false">B284+D284</f>
        <v>2</v>
      </c>
    </row>
    <row r="285" customFormat="false" ht="15" hidden="false" customHeight="false" outlineLevel="0" collapsed="false">
      <c r="A285" s="12" t="s">
        <v>714</v>
      </c>
      <c r="B285" s="12" t="n">
        <f aca="false">COUNTIFS(Cleaned!$D$2:$D$125,11,Cleaned!P$2:P$125,0)</f>
        <v>0</v>
      </c>
      <c r="C285" s="13" t="n">
        <f aca="false">IFERROR(B285/$F285,"")</f>
        <v>0</v>
      </c>
      <c r="D285" s="12" t="n">
        <f aca="false">COUNTIFS(Cleaned!$D$2:$D$125,11,Cleaned!P$2:P$125,1)</f>
        <v>11</v>
      </c>
      <c r="E285" s="13" t="n">
        <f aca="false">IFERROR(D285/$F285,"")</f>
        <v>1</v>
      </c>
      <c r="F285" s="12" t="n">
        <f aca="false">B285+D285</f>
        <v>11</v>
      </c>
    </row>
    <row r="286" customFormat="false" ht="15" hidden="false" customHeight="false" outlineLevel="0" collapsed="false">
      <c r="A286" s="12" t="s">
        <v>715</v>
      </c>
      <c r="B286" s="12" t="n">
        <f aca="false">COUNTIFS(Cleaned!$D$2:$D$125,12,Cleaned!P$2:P$125,0)</f>
        <v>2</v>
      </c>
      <c r="C286" s="13" t="n">
        <f aca="false">IFERROR(B286/$F286,"")</f>
        <v>0.4</v>
      </c>
      <c r="D286" s="12" t="n">
        <f aca="false">COUNTIFS(Cleaned!$D$2:$D$125,12,Cleaned!P$2:P$125,1)</f>
        <v>3</v>
      </c>
      <c r="E286" s="13" t="n">
        <f aca="false">IFERROR(D286/$F286,"")</f>
        <v>0.6</v>
      </c>
      <c r="F286" s="12" t="n">
        <f aca="false">B286+D286</f>
        <v>5</v>
      </c>
    </row>
    <row r="287" customFormat="false" ht="15" hidden="false" customHeight="false" outlineLevel="0" collapsed="false">
      <c r="A287" s="11" t="s">
        <v>716</v>
      </c>
      <c r="B287" s="11" t="n">
        <f aca="false">SUM(B275:B286)</f>
        <v>13</v>
      </c>
      <c r="C287" s="14" t="n">
        <f aca="false">IFERROR(B287/$F287,"")</f>
        <v>0.166666666666667</v>
      </c>
      <c r="D287" s="11" t="n">
        <f aca="false">SUM(D275:D286)</f>
        <v>65</v>
      </c>
      <c r="E287" s="14" t="n">
        <f aca="false">IFERROR(D287/$F287,"")</f>
        <v>0.833333333333333</v>
      </c>
      <c r="F287" s="11" t="n">
        <f aca="false">SUM(F275:F286)</f>
        <v>78</v>
      </c>
    </row>
    <row r="290" customFormat="false" ht="15" hidden="false" customHeight="false" outlineLevel="0" collapsed="false">
      <c r="A290" s="6" t="s">
        <v>16</v>
      </c>
      <c r="B290" s="7" t="s">
        <v>730</v>
      </c>
    </row>
    <row r="291" customFormat="false" ht="15" hidden="false" customHeight="false" outlineLevel="0" collapsed="false">
      <c r="A291" s="8"/>
      <c r="B291" s="9" t="s">
        <v>718</v>
      </c>
      <c r="C291" s="8"/>
      <c r="D291" s="9" t="s">
        <v>719</v>
      </c>
      <c r="E291" s="8"/>
      <c r="F291" s="9" t="s">
        <v>694</v>
      </c>
    </row>
    <row r="292" customFormat="false" ht="15" hidden="false" customHeight="false" outlineLevel="0" collapsed="false">
      <c r="B292" s="10" t="s">
        <v>695</v>
      </c>
      <c r="C292" s="10" t="s">
        <v>696</v>
      </c>
      <c r="D292" s="10" t="s">
        <v>695</v>
      </c>
      <c r="E292" s="10" t="s">
        <v>696</v>
      </c>
    </row>
    <row r="293" customFormat="false" ht="15" hidden="false" customHeight="false" outlineLevel="0" collapsed="false">
      <c r="A293" s="11" t="s">
        <v>697</v>
      </c>
    </row>
    <row r="294" customFormat="false" ht="15" hidden="false" customHeight="false" outlineLevel="0" collapsed="false">
      <c r="A294" s="12" t="s">
        <v>698</v>
      </c>
      <c r="B294" s="12" t="n">
        <f aca="false">COUNTIFS(Cleaned!$C$2:$C$125,1,Cleaned!Q$2:Q$125,0)</f>
        <v>13</v>
      </c>
      <c r="C294" s="13" t="n">
        <f aca="false">IFERROR(B294/$F294,"")</f>
        <v>0.866666666666667</v>
      </c>
      <c r="D294" s="12" t="n">
        <f aca="false">COUNTIFS(Cleaned!$C$2:$C$125,1,Cleaned!Q$2:Q$125,1)</f>
        <v>2</v>
      </c>
      <c r="E294" s="13" t="n">
        <f aca="false">IFERROR(D294/$F294,"")</f>
        <v>0.133333333333333</v>
      </c>
      <c r="F294" s="12" t="n">
        <f aca="false">B294+D294</f>
        <v>15</v>
      </c>
    </row>
    <row r="295" customFormat="false" ht="15" hidden="false" customHeight="false" outlineLevel="0" collapsed="false">
      <c r="A295" s="12" t="s">
        <v>699</v>
      </c>
      <c r="B295" s="12" t="n">
        <f aca="false">COUNTIFS(Cleaned!$C$2:$C$125,2,Cleaned!Q$2:Q$125,0)</f>
        <v>11</v>
      </c>
      <c r="C295" s="13" t="n">
        <f aca="false">IFERROR(B295/$F295,"")</f>
        <v>0.846153846153846</v>
      </c>
      <c r="D295" s="12" t="n">
        <f aca="false">COUNTIFS(Cleaned!$C$2:$C$125,2,Cleaned!Q$2:Q$125,1)</f>
        <v>2</v>
      </c>
      <c r="E295" s="13" t="n">
        <f aca="false">IFERROR(D295/$F295,"")</f>
        <v>0.153846153846154</v>
      </c>
      <c r="F295" s="12" t="n">
        <f aca="false">B295+D295</f>
        <v>13</v>
      </c>
    </row>
    <row r="296" customFormat="false" ht="15" hidden="false" customHeight="false" outlineLevel="0" collapsed="false">
      <c r="A296" s="12" t="s">
        <v>700</v>
      </c>
      <c r="B296" s="12" t="n">
        <f aca="false">COUNTIFS(Cleaned!$C$2:$C$125,3,Cleaned!Q$2:Q$125,0)</f>
        <v>16</v>
      </c>
      <c r="C296" s="13" t="n">
        <f aca="false">IFERROR(B296/$F296,"")</f>
        <v>0.941176470588235</v>
      </c>
      <c r="D296" s="12" t="n">
        <f aca="false">COUNTIFS(Cleaned!$C$2:$C$125,3,Cleaned!Q$2:Q$125,1)</f>
        <v>1</v>
      </c>
      <c r="E296" s="13" t="n">
        <f aca="false">IFERROR(D296/$F296,"")</f>
        <v>0.0588235294117647</v>
      </c>
      <c r="F296" s="12" t="n">
        <f aca="false">B296+D296</f>
        <v>17</v>
      </c>
    </row>
    <row r="297" customFormat="false" ht="15" hidden="false" customHeight="false" outlineLevel="0" collapsed="false">
      <c r="A297" s="12" t="s">
        <v>701</v>
      </c>
      <c r="B297" s="12" t="n">
        <f aca="false">COUNTIFS(Cleaned!$C$2:$C$125,4,Cleaned!Q$2:Q$125,0)</f>
        <v>7</v>
      </c>
      <c r="C297" s="13" t="n">
        <f aca="false">IFERROR(B297/$F297,"")</f>
        <v>0.636363636363636</v>
      </c>
      <c r="D297" s="12" t="n">
        <f aca="false">COUNTIFS(Cleaned!$C$2:$C$125,4,Cleaned!Q$2:Q$125,1)</f>
        <v>4</v>
      </c>
      <c r="E297" s="13" t="n">
        <f aca="false">IFERROR(D297/$F297,"")</f>
        <v>0.363636363636364</v>
      </c>
      <c r="F297" s="12" t="n">
        <f aca="false">B297+D297</f>
        <v>11</v>
      </c>
    </row>
    <row r="298" customFormat="false" ht="15" hidden="false" customHeight="false" outlineLevel="0" collapsed="false">
      <c r="A298" s="12" t="s">
        <v>702</v>
      </c>
      <c r="B298" s="12" t="n">
        <f aca="false">COUNTIFS(Cleaned!$C$2:$C$125,5,Cleaned!Q$2:Q$125,0)</f>
        <v>21</v>
      </c>
      <c r="C298" s="13" t="n">
        <f aca="false">IFERROR(B298/$F298,"")</f>
        <v>0.954545454545455</v>
      </c>
      <c r="D298" s="12" t="n">
        <f aca="false">COUNTIFS(Cleaned!$C$2:$C$125,5,Cleaned!Q$2:Q$125,1)</f>
        <v>1</v>
      </c>
      <c r="E298" s="13" t="n">
        <f aca="false">IFERROR(D298/$F298,"")</f>
        <v>0.0454545454545455</v>
      </c>
      <c r="F298" s="12" t="n">
        <f aca="false">B298+D298</f>
        <v>22</v>
      </c>
    </row>
    <row r="299" customFormat="false" ht="15" hidden="false" customHeight="false" outlineLevel="0" collapsed="false">
      <c r="A299" s="11" t="s">
        <v>703</v>
      </c>
      <c r="B299" s="11" t="n">
        <f aca="false">SUM(B294:B298)</f>
        <v>68</v>
      </c>
      <c r="C299" s="14" t="n">
        <f aca="false">IFERROR(B299/$F299,"")</f>
        <v>0.871794871794872</v>
      </c>
      <c r="D299" s="11" t="n">
        <f aca="false">SUM(D294:D298)</f>
        <v>10</v>
      </c>
      <c r="E299" s="14" t="n">
        <f aca="false">IFERROR(D299/$F299,"")</f>
        <v>0.128205128205128</v>
      </c>
      <c r="F299" s="11" t="n">
        <f aca="false">SUM(F294:F298)</f>
        <v>78</v>
      </c>
    </row>
    <row r="300" customFormat="false" ht="15" hidden="false" customHeight="false" outlineLevel="0" collapsed="false">
      <c r="A300" s="11" t="s">
        <v>3</v>
      </c>
    </row>
    <row r="301" customFormat="false" ht="15" hidden="false" customHeight="false" outlineLevel="0" collapsed="false">
      <c r="A301" s="12" t="s">
        <v>704</v>
      </c>
      <c r="B301" s="12" t="n">
        <f aca="false">COUNTIFS(Cleaned!$D$2:$D$125,1,Cleaned!Q$2:Q$125,0)</f>
        <v>9</v>
      </c>
      <c r="C301" s="13" t="n">
        <f aca="false">IFERROR(B301/$F301,"")</f>
        <v>0.9</v>
      </c>
      <c r="D301" s="12" t="n">
        <f aca="false">COUNTIFS(Cleaned!$D$2:$D$125,1,Cleaned!Q$2:Q$125,1)</f>
        <v>1</v>
      </c>
      <c r="E301" s="13" t="n">
        <f aca="false">IFERROR(D301/$F301,"")</f>
        <v>0.1</v>
      </c>
      <c r="F301" s="12" t="n">
        <f aca="false">B301+D301</f>
        <v>10</v>
      </c>
    </row>
    <row r="302" customFormat="false" ht="15" hidden="false" customHeight="false" outlineLevel="0" collapsed="false">
      <c r="A302" s="12" t="s">
        <v>705</v>
      </c>
      <c r="B302" s="12" t="n">
        <f aca="false">COUNTIFS(Cleaned!$D$2:$D$125,2,Cleaned!Q$2:Q$125,0)</f>
        <v>14</v>
      </c>
      <c r="C302" s="13" t="n">
        <f aca="false">IFERROR(B302/$F302,"")</f>
        <v>0.933333333333333</v>
      </c>
      <c r="D302" s="12" t="n">
        <f aca="false">COUNTIFS(Cleaned!$D$2:$D$125,2,Cleaned!Q$2:Q$125,1)</f>
        <v>1</v>
      </c>
      <c r="E302" s="13" t="n">
        <f aca="false">IFERROR(D302/$F302,"")</f>
        <v>0.0666666666666667</v>
      </c>
      <c r="F302" s="12" t="n">
        <f aca="false">B302+D302</f>
        <v>15</v>
      </c>
    </row>
    <row r="303" customFormat="false" ht="15" hidden="false" customHeight="false" outlineLevel="0" collapsed="false">
      <c r="A303" s="12" t="s">
        <v>706</v>
      </c>
      <c r="B303" s="12" t="n">
        <f aca="false">COUNTIFS(Cleaned!$D$2:$D$125,3,Cleaned!Q$2:Q$125,0)</f>
        <v>10</v>
      </c>
      <c r="C303" s="13" t="n">
        <f aca="false">IFERROR(B303/$F303,"")</f>
        <v>1</v>
      </c>
      <c r="D303" s="12" t="n">
        <f aca="false">COUNTIFS(Cleaned!$D$2:$D$125,3,Cleaned!Q$2:Q$125,1)</f>
        <v>0</v>
      </c>
      <c r="E303" s="13" t="n">
        <f aca="false">IFERROR(D303/$F303,"")</f>
        <v>0</v>
      </c>
      <c r="F303" s="12" t="n">
        <f aca="false">B303+D303</f>
        <v>10</v>
      </c>
    </row>
    <row r="304" customFormat="false" ht="15" hidden="false" customHeight="false" outlineLevel="0" collapsed="false">
      <c r="A304" s="12" t="s">
        <v>707</v>
      </c>
      <c r="B304" s="12" t="n">
        <f aca="false">COUNTIFS(Cleaned!$D$2:$D$125,4,Cleaned!Q$2:Q$125,0)</f>
        <v>3</v>
      </c>
      <c r="C304" s="13" t="n">
        <f aca="false">IFERROR(B304/$F304,"")</f>
        <v>0.5</v>
      </c>
      <c r="D304" s="12" t="n">
        <f aca="false">COUNTIFS(Cleaned!$D$2:$D$125,4,Cleaned!Q$2:Q$125,1)</f>
        <v>3</v>
      </c>
      <c r="E304" s="13" t="n">
        <f aca="false">IFERROR(D304/$F304,"")</f>
        <v>0.5</v>
      </c>
      <c r="F304" s="12" t="n">
        <f aca="false">B304+D304</f>
        <v>6</v>
      </c>
    </row>
    <row r="305" customFormat="false" ht="15" hidden="false" customHeight="false" outlineLevel="0" collapsed="false">
      <c r="A305" s="12" t="s">
        <v>708</v>
      </c>
      <c r="B305" s="12" t="n">
        <f aca="false">COUNTIFS(Cleaned!$D$2:$D$125,5,Cleaned!Q$2:Q$125,0)</f>
        <v>1</v>
      </c>
      <c r="C305" s="13" t="n">
        <f aca="false">IFERROR(B305/$F305,"")</f>
        <v>1</v>
      </c>
      <c r="D305" s="12" t="n">
        <f aca="false">COUNTIFS(Cleaned!$D$2:$D$125,5,Cleaned!Q$2:Q$125,1)</f>
        <v>0</v>
      </c>
      <c r="E305" s="13" t="n">
        <f aca="false">IFERROR(D305/$F305,"")</f>
        <v>0</v>
      </c>
      <c r="F305" s="12" t="n">
        <f aca="false">B305+D305</f>
        <v>1</v>
      </c>
    </row>
    <row r="306" customFormat="false" ht="15" hidden="false" customHeight="false" outlineLevel="0" collapsed="false">
      <c r="A306" s="12" t="s">
        <v>709</v>
      </c>
      <c r="B306" s="12" t="n">
        <f aca="false">COUNTIFS(Cleaned!$D$2:$D$125,6,Cleaned!Q$2:Q$125,0)</f>
        <v>1</v>
      </c>
      <c r="C306" s="13" t="n">
        <f aca="false">IFERROR(B306/$F306,"")</f>
        <v>0.333333333333333</v>
      </c>
      <c r="D306" s="12" t="n">
        <f aca="false">COUNTIFS(Cleaned!$D$2:$D$125,6,Cleaned!Q$2:Q$125,1)</f>
        <v>2</v>
      </c>
      <c r="E306" s="13" t="n">
        <f aca="false">IFERROR(D306/$F306,"")</f>
        <v>0.666666666666667</v>
      </c>
      <c r="F306" s="12" t="n">
        <f aca="false">B306+D306</f>
        <v>3</v>
      </c>
    </row>
    <row r="307" customFormat="false" ht="15" hidden="false" customHeight="false" outlineLevel="0" collapsed="false">
      <c r="A307" s="12" t="s">
        <v>710</v>
      </c>
      <c r="B307" s="12" t="n">
        <f aca="false">COUNTIFS(Cleaned!$D$2:$D$125,7,Cleaned!Q$2:Q$125,0)</f>
        <v>9</v>
      </c>
      <c r="C307" s="13" t="n">
        <f aca="false">IFERROR(B307/$F307,"")</f>
        <v>1</v>
      </c>
      <c r="D307" s="12" t="n">
        <f aca="false">COUNTIFS(Cleaned!$D$2:$D$125,7,Cleaned!Q$2:Q$125,1)</f>
        <v>0</v>
      </c>
      <c r="E307" s="13" t="n">
        <f aca="false">IFERROR(D307/$F307,"")</f>
        <v>0</v>
      </c>
      <c r="F307" s="12" t="n">
        <f aca="false">B307+D307</f>
        <v>9</v>
      </c>
    </row>
    <row r="308" customFormat="false" ht="15" hidden="false" customHeight="false" outlineLevel="0" collapsed="false">
      <c r="A308" s="12" t="s">
        <v>711</v>
      </c>
      <c r="B308" s="12" t="n">
        <f aca="false">COUNTIFS(Cleaned!$D$2:$D$125,8,Cleaned!Q$2:Q$125,0)</f>
        <v>4</v>
      </c>
      <c r="C308" s="13" t="n">
        <f aca="false">IFERROR(B308/$F308,"")</f>
        <v>1</v>
      </c>
      <c r="D308" s="12" t="n">
        <f aca="false">COUNTIFS(Cleaned!$D$2:$D$125,8,Cleaned!Q$2:Q$125,1)</f>
        <v>0</v>
      </c>
      <c r="E308" s="13" t="n">
        <f aca="false">IFERROR(D308/$F308,"")</f>
        <v>0</v>
      </c>
      <c r="F308" s="12" t="n">
        <f aca="false">B308+D308</f>
        <v>4</v>
      </c>
    </row>
    <row r="309" customFormat="false" ht="15" hidden="false" customHeight="false" outlineLevel="0" collapsed="false">
      <c r="A309" s="12" t="s">
        <v>712</v>
      </c>
      <c r="B309" s="12" t="n">
        <f aca="false">COUNTIFS(Cleaned!$D$2:$D$125,9,Cleaned!Q$2:Q$125,0)</f>
        <v>2</v>
      </c>
      <c r="C309" s="13" t="n">
        <f aca="false">IFERROR(B309/$F309,"")</f>
        <v>1</v>
      </c>
      <c r="D309" s="12" t="n">
        <f aca="false">COUNTIFS(Cleaned!$D$2:$D$125,9,Cleaned!Q$2:Q$125,1)</f>
        <v>0</v>
      </c>
      <c r="E309" s="13" t="n">
        <f aca="false">IFERROR(D309/$F309,"")</f>
        <v>0</v>
      </c>
      <c r="F309" s="12" t="n">
        <f aca="false">B309+D309</f>
        <v>2</v>
      </c>
    </row>
    <row r="310" customFormat="false" ht="15" hidden="false" customHeight="false" outlineLevel="0" collapsed="false">
      <c r="A310" s="12" t="s">
        <v>713</v>
      </c>
      <c r="B310" s="12" t="n">
        <f aca="false">COUNTIFS(Cleaned!$D$2:$D$125,10,Cleaned!Q$2:Q$125,0)</f>
        <v>1</v>
      </c>
      <c r="C310" s="13" t="n">
        <f aca="false">IFERROR(B310/$F310,"")</f>
        <v>0.5</v>
      </c>
      <c r="D310" s="12" t="n">
        <f aca="false">COUNTIFS(Cleaned!$D$2:$D$125,10,Cleaned!Q$2:Q$125,1)</f>
        <v>1</v>
      </c>
      <c r="E310" s="13" t="n">
        <f aca="false">IFERROR(D310/$F310,"")</f>
        <v>0.5</v>
      </c>
      <c r="F310" s="12" t="n">
        <f aca="false">B310+D310</f>
        <v>2</v>
      </c>
    </row>
    <row r="311" customFormat="false" ht="15" hidden="false" customHeight="false" outlineLevel="0" collapsed="false">
      <c r="A311" s="12" t="s">
        <v>714</v>
      </c>
      <c r="B311" s="12" t="n">
        <f aca="false">COUNTIFS(Cleaned!$D$2:$D$125,11,Cleaned!Q$2:Q$125,0)</f>
        <v>11</v>
      </c>
      <c r="C311" s="13" t="n">
        <f aca="false">IFERROR(B311/$F311,"")</f>
        <v>1</v>
      </c>
      <c r="D311" s="12" t="n">
        <f aca="false">COUNTIFS(Cleaned!$D$2:$D$125,11,Cleaned!Q$2:Q$125,1)</f>
        <v>0</v>
      </c>
      <c r="E311" s="13" t="n">
        <f aca="false">IFERROR(D311/$F311,"")</f>
        <v>0</v>
      </c>
      <c r="F311" s="12" t="n">
        <f aca="false">B311+D311</f>
        <v>11</v>
      </c>
    </row>
    <row r="312" customFormat="false" ht="15" hidden="false" customHeight="false" outlineLevel="0" collapsed="false">
      <c r="A312" s="12" t="s">
        <v>715</v>
      </c>
      <c r="B312" s="12" t="n">
        <f aca="false">COUNTIFS(Cleaned!$D$2:$D$125,12,Cleaned!Q$2:Q$125,0)</f>
        <v>3</v>
      </c>
      <c r="C312" s="13" t="n">
        <f aca="false">IFERROR(B312/$F312,"")</f>
        <v>0.6</v>
      </c>
      <c r="D312" s="12" t="n">
        <f aca="false">COUNTIFS(Cleaned!$D$2:$D$125,12,Cleaned!Q$2:Q$125,1)</f>
        <v>2</v>
      </c>
      <c r="E312" s="13" t="n">
        <f aca="false">IFERROR(D312/$F312,"")</f>
        <v>0.4</v>
      </c>
      <c r="F312" s="12" t="n">
        <f aca="false">B312+D312</f>
        <v>5</v>
      </c>
    </row>
    <row r="313" customFormat="false" ht="15" hidden="false" customHeight="false" outlineLevel="0" collapsed="false">
      <c r="A313" s="11" t="s">
        <v>716</v>
      </c>
      <c r="B313" s="11" t="n">
        <f aca="false">SUM(B301:B312)</f>
        <v>68</v>
      </c>
      <c r="C313" s="14" t="n">
        <f aca="false">IFERROR(B313/$F313,"")</f>
        <v>0.871794871794872</v>
      </c>
      <c r="D313" s="11" t="n">
        <f aca="false">SUM(D301:D312)</f>
        <v>10</v>
      </c>
      <c r="E313" s="14" t="n">
        <f aca="false">IFERROR(D313/$F313,"")</f>
        <v>0.128205128205128</v>
      </c>
      <c r="F313" s="11" t="n">
        <f aca="false">SUM(F301:F312)</f>
        <v>78</v>
      </c>
    </row>
    <row r="316" customFormat="false" ht="15" hidden="false" customHeight="false" outlineLevel="0" collapsed="false">
      <c r="A316" s="6" t="s">
        <v>17</v>
      </c>
      <c r="B316" s="7" t="s">
        <v>731</v>
      </c>
    </row>
    <row r="317" customFormat="false" ht="15" hidden="false" customHeight="false" outlineLevel="0" collapsed="false">
      <c r="A317" s="8"/>
      <c r="B317" s="9" t="s">
        <v>718</v>
      </c>
      <c r="C317" s="8"/>
      <c r="D317" s="9" t="s">
        <v>719</v>
      </c>
      <c r="E317" s="8"/>
      <c r="F317" s="9" t="s">
        <v>694</v>
      </c>
    </row>
    <row r="318" customFormat="false" ht="15" hidden="false" customHeight="false" outlineLevel="0" collapsed="false">
      <c r="B318" s="10" t="s">
        <v>695</v>
      </c>
      <c r="C318" s="10" t="s">
        <v>696</v>
      </c>
      <c r="D318" s="10" t="s">
        <v>695</v>
      </c>
      <c r="E318" s="10" t="s">
        <v>696</v>
      </c>
    </row>
    <row r="319" customFormat="false" ht="15" hidden="false" customHeight="false" outlineLevel="0" collapsed="false">
      <c r="A319" s="11" t="s">
        <v>697</v>
      </c>
    </row>
    <row r="320" customFormat="false" ht="15" hidden="false" customHeight="false" outlineLevel="0" collapsed="false">
      <c r="A320" s="12" t="s">
        <v>698</v>
      </c>
      <c r="B320" s="12" t="n">
        <f aca="false">COUNTIFS(Cleaned!$C$2:$C$125,1,Cleaned!R$2:R$125,0)</f>
        <v>9</v>
      </c>
      <c r="C320" s="13" t="n">
        <f aca="false">IFERROR(B320/$F320,"")</f>
        <v>0.6</v>
      </c>
      <c r="D320" s="12" t="n">
        <f aca="false">COUNTIFS(Cleaned!$C$2:$C$125,1,Cleaned!R$2:R$125,1)</f>
        <v>6</v>
      </c>
      <c r="E320" s="13" t="n">
        <f aca="false">IFERROR(D320/$F320,"")</f>
        <v>0.4</v>
      </c>
      <c r="F320" s="12" t="n">
        <f aca="false">B320+D320</f>
        <v>15</v>
      </c>
    </row>
    <row r="321" customFormat="false" ht="15" hidden="false" customHeight="false" outlineLevel="0" collapsed="false">
      <c r="A321" s="12" t="s">
        <v>699</v>
      </c>
      <c r="B321" s="12" t="n">
        <f aca="false">COUNTIFS(Cleaned!$C$2:$C$125,2,Cleaned!R$2:R$125,0)</f>
        <v>6</v>
      </c>
      <c r="C321" s="13" t="n">
        <f aca="false">IFERROR(B321/$F321,"")</f>
        <v>0.461538461538462</v>
      </c>
      <c r="D321" s="12" t="n">
        <f aca="false">COUNTIFS(Cleaned!$C$2:$C$125,2,Cleaned!R$2:R$125,1)</f>
        <v>7</v>
      </c>
      <c r="E321" s="13" t="n">
        <f aca="false">IFERROR(D321/$F321,"")</f>
        <v>0.538461538461538</v>
      </c>
      <c r="F321" s="12" t="n">
        <f aca="false">B321+D321</f>
        <v>13</v>
      </c>
    </row>
    <row r="322" customFormat="false" ht="15" hidden="false" customHeight="false" outlineLevel="0" collapsed="false">
      <c r="A322" s="12" t="s">
        <v>700</v>
      </c>
      <c r="B322" s="12" t="n">
        <f aca="false">COUNTIFS(Cleaned!$C$2:$C$125,3,Cleaned!R$2:R$125,0)</f>
        <v>6</v>
      </c>
      <c r="C322" s="13" t="n">
        <f aca="false">IFERROR(B322/$F322,"")</f>
        <v>0.352941176470588</v>
      </c>
      <c r="D322" s="12" t="n">
        <f aca="false">COUNTIFS(Cleaned!$C$2:$C$125,3,Cleaned!R$2:R$125,1)</f>
        <v>11</v>
      </c>
      <c r="E322" s="13" t="n">
        <f aca="false">IFERROR(D322/$F322,"")</f>
        <v>0.647058823529412</v>
      </c>
      <c r="F322" s="12" t="n">
        <f aca="false">B322+D322</f>
        <v>17</v>
      </c>
    </row>
    <row r="323" customFormat="false" ht="15" hidden="false" customHeight="false" outlineLevel="0" collapsed="false">
      <c r="A323" s="12" t="s">
        <v>701</v>
      </c>
      <c r="B323" s="12" t="n">
        <f aca="false">COUNTIFS(Cleaned!$C$2:$C$125,4,Cleaned!R$2:R$125,0)</f>
        <v>5</v>
      </c>
      <c r="C323" s="13" t="n">
        <f aca="false">IFERROR(B323/$F323,"")</f>
        <v>0.454545454545455</v>
      </c>
      <c r="D323" s="12" t="n">
        <f aca="false">COUNTIFS(Cleaned!$C$2:$C$125,4,Cleaned!R$2:R$125,1)</f>
        <v>6</v>
      </c>
      <c r="E323" s="13" t="n">
        <f aca="false">IFERROR(D323/$F323,"")</f>
        <v>0.545454545454545</v>
      </c>
      <c r="F323" s="12" t="n">
        <f aca="false">B323+D323</f>
        <v>11</v>
      </c>
    </row>
    <row r="324" customFormat="false" ht="15" hidden="false" customHeight="false" outlineLevel="0" collapsed="false">
      <c r="A324" s="12" t="s">
        <v>702</v>
      </c>
      <c r="B324" s="12" t="n">
        <f aca="false">COUNTIFS(Cleaned!$C$2:$C$125,5,Cleaned!R$2:R$125,0)</f>
        <v>10</v>
      </c>
      <c r="C324" s="13" t="n">
        <f aca="false">IFERROR(B324/$F324,"")</f>
        <v>0.454545454545455</v>
      </c>
      <c r="D324" s="12" t="n">
        <f aca="false">COUNTIFS(Cleaned!$C$2:$C$125,5,Cleaned!R$2:R$125,1)</f>
        <v>12</v>
      </c>
      <c r="E324" s="13" t="n">
        <f aca="false">IFERROR(D324/$F324,"")</f>
        <v>0.545454545454545</v>
      </c>
      <c r="F324" s="12" t="n">
        <f aca="false">B324+D324</f>
        <v>22</v>
      </c>
    </row>
    <row r="325" customFormat="false" ht="15" hidden="false" customHeight="false" outlineLevel="0" collapsed="false">
      <c r="A325" s="11" t="s">
        <v>703</v>
      </c>
      <c r="B325" s="11" t="n">
        <f aca="false">SUM(B320:B324)</f>
        <v>36</v>
      </c>
      <c r="C325" s="14" t="n">
        <f aca="false">IFERROR(B325/$F325,"")</f>
        <v>0.461538461538462</v>
      </c>
      <c r="D325" s="11" t="n">
        <f aca="false">SUM(D320:D324)</f>
        <v>42</v>
      </c>
      <c r="E325" s="14" t="n">
        <f aca="false">IFERROR(D325/$F325,"")</f>
        <v>0.538461538461538</v>
      </c>
      <c r="F325" s="11" t="n">
        <f aca="false">SUM(F320:F324)</f>
        <v>78</v>
      </c>
    </row>
    <row r="326" customFormat="false" ht="15" hidden="false" customHeight="false" outlineLevel="0" collapsed="false">
      <c r="A326" s="11" t="s">
        <v>3</v>
      </c>
    </row>
    <row r="327" customFormat="false" ht="15" hidden="false" customHeight="false" outlineLevel="0" collapsed="false">
      <c r="A327" s="12" t="s">
        <v>704</v>
      </c>
      <c r="B327" s="12" t="n">
        <f aca="false">COUNTIFS(Cleaned!$D$2:$D$125,1,Cleaned!R$2:R$125,0)</f>
        <v>4</v>
      </c>
      <c r="C327" s="13" t="n">
        <f aca="false">IFERROR(B327/$F327,"")</f>
        <v>0.4</v>
      </c>
      <c r="D327" s="12" t="n">
        <f aca="false">COUNTIFS(Cleaned!$D$2:$D$125,1,Cleaned!R$2:R$125,1)</f>
        <v>6</v>
      </c>
      <c r="E327" s="13" t="n">
        <f aca="false">IFERROR(D327/$F327,"")</f>
        <v>0.6</v>
      </c>
      <c r="F327" s="12" t="n">
        <f aca="false">B327+D327</f>
        <v>10</v>
      </c>
    </row>
    <row r="328" customFormat="false" ht="15" hidden="false" customHeight="false" outlineLevel="0" collapsed="false">
      <c r="A328" s="12" t="s">
        <v>705</v>
      </c>
      <c r="B328" s="12" t="n">
        <f aca="false">COUNTIFS(Cleaned!$D$2:$D$125,2,Cleaned!R$2:R$125,0)</f>
        <v>7</v>
      </c>
      <c r="C328" s="13" t="n">
        <f aca="false">IFERROR(B328/$F328,"")</f>
        <v>0.466666666666667</v>
      </c>
      <c r="D328" s="12" t="n">
        <f aca="false">COUNTIFS(Cleaned!$D$2:$D$125,2,Cleaned!R$2:R$125,1)</f>
        <v>8</v>
      </c>
      <c r="E328" s="13" t="n">
        <f aca="false">IFERROR(D328/$F328,"")</f>
        <v>0.533333333333333</v>
      </c>
      <c r="F328" s="12" t="n">
        <f aca="false">B328+D328</f>
        <v>15</v>
      </c>
    </row>
    <row r="329" customFormat="false" ht="15" hidden="false" customHeight="false" outlineLevel="0" collapsed="false">
      <c r="A329" s="12" t="s">
        <v>706</v>
      </c>
      <c r="B329" s="12" t="n">
        <f aca="false">COUNTIFS(Cleaned!$D$2:$D$125,3,Cleaned!R$2:R$125,0)</f>
        <v>3</v>
      </c>
      <c r="C329" s="13" t="n">
        <f aca="false">IFERROR(B329/$F329,"")</f>
        <v>0.3</v>
      </c>
      <c r="D329" s="12" t="n">
        <f aca="false">COUNTIFS(Cleaned!$D$2:$D$125,3,Cleaned!R$2:R$125,1)</f>
        <v>7</v>
      </c>
      <c r="E329" s="13" t="n">
        <f aca="false">IFERROR(D329/$F329,"")</f>
        <v>0.7</v>
      </c>
      <c r="F329" s="12" t="n">
        <f aca="false">B329+D329</f>
        <v>10</v>
      </c>
    </row>
    <row r="330" customFormat="false" ht="15" hidden="false" customHeight="false" outlineLevel="0" collapsed="false">
      <c r="A330" s="12" t="s">
        <v>707</v>
      </c>
      <c r="B330" s="12" t="n">
        <f aca="false">COUNTIFS(Cleaned!$D$2:$D$125,4,Cleaned!R$2:R$125,0)</f>
        <v>2</v>
      </c>
      <c r="C330" s="13" t="n">
        <f aca="false">IFERROR(B330/$F330,"")</f>
        <v>0.333333333333333</v>
      </c>
      <c r="D330" s="12" t="n">
        <f aca="false">COUNTIFS(Cleaned!$D$2:$D$125,4,Cleaned!R$2:R$125,1)</f>
        <v>4</v>
      </c>
      <c r="E330" s="13" t="n">
        <f aca="false">IFERROR(D330/$F330,"")</f>
        <v>0.666666666666667</v>
      </c>
      <c r="F330" s="12" t="n">
        <f aca="false">B330+D330</f>
        <v>6</v>
      </c>
    </row>
    <row r="331" customFormat="false" ht="15" hidden="false" customHeight="false" outlineLevel="0" collapsed="false">
      <c r="A331" s="12" t="s">
        <v>708</v>
      </c>
      <c r="B331" s="12" t="n">
        <f aca="false">COUNTIFS(Cleaned!$D$2:$D$125,5,Cleaned!R$2:R$125,0)</f>
        <v>0</v>
      </c>
      <c r="C331" s="13" t="n">
        <f aca="false">IFERROR(B331/$F331,"")</f>
        <v>0</v>
      </c>
      <c r="D331" s="12" t="n">
        <f aca="false">COUNTIFS(Cleaned!$D$2:$D$125,5,Cleaned!R$2:R$125,1)</f>
        <v>1</v>
      </c>
      <c r="E331" s="13" t="n">
        <f aca="false">IFERROR(D331/$F331,"")</f>
        <v>1</v>
      </c>
      <c r="F331" s="12" t="n">
        <f aca="false">B331+D331</f>
        <v>1</v>
      </c>
    </row>
    <row r="332" customFormat="false" ht="15" hidden="false" customHeight="false" outlineLevel="0" collapsed="false">
      <c r="A332" s="12" t="s">
        <v>709</v>
      </c>
      <c r="B332" s="12" t="n">
        <f aca="false">COUNTIFS(Cleaned!$D$2:$D$125,6,Cleaned!R$2:R$125,0)</f>
        <v>2</v>
      </c>
      <c r="C332" s="13" t="n">
        <f aca="false">IFERROR(B332/$F332,"")</f>
        <v>0.666666666666667</v>
      </c>
      <c r="D332" s="12" t="n">
        <f aca="false">COUNTIFS(Cleaned!$D$2:$D$125,6,Cleaned!R$2:R$125,1)</f>
        <v>1</v>
      </c>
      <c r="E332" s="13" t="n">
        <f aca="false">IFERROR(D332/$F332,"")</f>
        <v>0.333333333333333</v>
      </c>
      <c r="F332" s="12" t="n">
        <f aca="false">B332+D332</f>
        <v>3</v>
      </c>
    </row>
    <row r="333" customFormat="false" ht="15" hidden="false" customHeight="false" outlineLevel="0" collapsed="false">
      <c r="A333" s="12" t="s">
        <v>710</v>
      </c>
      <c r="B333" s="12" t="n">
        <f aca="false">COUNTIFS(Cleaned!$D$2:$D$125,7,Cleaned!R$2:R$125,0)</f>
        <v>5</v>
      </c>
      <c r="C333" s="13" t="n">
        <f aca="false">IFERROR(B333/$F333,"")</f>
        <v>0.555555555555556</v>
      </c>
      <c r="D333" s="12" t="n">
        <f aca="false">COUNTIFS(Cleaned!$D$2:$D$125,7,Cleaned!R$2:R$125,1)</f>
        <v>4</v>
      </c>
      <c r="E333" s="13" t="n">
        <f aca="false">IFERROR(D333/$F333,"")</f>
        <v>0.444444444444444</v>
      </c>
      <c r="F333" s="12" t="n">
        <f aca="false">B333+D333</f>
        <v>9</v>
      </c>
    </row>
    <row r="334" customFormat="false" ht="15" hidden="false" customHeight="false" outlineLevel="0" collapsed="false">
      <c r="A334" s="12" t="s">
        <v>711</v>
      </c>
      <c r="B334" s="12" t="n">
        <f aca="false">COUNTIFS(Cleaned!$D$2:$D$125,8,Cleaned!R$2:R$125,0)</f>
        <v>2</v>
      </c>
      <c r="C334" s="13" t="n">
        <f aca="false">IFERROR(B334/$F334,"")</f>
        <v>0.5</v>
      </c>
      <c r="D334" s="12" t="n">
        <f aca="false">COUNTIFS(Cleaned!$D$2:$D$125,8,Cleaned!R$2:R$125,1)</f>
        <v>2</v>
      </c>
      <c r="E334" s="13" t="n">
        <f aca="false">IFERROR(D334/$F334,"")</f>
        <v>0.5</v>
      </c>
      <c r="F334" s="12" t="n">
        <f aca="false">B334+D334</f>
        <v>4</v>
      </c>
    </row>
    <row r="335" customFormat="false" ht="15" hidden="false" customHeight="false" outlineLevel="0" collapsed="false">
      <c r="A335" s="12" t="s">
        <v>712</v>
      </c>
      <c r="B335" s="12" t="n">
        <f aca="false">COUNTIFS(Cleaned!$D$2:$D$125,9,Cleaned!R$2:R$125,0)</f>
        <v>1</v>
      </c>
      <c r="C335" s="13" t="n">
        <f aca="false">IFERROR(B335/$F335,"")</f>
        <v>0.5</v>
      </c>
      <c r="D335" s="12" t="n">
        <f aca="false">COUNTIFS(Cleaned!$D$2:$D$125,9,Cleaned!R$2:R$125,1)</f>
        <v>1</v>
      </c>
      <c r="E335" s="13" t="n">
        <f aca="false">IFERROR(D335/$F335,"")</f>
        <v>0.5</v>
      </c>
      <c r="F335" s="12" t="n">
        <f aca="false">B335+D335</f>
        <v>2</v>
      </c>
    </row>
    <row r="336" customFormat="false" ht="15" hidden="false" customHeight="false" outlineLevel="0" collapsed="false">
      <c r="A336" s="12" t="s">
        <v>713</v>
      </c>
      <c r="B336" s="12" t="n">
        <f aca="false">COUNTIFS(Cleaned!$D$2:$D$125,10,Cleaned!R$2:R$125,0)</f>
        <v>1</v>
      </c>
      <c r="C336" s="13" t="n">
        <f aca="false">IFERROR(B336/$F336,"")</f>
        <v>0.5</v>
      </c>
      <c r="D336" s="12" t="n">
        <f aca="false">COUNTIFS(Cleaned!$D$2:$D$125,10,Cleaned!R$2:R$125,1)</f>
        <v>1</v>
      </c>
      <c r="E336" s="13" t="n">
        <f aca="false">IFERROR(D336/$F336,"")</f>
        <v>0.5</v>
      </c>
      <c r="F336" s="12" t="n">
        <f aca="false">B336+D336</f>
        <v>2</v>
      </c>
    </row>
    <row r="337" customFormat="false" ht="15" hidden="false" customHeight="false" outlineLevel="0" collapsed="false">
      <c r="A337" s="12" t="s">
        <v>714</v>
      </c>
      <c r="B337" s="12" t="n">
        <f aca="false">COUNTIFS(Cleaned!$D$2:$D$125,11,Cleaned!R$2:R$125,0)</f>
        <v>5</v>
      </c>
      <c r="C337" s="13" t="n">
        <f aca="false">IFERROR(B337/$F337,"")</f>
        <v>0.454545454545455</v>
      </c>
      <c r="D337" s="12" t="n">
        <f aca="false">COUNTIFS(Cleaned!$D$2:$D$125,11,Cleaned!R$2:R$125,1)</f>
        <v>6</v>
      </c>
      <c r="E337" s="13" t="n">
        <f aca="false">IFERROR(D337/$F337,"")</f>
        <v>0.545454545454545</v>
      </c>
      <c r="F337" s="12" t="n">
        <f aca="false">B337+D337</f>
        <v>11</v>
      </c>
    </row>
    <row r="338" customFormat="false" ht="15" hidden="false" customHeight="false" outlineLevel="0" collapsed="false">
      <c r="A338" s="12" t="s">
        <v>715</v>
      </c>
      <c r="B338" s="12" t="n">
        <f aca="false">COUNTIFS(Cleaned!$D$2:$D$125,12,Cleaned!R$2:R$125,0)</f>
        <v>4</v>
      </c>
      <c r="C338" s="13" t="n">
        <f aca="false">IFERROR(B338/$F338,"")</f>
        <v>0.8</v>
      </c>
      <c r="D338" s="12" t="n">
        <f aca="false">COUNTIFS(Cleaned!$D$2:$D$125,12,Cleaned!R$2:R$125,1)</f>
        <v>1</v>
      </c>
      <c r="E338" s="13" t="n">
        <f aca="false">IFERROR(D338/$F338,"")</f>
        <v>0.2</v>
      </c>
      <c r="F338" s="12" t="n">
        <f aca="false">B338+D338</f>
        <v>5</v>
      </c>
    </row>
    <row r="339" customFormat="false" ht="15" hidden="false" customHeight="false" outlineLevel="0" collapsed="false">
      <c r="A339" s="11" t="s">
        <v>716</v>
      </c>
      <c r="B339" s="11" t="n">
        <f aca="false">SUM(B327:B338)</f>
        <v>36</v>
      </c>
      <c r="C339" s="14" t="n">
        <f aca="false">IFERROR(B339/$F339,"")</f>
        <v>0.461538461538462</v>
      </c>
      <c r="D339" s="11" t="n">
        <f aca="false">SUM(D327:D338)</f>
        <v>42</v>
      </c>
      <c r="E339" s="14" t="n">
        <f aca="false">IFERROR(D339/$F339,"")</f>
        <v>0.538461538461538</v>
      </c>
      <c r="F339" s="11" t="n">
        <f aca="false">SUM(F327:F338)</f>
        <v>78</v>
      </c>
    </row>
    <row r="342" customFormat="false" ht="15" hidden="false" customHeight="false" outlineLevel="0" collapsed="false">
      <c r="A342" s="6" t="s">
        <v>18</v>
      </c>
      <c r="B342" s="7" t="s">
        <v>732</v>
      </c>
    </row>
    <row r="343" customFormat="false" ht="15" hidden="false" customHeight="false" outlineLevel="0" collapsed="false">
      <c r="A343" s="8"/>
      <c r="B343" s="9" t="s">
        <v>718</v>
      </c>
      <c r="C343" s="8"/>
      <c r="D343" s="9" t="s">
        <v>719</v>
      </c>
      <c r="E343" s="8"/>
      <c r="F343" s="9" t="s">
        <v>694</v>
      </c>
    </row>
    <row r="344" customFormat="false" ht="15" hidden="false" customHeight="false" outlineLevel="0" collapsed="false">
      <c r="B344" s="10" t="s">
        <v>695</v>
      </c>
      <c r="C344" s="10" t="s">
        <v>696</v>
      </c>
      <c r="D344" s="10" t="s">
        <v>695</v>
      </c>
      <c r="E344" s="10" t="s">
        <v>696</v>
      </c>
    </row>
    <row r="345" customFormat="false" ht="15" hidden="false" customHeight="false" outlineLevel="0" collapsed="false">
      <c r="A345" s="11" t="s">
        <v>697</v>
      </c>
    </row>
    <row r="346" customFormat="false" ht="15" hidden="false" customHeight="false" outlineLevel="0" collapsed="false">
      <c r="A346" s="12" t="s">
        <v>698</v>
      </c>
      <c r="B346" s="12" t="n">
        <f aca="false">COUNTIFS(Cleaned!$C$2:$C$125,1,Cleaned!S$2:S$125,0)</f>
        <v>12</v>
      </c>
      <c r="C346" s="13" t="n">
        <f aca="false">IFERROR(B346/$F346,"")</f>
        <v>0.8</v>
      </c>
      <c r="D346" s="12" t="n">
        <f aca="false">COUNTIFS(Cleaned!$C$2:$C$125,1,Cleaned!S$2:S$125,1)</f>
        <v>3</v>
      </c>
      <c r="E346" s="13" t="n">
        <f aca="false">IFERROR(D346/$F346,"")</f>
        <v>0.2</v>
      </c>
      <c r="F346" s="12" t="n">
        <f aca="false">B346+D346</f>
        <v>15</v>
      </c>
    </row>
    <row r="347" customFormat="false" ht="15" hidden="false" customHeight="false" outlineLevel="0" collapsed="false">
      <c r="A347" s="12" t="s">
        <v>699</v>
      </c>
      <c r="B347" s="12" t="n">
        <f aca="false">COUNTIFS(Cleaned!$C$2:$C$125,2,Cleaned!S$2:S$125,0)</f>
        <v>13</v>
      </c>
      <c r="C347" s="13" t="n">
        <f aca="false">IFERROR(B347/$F347,"")</f>
        <v>1</v>
      </c>
      <c r="D347" s="12" t="n">
        <f aca="false">COUNTIFS(Cleaned!$C$2:$C$125,2,Cleaned!S$2:S$125,1)</f>
        <v>0</v>
      </c>
      <c r="E347" s="13" t="n">
        <f aca="false">IFERROR(D347/$F347,"")</f>
        <v>0</v>
      </c>
      <c r="F347" s="12" t="n">
        <f aca="false">B347+D347</f>
        <v>13</v>
      </c>
    </row>
    <row r="348" customFormat="false" ht="15" hidden="false" customHeight="false" outlineLevel="0" collapsed="false">
      <c r="A348" s="12" t="s">
        <v>700</v>
      </c>
      <c r="B348" s="12" t="n">
        <f aca="false">COUNTIFS(Cleaned!$C$2:$C$125,3,Cleaned!S$2:S$125,0)</f>
        <v>17</v>
      </c>
      <c r="C348" s="13" t="n">
        <f aca="false">IFERROR(B348/$F348,"")</f>
        <v>1</v>
      </c>
      <c r="D348" s="12" t="n">
        <f aca="false">COUNTIFS(Cleaned!$C$2:$C$125,3,Cleaned!S$2:S$125,1)</f>
        <v>0</v>
      </c>
      <c r="E348" s="13" t="n">
        <f aca="false">IFERROR(D348/$F348,"")</f>
        <v>0</v>
      </c>
      <c r="F348" s="12" t="n">
        <f aca="false">B348+D348</f>
        <v>17</v>
      </c>
    </row>
    <row r="349" customFormat="false" ht="15" hidden="false" customHeight="false" outlineLevel="0" collapsed="false">
      <c r="A349" s="12" t="s">
        <v>701</v>
      </c>
      <c r="B349" s="12" t="n">
        <f aca="false">COUNTIFS(Cleaned!$C$2:$C$125,4,Cleaned!S$2:S$125,0)</f>
        <v>11</v>
      </c>
      <c r="C349" s="13" t="n">
        <f aca="false">IFERROR(B349/$F349,"")</f>
        <v>1</v>
      </c>
      <c r="D349" s="12" t="n">
        <f aca="false">COUNTIFS(Cleaned!$C$2:$C$125,4,Cleaned!S$2:S$125,1)</f>
        <v>0</v>
      </c>
      <c r="E349" s="13" t="n">
        <f aca="false">IFERROR(D349/$F349,"")</f>
        <v>0</v>
      </c>
      <c r="F349" s="12" t="n">
        <f aca="false">B349+D349</f>
        <v>11</v>
      </c>
    </row>
    <row r="350" customFormat="false" ht="15" hidden="false" customHeight="false" outlineLevel="0" collapsed="false">
      <c r="A350" s="12" t="s">
        <v>702</v>
      </c>
      <c r="B350" s="12" t="n">
        <f aca="false">COUNTIFS(Cleaned!$C$2:$C$125,5,Cleaned!S$2:S$125,0)</f>
        <v>20</v>
      </c>
      <c r="C350" s="13" t="n">
        <f aca="false">IFERROR(B350/$F350,"")</f>
        <v>0.909090909090909</v>
      </c>
      <c r="D350" s="12" t="n">
        <f aca="false">COUNTIFS(Cleaned!$C$2:$C$125,5,Cleaned!S$2:S$125,1)</f>
        <v>2</v>
      </c>
      <c r="E350" s="13" t="n">
        <f aca="false">IFERROR(D350/$F350,"")</f>
        <v>0.0909090909090909</v>
      </c>
      <c r="F350" s="12" t="n">
        <f aca="false">B350+D350</f>
        <v>22</v>
      </c>
    </row>
    <row r="351" customFormat="false" ht="15" hidden="false" customHeight="false" outlineLevel="0" collapsed="false">
      <c r="A351" s="11" t="s">
        <v>703</v>
      </c>
      <c r="B351" s="11" t="n">
        <f aca="false">SUM(B346:B350)</f>
        <v>73</v>
      </c>
      <c r="C351" s="14" t="n">
        <f aca="false">IFERROR(B351/$F351,"")</f>
        <v>0.935897435897436</v>
      </c>
      <c r="D351" s="11" t="n">
        <f aca="false">SUM(D346:D350)</f>
        <v>5</v>
      </c>
      <c r="E351" s="14" t="n">
        <f aca="false">IFERROR(D351/$F351,"")</f>
        <v>0.0641025641025641</v>
      </c>
      <c r="F351" s="11" t="n">
        <f aca="false">SUM(F346:F350)</f>
        <v>78</v>
      </c>
    </row>
    <row r="352" customFormat="false" ht="15" hidden="false" customHeight="false" outlineLevel="0" collapsed="false">
      <c r="A352" s="11" t="s">
        <v>3</v>
      </c>
    </row>
    <row r="353" customFormat="false" ht="15" hidden="false" customHeight="false" outlineLevel="0" collapsed="false">
      <c r="A353" s="12" t="s">
        <v>704</v>
      </c>
      <c r="B353" s="12" t="n">
        <f aca="false">COUNTIFS(Cleaned!$D$2:$D$125,1,Cleaned!S$2:S$125,0)</f>
        <v>9</v>
      </c>
      <c r="C353" s="13" t="n">
        <f aca="false">IFERROR(B353/$F353,"")</f>
        <v>0.9</v>
      </c>
      <c r="D353" s="12" t="n">
        <f aca="false">COUNTIFS(Cleaned!$D$2:$D$125,1,Cleaned!S$2:S$125,1)</f>
        <v>1</v>
      </c>
      <c r="E353" s="13" t="n">
        <f aca="false">IFERROR(D353/$F353,"")</f>
        <v>0.1</v>
      </c>
      <c r="F353" s="12" t="n">
        <f aca="false">B353+D353</f>
        <v>10</v>
      </c>
    </row>
    <row r="354" customFormat="false" ht="15" hidden="false" customHeight="false" outlineLevel="0" collapsed="false">
      <c r="A354" s="12" t="s">
        <v>705</v>
      </c>
      <c r="B354" s="12" t="n">
        <f aca="false">COUNTIFS(Cleaned!$D$2:$D$125,2,Cleaned!S$2:S$125,0)</f>
        <v>13</v>
      </c>
      <c r="C354" s="13" t="n">
        <f aca="false">IFERROR(B354/$F354,"")</f>
        <v>0.866666666666667</v>
      </c>
      <c r="D354" s="12" t="n">
        <f aca="false">COUNTIFS(Cleaned!$D$2:$D$125,2,Cleaned!S$2:S$125,1)</f>
        <v>2</v>
      </c>
      <c r="E354" s="13" t="n">
        <f aca="false">IFERROR(D354/$F354,"")</f>
        <v>0.133333333333333</v>
      </c>
      <c r="F354" s="12" t="n">
        <f aca="false">B354+D354</f>
        <v>15</v>
      </c>
    </row>
    <row r="355" customFormat="false" ht="15" hidden="false" customHeight="false" outlineLevel="0" collapsed="false">
      <c r="A355" s="12" t="s">
        <v>706</v>
      </c>
      <c r="B355" s="12" t="n">
        <f aca="false">COUNTIFS(Cleaned!$D$2:$D$125,3,Cleaned!S$2:S$125,0)</f>
        <v>10</v>
      </c>
      <c r="C355" s="13" t="n">
        <f aca="false">IFERROR(B355/$F355,"")</f>
        <v>1</v>
      </c>
      <c r="D355" s="12" t="n">
        <f aca="false">COUNTIFS(Cleaned!$D$2:$D$125,3,Cleaned!S$2:S$125,1)</f>
        <v>0</v>
      </c>
      <c r="E355" s="13" t="n">
        <f aca="false">IFERROR(D355/$F355,"")</f>
        <v>0</v>
      </c>
      <c r="F355" s="12" t="n">
        <f aca="false">B355+D355</f>
        <v>10</v>
      </c>
    </row>
    <row r="356" customFormat="false" ht="15" hidden="false" customHeight="false" outlineLevel="0" collapsed="false">
      <c r="A356" s="12" t="s">
        <v>707</v>
      </c>
      <c r="B356" s="12" t="n">
        <f aca="false">COUNTIFS(Cleaned!$D$2:$D$125,4,Cleaned!S$2:S$125,0)</f>
        <v>6</v>
      </c>
      <c r="C356" s="13" t="n">
        <f aca="false">IFERROR(B356/$F356,"")</f>
        <v>1</v>
      </c>
      <c r="D356" s="12" t="n">
        <f aca="false">COUNTIFS(Cleaned!$D$2:$D$125,4,Cleaned!S$2:S$125,1)</f>
        <v>0</v>
      </c>
      <c r="E356" s="13" t="n">
        <f aca="false">IFERROR(D356/$F356,"")</f>
        <v>0</v>
      </c>
      <c r="F356" s="12" t="n">
        <f aca="false">B356+D356</f>
        <v>6</v>
      </c>
    </row>
    <row r="357" customFormat="false" ht="15" hidden="false" customHeight="false" outlineLevel="0" collapsed="false">
      <c r="A357" s="12" t="s">
        <v>708</v>
      </c>
      <c r="B357" s="12" t="n">
        <f aca="false">COUNTIFS(Cleaned!$D$2:$D$125,5,Cleaned!S$2:S$125,0)</f>
        <v>1</v>
      </c>
      <c r="C357" s="13" t="n">
        <f aca="false">IFERROR(B357/$F357,"")</f>
        <v>1</v>
      </c>
      <c r="D357" s="12" t="n">
        <f aca="false">COUNTIFS(Cleaned!$D$2:$D$125,5,Cleaned!S$2:S$125,1)</f>
        <v>0</v>
      </c>
      <c r="E357" s="13" t="n">
        <f aca="false">IFERROR(D357/$F357,"")</f>
        <v>0</v>
      </c>
      <c r="F357" s="12" t="n">
        <f aca="false">B357+D357</f>
        <v>1</v>
      </c>
    </row>
    <row r="358" customFormat="false" ht="15" hidden="false" customHeight="false" outlineLevel="0" collapsed="false">
      <c r="A358" s="12" t="s">
        <v>709</v>
      </c>
      <c r="B358" s="12" t="n">
        <f aca="false">COUNTIFS(Cleaned!$D$2:$D$125,6,Cleaned!S$2:S$125,0)</f>
        <v>3</v>
      </c>
      <c r="C358" s="13" t="n">
        <f aca="false">IFERROR(B358/$F358,"")</f>
        <v>1</v>
      </c>
      <c r="D358" s="12" t="n">
        <f aca="false">COUNTIFS(Cleaned!$D$2:$D$125,6,Cleaned!S$2:S$125,1)</f>
        <v>0</v>
      </c>
      <c r="E358" s="13" t="n">
        <f aca="false">IFERROR(D358/$F358,"")</f>
        <v>0</v>
      </c>
      <c r="F358" s="12" t="n">
        <f aca="false">B358+D358</f>
        <v>3</v>
      </c>
    </row>
    <row r="359" customFormat="false" ht="15" hidden="false" customHeight="false" outlineLevel="0" collapsed="false">
      <c r="A359" s="12" t="s">
        <v>710</v>
      </c>
      <c r="B359" s="12" t="n">
        <f aca="false">COUNTIFS(Cleaned!$D$2:$D$125,7,Cleaned!S$2:S$125,0)</f>
        <v>9</v>
      </c>
      <c r="C359" s="13" t="n">
        <f aca="false">IFERROR(B359/$F359,"")</f>
        <v>1</v>
      </c>
      <c r="D359" s="12" t="n">
        <f aca="false">COUNTIFS(Cleaned!$D$2:$D$125,7,Cleaned!S$2:S$125,1)</f>
        <v>0</v>
      </c>
      <c r="E359" s="13" t="n">
        <f aca="false">IFERROR(D359/$F359,"")</f>
        <v>0</v>
      </c>
      <c r="F359" s="12" t="n">
        <f aca="false">B359+D359</f>
        <v>9</v>
      </c>
    </row>
    <row r="360" customFormat="false" ht="15" hidden="false" customHeight="false" outlineLevel="0" collapsed="false">
      <c r="A360" s="12" t="s">
        <v>711</v>
      </c>
      <c r="B360" s="12" t="n">
        <f aca="false">COUNTIFS(Cleaned!$D$2:$D$125,8,Cleaned!S$2:S$125,0)</f>
        <v>2</v>
      </c>
      <c r="C360" s="13" t="n">
        <f aca="false">IFERROR(B360/$F360,"")</f>
        <v>0.5</v>
      </c>
      <c r="D360" s="12" t="n">
        <f aca="false">COUNTIFS(Cleaned!$D$2:$D$125,8,Cleaned!S$2:S$125,1)</f>
        <v>2</v>
      </c>
      <c r="E360" s="13" t="n">
        <f aca="false">IFERROR(D360/$F360,"")</f>
        <v>0.5</v>
      </c>
      <c r="F360" s="12" t="n">
        <f aca="false">B360+D360</f>
        <v>4</v>
      </c>
    </row>
    <row r="361" customFormat="false" ht="15" hidden="false" customHeight="false" outlineLevel="0" collapsed="false">
      <c r="A361" s="12" t="s">
        <v>712</v>
      </c>
      <c r="B361" s="12" t="n">
        <f aca="false">COUNTIFS(Cleaned!$D$2:$D$125,9,Cleaned!S$2:S$125,0)</f>
        <v>2</v>
      </c>
      <c r="C361" s="13" t="n">
        <f aca="false">IFERROR(B361/$F361,"")</f>
        <v>1</v>
      </c>
      <c r="D361" s="12" t="n">
        <f aca="false">COUNTIFS(Cleaned!$D$2:$D$125,9,Cleaned!S$2:S$125,1)</f>
        <v>0</v>
      </c>
      <c r="E361" s="13" t="n">
        <f aca="false">IFERROR(D361/$F361,"")</f>
        <v>0</v>
      </c>
      <c r="F361" s="12" t="n">
        <f aca="false">B361+D361</f>
        <v>2</v>
      </c>
    </row>
    <row r="362" customFormat="false" ht="15" hidden="false" customHeight="false" outlineLevel="0" collapsed="false">
      <c r="A362" s="12" t="s">
        <v>713</v>
      </c>
      <c r="B362" s="12" t="n">
        <f aca="false">COUNTIFS(Cleaned!$D$2:$D$125,10,Cleaned!S$2:S$125,0)</f>
        <v>2</v>
      </c>
      <c r="C362" s="13" t="n">
        <f aca="false">IFERROR(B362/$F362,"")</f>
        <v>1</v>
      </c>
      <c r="D362" s="12" t="n">
        <f aca="false">COUNTIFS(Cleaned!$D$2:$D$125,10,Cleaned!S$2:S$125,1)</f>
        <v>0</v>
      </c>
      <c r="E362" s="13" t="n">
        <f aca="false">IFERROR(D362/$F362,"")</f>
        <v>0</v>
      </c>
      <c r="F362" s="12" t="n">
        <f aca="false">B362+D362</f>
        <v>2</v>
      </c>
    </row>
    <row r="363" customFormat="false" ht="15" hidden="false" customHeight="false" outlineLevel="0" collapsed="false">
      <c r="A363" s="12" t="s">
        <v>714</v>
      </c>
      <c r="B363" s="12" t="n">
        <f aca="false">COUNTIFS(Cleaned!$D$2:$D$125,11,Cleaned!S$2:S$125,0)</f>
        <v>11</v>
      </c>
      <c r="C363" s="13" t="n">
        <f aca="false">IFERROR(B363/$F363,"")</f>
        <v>1</v>
      </c>
      <c r="D363" s="12" t="n">
        <f aca="false">COUNTIFS(Cleaned!$D$2:$D$125,11,Cleaned!S$2:S$125,1)</f>
        <v>0</v>
      </c>
      <c r="E363" s="13" t="n">
        <f aca="false">IFERROR(D363/$F363,"")</f>
        <v>0</v>
      </c>
      <c r="F363" s="12" t="n">
        <f aca="false">B363+D363</f>
        <v>11</v>
      </c>
    </row>
    <row r="364" customFormat="false" ht="15" hidden="false" customHeight="false" outlineLevel="0" collapsed="false">
      <c r="A364" s="12" t="s">
        <v>715</v>
      </c>
      <c r="B364" s="12" t="n">
        <f aca="false">COUNTIFS(Cleaned!$D$2:$D$125,12,Cleaned!S$2:S$125,0)</f>
        <v>5</v>
      </c>
      <c r="C364" s="13" t="n">
        <f aca="false">IFERROR(B364/$F364,"")</f>
        <v>1</v>
      </c>
      <c r="D364" s="12" t="n">
        <f aca="false">COUNTIFS(Cleaned!$D$2:$D$125,12,Cleaned!S$2:S$125,1)</f>
        <v>0</v>
      </c>
      <c r="E364" s="13" t="n">
        <f aca="false">IFERROR(D364/$F364,"")</f>
        <v>0</v>
      </c>
      <c r="F364" s="12" t="n">
        <f aca="false">B364+D364</f>
        <v>5</v>
      </c>
    </row>
    <row r="365" customFormat="false" ht="15" hidden="false" customHeight="false" outlineLevel="0" collapsed="false">
      <c r="A365" s="11" t="s">
        <v>716</v>
      </c>
      <c r="B365" s="11" t="n">
        <f aca="false">SUM(B353:B364)</f>
        <v>73</v>
      </c>
      <c r="C365" s="14" t="n">
        <f aca="false">IFERROR(B365/$F365,"")</f>
        <v>0.935897435897436</v>
      </c>
      <c r="D365" s="11" t="n">
        <f aca="false">SUM(D353:D364)</f>
        <v>5</v>
      </c>
      <c r="E365" s="14" t="n">
        <f aca="false">IFERROR(D365/$F365,"")</f>
        <v>0.0641025641025641</v>
      </c>
      <c r="F365" s="11" t="n">
        <f aca="false">SUM(F353:F364)</f>
        <v>78</v>
      </c>
    </row>
    <row r="368" customFormat="false" ht="15" hidden="false" customHeight="false" outlineLevel="0" collapsed="false">
      <c r="A368" s="6" t="s">
        <v>20</v>
      </c>
      <c r="B368" s="7" t="s">
        <v>733</v>
      </c>
    </row>
    <row r="369" customFormat="false" ht="15" hidden="false" customHeight="false" outlineLevel="0" collapsed="false">
      <c r="A369" s="11" t="s">
        <v>734</v>
      </c>
      <c r="B369" s="9" t="s">
        <v>694</v>
      </c>
      <c r="C369" s="9" t="s">
        <v>735</v>
      </c>
      <c r="D369" s="9" t="s">
        <v>736</v>
      </c>
      <c r="E369" s="9" t="s">
        <v>737</v>
      </c>
      <c r="F369" s="9" t="s">
        <v>738</v>
      </c>
    </row>
    <row r="370" customFormat="false" ht="15" hidden="false" customHeight="false" outlineLevel="0" collapsed="false">
      <c r="B370" s="12" t="n">
        <f aca="false">COUNT(Cleaned!$U$2:$U$125)</f>
        <v>53</v>
      </c>
      <c r="C370" s="12" t="n">
        <f aca="false">IFERROR(AVERAGE(Cleaned!$U$2:$U$125),"")</f>
        <v>9.37566981132076</v>
      </c>
      <c r="D370" s="12" t="n">
        <f aca="false">IFERROR(MEDIAN(Cleaned!$U$2:$U$125),"")</f>
        <v>7</v>
      </c>
      <c r="E370" s="12" t="n">
        <f aca="false">IFERROR(MIN(Cleaned!$U$2:$U$125),"")</f>
        <v>0</v>
      </c>
      <c r="F370" s="12" t="n">
        <f aca="false">IFERROR(MAX(Cleaned!$U$2:$U$125),"")</f>
        <v>40</v>
      </c>
    </row>
    <row r="371" customFormat="false" ht="15" hidden="false" customHeight="false" outlineLevel="0" collapsed="false">
      <c r="A371" s="11" t="s">
        <v>697</v>
      </c>
      <c r="B371" s="9" t="s">
        <v>739</v>
      </c>
      <c r="C371" s="9" t="s">
        <v>735</v>
      </c>
    </row>
    <row r="372" customFormat="false" ht="15" hidden="false" customHeight="false" outlineLevel="0" collapsed="false">
      <c r="A372" s="12" t="s">
        <v>698</v>
      </c>
      <c r="B372" s="12" t="n">
        <f aca="false">COUNTIFS(Cleaned!$C$2:$C$125,1,Cleaned!U$2:U$125,"&lt;&gt;")</f>
        <v>13</v>
      </c>
      <c r="C372" s="15" t="n">
        <f aca="false">IF(B372=0,"",AVERAGEIF(Cleaned!$C$2:$C$125,1,Cleaned!U$2:U$125))</f>
        <v>11.7408076923077</v>
      </c>
    </row>
    <row r="373" customFormat="false" ht="15" hidden="false" customHeight="false" outlineLevel="0" collapsed="false">
      <c r="A373" s="12" t="s">
        <v>699</v>
      </c>
      <c r="B373" s="12" t="n">
        <f aca="false">COUNTIFS(Cleaned!$C$2:$C$125,2,Cleaned!U$2:U$125,"&lt;&gt;")</f>
        <v>9</v>
      </c>
      <c r="C373" s="15" t="n">
        <f aca="false">IF(B373=0,"",AVERAGEIF(Cleaned!$C$2:$C$125,2,Cleaned!U$2:U$125))</f>
        <v>7.77944444444445</v>
      </c>
    </row>
    <row r="374" customFormat="false" ht="15" hidden="false" customHeight="false" outlineLevel="0" collapsed="false">
      <c r="A374" s="12" t="s">
        <v>700</v>
      </c>
      <c r="B374" s="12" t="n">
        <f aca="false">COUNTIFS(Cleaned!$C$2:$C$125,3,Cleaned!U$2:U$125,"&lt;&gt;")</f>
        <v>11</v>
      </c>
      <c r="C374" s="15" t="n">
        <f aca="false">IF(B374=0,"",AVERAGEIF(Cleaned!$C$2:$C$125,3,Cleaned!U$2:U$125))</f>
        <v>6.03727272727273</v>
      </c>
    </row>
    <row r="375" customFormat="false" ht="15" hidden="false" customHeight="false" outlineLevel="0" collapsed="false">
      <c r="A375" s="12" t="s">
        <v>701</v>
      </c>
      <c r="B375" s="12" t="n">
        <f aca="false">COUNTIFS(Cleaned!$C$2:$C$125,4,Cleaned!U$2:U$125,"&lt;&gt;")</f>
        <v>11</v>
      </c>
      <c r="C375" s="15" t="n">
        <f aca="false">IF(B375=0,"",AVERAGEIF(Cleaned!$C$2:$C$125,4,Cleaned!U$2:U$125))</f>
        <v>10.6286363636364</v>
      </c>
    </row>
    <row r="376" customFormat="false" ht="15" hidden="false" customHeight="false" outlineLevel="0" collapsed="false">
      <c r="A376" s="12" t="s">
        <v>702</v>
      </c>
      <c r="B376" s="12" t="n">
        <f aca="false">COUNTIFS(Cleaned!$C$2:$C$125,5,Cleaned!U$2:U$125,"&lt;&gt;")</f>
        <v>9</v>
      </c>
      <c r="C376" s="15" t="n">
        <f aca="false">IF(B376=0,"",AVERAGEIF(Cleaned!$C$2:$C$125,5,Cleaned!U$2:U$125))</f>
        <v>10.1044444444444</v>
      </c>
    </row>
    <row r="377" customFormat="false" ht="15" hidden="false" customHeight="false" outlineLevel="0" collapsed="false">
      <c r="A377" s="11" t="s">
        <v>3</v>
      </c>
      <c r="B377" s="9" t="s">
        <v>739</v>
      </c>
      <c r="C377" s="9" t="s">
        <v>735</v>
      </c>
    </row>
    <row r="378" customFormat="false" ht="15" hidden="false" customHeight="false" outlineLevel="0" collapsed="false">
      <c r="A378" s="12" t="s">
        <v>704</v>
      </c>
      <c r="B378" s="12" t="n">
        <f aca="false">COUNTIFS(Cleaned!$D$2:$D$125,1,Cleaned!U$2:U$125,"&lt;&gt;")</f>
        <v>8</v>
      </c>
      <c r="C378" s="15" t="n">
        <f aca="false">IF(B378=0,"",AVERAGEIF(Cleaned!$D$2:$D$125,1,Cleaned!U$2:U$125))</f>
        <v>5.803125</v>
      </c>
    </row>
    <row r="379" customFormat="false" ht="15" hidden="false" customHeight="false" outlineLevel="0" collapsed="false">
      <c r="A379" s="12" t="s">
        <v>705</v>
      </c>
      <c r="B379" s="12" t="n">
        <f aca="false">COUNTIFS(Cleaned!$D$2:$D$125,2,Cleaned!U$2:U$125,"&lt;&gt;")</f>
        <v>7</v>
      </c>
      <c r="C379" s="15" t="n">
        <f aca="false">IF(B379=0,"",AVERAGEIF(Cleaned!$D$2:$D$125,2,Cleaned!U$2:U$125))</f>
        <v>3.44142857142857</v>
      </c>
    </row>
    <row r="380" customFormat="false" ht="15" hidden="false" customHeight="false" outlineLevel="0" collapsed="false">
      <c r="A380" s="12" t="s">
        <v>706</v>
      </c>
      <c r="B380" s="12" t="n">
        <f aca="false">COUNTIFS(Cleaned!$D$2:$D$125,3,Cleaned!U$2:U$125,"&lt;&gt;")</f>
        <v>7</v>
      </c>
      <c r="C380" s="15" t="n">
        <f aca="false">IF(B380=0,"",AVERAGEIF(Cleaned!$D$2:$D$125,3,Cleaned!U$2:U$125))</f>
        <v>14.5714285714286</v>
      </c>
    </row>
    <row r="381" customFormat="false" ht="15" hidden="false" customHeight="false" outlineLevel="0" collapsed="false">
      <c r="A381" s="12" t="s">
        <v>707</v>
      </c>
      <c r="B381" s="12" t="n">
        <f aca="false">COUNTIFS(Cleaned!$D$2:$D$125,4,Cleaned!U$2:U$125,"&lt;&gt;")</f>
        <v>5</v>
      </c>
      <c r="C381" s="15" t="n">
        <f aca="false">IF(B381=0,"",AVERAGEIF(Cleaned!$D$2:$D$125,4,Cleaned!U$2:U$125))</f>
        <v>10.02</v>
      </c>
    </row>
    <row r="382" customFormat="false" ht="15" hidden="false" customHeight="false" outlineLevel="0" collapsed="false">
      <c r="A382" s="12" t="s">
        <v>708</v>
      </c>
      <c r="B382" s="12" t="n">
        <f aca="false">COUNTIFS(Cleaned!$D$2:$D$125,5,Cleaned!U$2:U$125,"&lt;&gt;")</f>
        <v>1</v>
      </c>
      <c r="C382" s="15" t="n">
        <f aca="false">IF(B382=0,"",AVERAGEIF(Cleaned!$D$2:$D$125,5,Cleaned!U$2:U$125))</f>
        <v>6.65</v>
      </c>
    </row>
    <row r="383" customFormat="false" ht="15" hidden="false" customHeight="false" outlineLevel="0" collapsed="false">
      <c r="A383" s="12" t="s">
        <v>709</v>
      </c>
      <c r="B383" s="12" t="n">
        <f aca="false">COUNTIFS(Cleaned!$D$2:$D$125,6,Cleaned!U$2:U$125,"&lt;&gt;")</f>
        <v>3</v>
      </c>
      <c r="C383" s="15" t="n">
        <f aca="false">IF(B383=0,"",AVERAGEIF(Cleaned!$D$2:$D$125,6,Cleaned!U$2:U$125))</f>
        <v>8.33833333333333</v>
      </c>
    </row>
    <row r="384" customFormat="false" ht="15" hidden="false" customHeight="false" outlineLevel="0" collapsed="false">
      <c r="A384" s="12" t="s">
        <v>710</v>
      </c>
      <c r="B384" s="12" t="n">
        <f aca="false">COUNTIFS(Cleaned!$D$2:$D$125,7,Cleaned!U$2:U$125,"&lt;&gt;")</f>
        <v>5</v>
      </c>
      <c r="C384" s="15" t="n">
        <f aca="false">IF(B384=0,"",AVERAGEIF(Cleaned!$D$2:$D$125,7,Cleaned!U$2:U$125))</f>
        <v>17</v>
      </c>
    </row>
    <row r="385" customFormat="false" ht="15" hidden="false" customHeight="false" outlineLevel="0" collapsed="false">
      <c r="A385" s="12" t="s">
        <v>711</v>
      </c>
      <c r="B385" s="12" t="n">
        <f aca="false">COUNTIFS(Cleaned!$D$2:$D$125,8,Cleaned!U$2:U$125,"&lt;&gt;")</f>
        <v>3</v>
      </c>
      <c r="C385" s="15" t="n">
        <f aca="false">IF(B385=0,"",AVERAGEIF(Cleaned!$D$2:$D$125,8,Cleaned!U$2:U$125))</f>
        <v>7.5</v>
      </c>
    </row>
    <row r="386" customFormat="false" ht="15" hidden="false" customHeight="false" outlineLevel="0" collapsed="false">
      <c r="A386" s="12" t="s">
        <v>712</v>
      </c>
      <c r="B386" s="12" t="n">
        <f aca="false">COUNTIFS(Cleaned!$D$2:$D$125,9,Cleaned!U$2:U$125,"&lt;&gt;")</f>
        <v>1</v>
      </c>
      <c r="C386" s="15" t="n">
        <f aca="false">IF(B386=0,"",AVERAGEIF(Cleaned!$D$2:$D$125,9,Cleaned!U$2:U$125))</f>
        <v>10</v>
      </c>
    </row>
    <row r="387" customFormat="false" ht="15" hidden="false" customHeight="false" outlineLevel="0" collapsed="false">
      <c r="A387" s="12" t="s">
        <v>713</v>
      </c>
      <c r="B387" s="12" t="n">
        <f aca="false">COUNTIFS(Cleaned!$D$2:$D$125,10,Cleaned!U$2:U$125,"&lt;&gt;")</f>
        <v>2</v>
      </c>
      <c r="C387" s="15" t="n">
        <f aca="false">IF(B387=0,"",AVERAGEIF(Cleaned!$D$2:$D$125,10,Cleaned!U$2:U$125))</f>
        <v>0.015</v>
      </c>
    </row>
    <row r="388" customFormat="false" ht="15" hidden="false" customHeight="false" outlineLevel="0" collapsed="false">
      <c r="A388" s="12" t="s">
        <v>714</v>
      </c>
      <c r="B388" s="12" t="n">
        <f aca="false">COUNTIFS(Cleaned!$D$2:$D$125,11,Cleaned!U$2:U$125,"&lt;&gt;")</f>
        <v>8</v>
      </c>
      <c r="C388" s="15" t="n">
        <f aca="false">IF(B388=0,"",AVERAGEIF(Cleaned!$D$2:$D$125,11,Cleaned!U$2:U$125))</f>
        <v>12.5000625</v>
      </c>
    </row>
    <row r="389" customFormat="false" ht="15" hidden="false" customHeight="false" outlineLevel="0" collapsed="false">
      <c r="A389" s="12" t="s">
        <v>715</v>
      </c>
      <c r="B389" s="12" t="n">
        <f aca="false">COUNTIFS(Cleaned!$D$2:$D$125,12,Cleaned!U$2:U$125,"&lt;&gt;")</f>
        <v>3</v>
      </c>
      <c r="C389" s="15" t="n">
        <f aca="false">IF(B389=0,"",AVERAGEIF(Cleaned!$D$2:$D$125,12,Cleaned!U$2:U$125))</f>
        <v>8.36666666666667</v>
      </c>
    </row>
    <row r="392" customFormat="false" ht="15" hidden="false" customHeight="false" outlineLevel="0" collapsed="false">
      <c r="A392" s="6" t="s">
        <v>21</v>
      </c>
      <c r="B392" s="7" t="s">
        <v>740</v>
      </c>
    </row>
    <row r="393" customFormat="false" ht="15" hidden="false" customHeight="false" outlineLevel="0" collapsed="false">
      <c r="A393" s="11" t="s">
        <v>734</v>
      </c>
      <c r="B393" s="9" t="s">
        <v>694</v>
      </c>
      <c r="C393" s="9" t="s">
        <v>735</v>
      </c>
      <c r="D393" s="9" t="s">
        <v>736</v>
      </c>
      <c r="E393" s="9" t="s">
        <v>737</v>
      </c>
      <c r="F393" s="9" t="s">
        <v>738</v>
      </c>
    </row>
    <row r="394" customFormat="false" ht="15" hidden="false" customHeight="false" outlineLevel="0" collapsed="false">
      <c r="B394" s="12" t="n">
        <f aca="false">COUNT(Cleaned!$V$2:$V$125)</f>
        <v>9</v>
      </c>
      <c r="C394" s="12" t="n">
        <f aca="false">IFERROR(AVERAGE(Cleaned!$V$2:$V$125),"")</f>
        <v>0.267777777777778</v>
      </c>
      <c r="D394" s="12" t="n">
        <f aca="false">IFERROR(MEDIAN(Cleaned!$V$2:$V$125),"")</f>
        <v>0.015</v>
      </c>
      <c r="E394" s="12" t="n">
        <f aca="false">IFERROR(MIN(Cleaned!$V$2:$V$125),"")</f>
        <v>0</v>
      </c>
      <c r="F394" s="12" t="n">
        <f aca="false">IFERROR(MAX(Cleaned!$V$2:$V$125),"")</f>
        <v>1.5</v>
      </c>
    </row>
    <row r="395" customFormat="false" ht="15" hidden="false" customHeight="false" outlineLevel="0" collapsed="false">
      <c r="A395" s="11" t="s">
        <v>697</v>
      </c>
      <c r="B395" s="9" t="s">
        <v>739</v>
      </c>
      <c r="C395" s="9" t="s">
        <v>735</v>
      </c>
    </row>
    <row r="396" customFormat="false" ht="15" hidden="false" customHeight="false" outlineLevel="0" collapsed="false">
      <c r="A396" s="12" t="s">
        <v>698</v>
      </c>
      <c r="B396" s="12" t="n">
        <f aca="false">COUNTIFS(Cleaned!$C$2:$C$125,1,Cleaned!V$2:V$125,"&lt;&gt;")</f>
        <v>2</v>
      </c>
      <c r="C396" s="15" t="n">
        <f aca="false">IF(B396=0,"",AVERAGEIF(Cleaned!$C$2:$C$125,1,Cleaned!V$2:V$125))</f>
        <v>0.0175</v>
      </c>
    </row>
    <row r="397" customFormat="false" ht="15" hidden="false" customHeight="false" outlineLevel="0" collapsed="false">
      <c r="A397" s="12" t="s">
        <v>699</v>
      </c>
      <c r="B397" s="12" t="n">
        <f aca="false">COUNTIFS(Cleaned!$C$2:$C$125,2,Cleaned!V$2:V$125,"&lt;&gt;")</f>
        <v>2</v>
      </c>
      <c r="C397" s="15" t="n">
        <f aca="false">IF(B397=0,"",AVERAGEIF(Cleaned!$C$2:$C$125,2,Cleaned!V$2:V$125))</f>
        <v>0.0125</v>
      </c>
    </row>
    <row r="398" customFormat="false" ht="15" hidden="false" customHeight="false" outlineLevel="0" collapsed="false">
      <c r="A398" s="12" t="s">
        <v>700</v>
      </c>
      <c r="B398" s="12" t="n">
        <f aca="false">COUNTIFS(Cleaned!$C$2:$C$125,3,Cleaned!V$2:V$125,"&lt;&gt;")</f>
        <v>1</v>
      </c>
      <c r="C398" s="15" t="n">
        <f aca="false">IF(B398=0,"",AVERAGEIF(Cleaned!$C$2:$C$125,3,Cleaned!V$2:V$125))</f>
        <v>0.09</v>
      </c>
    </row>
    <row r="399" customFormat="false" ht="15" hidden="false" customHeight="false" outlineLevel="0" collapsed="false">
      <c r="A399" s="12" t="s">
        <v>701</v>
      </c>
      <c r="B399" s="12" t="n">
        <f aca="false">COUNTIFS(Cleaned!$C$2:$C$125,4,Cleaned!V$2:V$125,"&lt;&gt;")</f>
        <v>3</v>
      </c>
      <c r="C399" s="15" t="n">
        <f aca="false">IF(B399=0,"",AVERAGEIF(Cleaned!$C$2:$C$125,4,Cleaned!V$2:V$125))</f>
        <v>0.75</v>
      </c>
    </row>
    <row r="400" customFormat="false" ht="15" hidden="false" customHeight="false" outlineLevel="0" collapsed="false">
      <c r="A400" s="12" t="s">
        <v>702</v>
      </c>
      <c r="B400" s="12" t="n">
        <f aca="false">COUNTIFS(Cleaned!$C$2:$C$125,5,Cleaned!V$2:V$125,"&lt;&gt;")</f>
        <v>1</v>
      </c>
      <c r="C400" s="15" t="n">
        <f aca="false">IF(B400=0,"",AVERAGEIF(Cleaned!$C$2:$C$125,5,Cleaned!V$2:V$125))</f>
        <v>0.01</v>
      </c>
    </row>
    <row r="401" customFormat="false" ht="15" hidden="false" customHeight="false" outlineLevel="0" collapsed="false">
      <c r="A401" s="11" t="s">
        <v>3</v>
      </c>
      <c r="B401" s="9" t="s">
        <v>739</v>
      </c>
      <c r="C401" s="9" t="s">
        <v>735</v>
      </c>
    </row>
    <row r="402" customFormat="false" ht="15" hidden="false" customHeight="false" outlineLevel="0" collapsed="false">
      <c r="A402" s="12" t="s">
        <v>704</v>
      </c>
      <c r="B402" s="12" t="n">
        <f aca="false">COUNTIFS(Cleaned!$D$2:$D$125,1,Cleaned!V$2:V$125,"&lt;&gt;")</f>
        <v>1</v>
      </c>
      <c r="C402" s="15" t="n">
        <f aca="false">IF(B402=0,"",AVERAGEIF(Cleaned!$D$2:$D$125,1,Cleaned!V$2:V$125))</f>
        <v>0.015</v>
      </c>
    </row>
    <row r="403" customFormat="false" ht="15" hidden="false" customHeight="false" outlineLevel="0" collapsed="false">
      <c r="A403" s="12" t="s">
        <v>705</v>
      </c>
      <c r="B403" s="12" t="n">
        <f aca="false">COUNTIFS(Cleaned!$D$2:$D$125,2,Cleaned!V$2:V$125,"&lt;&gt;")</f>
        <v>1</v>
      </c>
      <c r="C403" s="15" t="n">
        <f aca="false">IF(B403=0,"",AVERAGEIF(Cleaned!$D$2:$D$125,2,Cleaned!V$2:V$125))</f>
        <v>0.01</v>
      </c>
    </row>
    <row r="404" customFormat="false" ht="15" hidden="false" customHeight="false" outlineLevel="0" collapsed="false">
      <c r="A404" s="12" t="s">
        <v>706</v>
      </c>
      <c r="B404" s="12" t="n">
        <f aca="false">COUNTIFS(Cleaned!$D$2:$D$125,3,Cleaned!V$2:V$125,"&lt;&gt;")</f>
        <v>0</v>
      </c>
      <c r="C404" s="15" t="str">
        <f aca="false">IF(B404=0,"",AVERAGEIF(Cleaned!$D$2:$D$125,3,Cleaned!V$2:V$125))</f>
        <v/>
      </c>
    </row>
    <row r="405" customFormat="false" ht="15" hidden="false" customHeight="false" outlineLevel="0" collapsed="false">
      <c r="A405" s="12" t="s">
        <v>707</v>
      </c>
      <c r="B405" s="12" t="n">
        <f aca="false">COUNTIFS(Cleaned!$D$2:$D$125,4,Cleaned!V$2:V$125,"&lt;&gt;")</f>
        <v>2</v>
      </c>
      <c r="C405" s="15" t="n">
        <f aca="false">IF(B405=0,"",AVERAGEIF(Cleaned!$D$2:$D$125,4,Cleaned!V$2:V$125))</f>
        <v>0.045</v>
      </c>
    </row>
    <row r="406" customFormat="false" ht="15" hidden="false" customHeight="false" outlineLevel="0" collapsed="false">
      <c r="A406" s="12" t="s">
        <v>708</v>
      </c>
      <c r="B406" s="12" t="n">
        <f aca="false">COUNTIFS(Cleaned!$D$2:$D$125,5,Cleaned!V$2:V$125,"&lt;&gt;")</f>
        <v>0</v>
      </c>
      <c r="C406" s="15" t="str">
        <f aca="false">IF(B406=0,"",AVERAGEIF(Cleaned!$D$2:$D$125,5,Cleaned!V$2:V$125))</f>
        <v/>
      </c>
    </row>
    <row r="407" customFormat="false" ht="15" hidden="false" customHeight="false" outlineLevel="0" collapsed="false">
      <c r="A407" s="12" t="s">
        <v>709</v>
      </c>
      <c r="B407" s="12" t="n">
        <f aca="false">COUNTIFS(Cleaned!$D$2:$D$125,6,Cleaned!V$2:V$125,"&lt;&gt;")</f>
        <v>2</v>
      </c>
      <c r="C407" s="15" t="n">
        <f aca="false">IF(B407=0,"",AVERAGEIF(Cleaned!$D$2:$D$125,6,Cleaned!V$2:V$125))</f>
        <v>1.125</v>
      </c>
    </row>
    <row r="408" customFormat="false" ht="15" hidden="false" customHeight="false" outlineLevel="0" collapsed="false">
      <c r="A408" s="12" t="s">
        <v>710</v>
      </c>
      <c r="B408" s="12" t="n">
        <f aca="false">COUNTIFS(Cleaned!$D$2:$D$125,7,Cleaned!V$2:V$125,"&lt;&gt;")</f>
        <v>0</v>
      </c>
      <c r="C408" s="15" t="str">
        <f aca="false">IF(B408=0,"",AVERAGEIF(Cleaned!$D$2:$D$125,7,Cleaned!V$2:V$125))</f>
        <v/>
      </c>
    </row>
    <row r="409" customFormat="false" ht="15" hidden="false" customHeight="false" outlineLevel="0" collapsed="false">
      <c r="A409" s="12" t="s">
        <v>711</v>
      </c>
      <c r="B409" s="12" t="n">
        <f aca="false">COUNTIFS(Cleaned!$D$2:$D$125,8,Cleaned!V$2:V$125,"&lt;&gt;")</f>
        <v>0</v>
      </c>
      <c r="C409" s="15" t="str">
        <f aca="false">IF(B409=0,"",AVERAGEIF(Cleaned!$D$2:$D$125,8,Cleaned!V$2:V$125))</f>
        <v/>
      </c>
    </row>
    <row r="410" customFormat="false" ht="15" hidden="false" customHeight="false" outlineLevel="0" collapsed="false">
      <c r="A410" s="12" t="s">
        <v>712</v>
      </c>
      <c r="B410" s="12" t="n">
        <f aca="false">COUNTIFS(Cleaned!$D$2:$D$125,9,Cleaned!V$2:V$125,"&lt;&gt;")</f>
        <v>0</v>
      </c>
      <c r="C410" s="15" t="str">
        <f aca="false">IF(B410=0,"",AVERAGEIF(Cleaned!$D$2:$D$125,9,Cleaned!V$2:V$125))</f>
        <v/>
      </c>
    </row>
    <row r="411" customFormat="false" ht="15" hidden="false" customHeight="false" outlineLevel="0" collapsed="false">
      <c r="A411" s="12" t="s">
        <v>713</v>
      </c>
      <c r="B411" s="12" t="n">
        <f aca="false">COUNTIFS(Cleaned!$D$2:$D$125,10,Cleaned!V$2:V$125,"&lt;&gt;")</f>
        <v>1</v>
      </c>
      <c r="C411" s="15" t="n">
        <f aca="false">IF(B411=0,"",AVERAGEIF(Cleaned!$D$2:$D$125,10,Cleaned!V$2:V$125))</f>
        <v>0.015</v>
      </c>
    </row>
    <row r="412" customFormat="false" ht="15" hidden="false" customHeight="false" outlineLevel="0" collapsed="false">
      <c r="A412" s="12" t="s">
        <v>714</v>
      </c>
      <c r="B412" s="12" t="n">
        <f aca="false">COUNTIFS(Cleaned!$D$2:$D$125,11,Cleaned!V$2:V$125,"&lt;&gt;")</f>
        <v>0</v>
      </c>
      <c r="C412" s="15" t="str">
        <f aca="false">IF(B412=0,"",AVERAGEIF(Cleaned!$D$2:$D$125,11,Cleaned!V$2:V$125))</f>
        <v/>
      </c>
    </row>
    <row r="413" customFormat="false" ht="15" hidden="false" customHeight="false" outlineLevel="0" collapsed="false">
      <c r="A413" s="12" t="s">
        <v>715</v>
      </c>
      <c r="B413" s="12" t="n">
        <f aca="false">COUNTIFS(Cleaned!$D$2:$D$125,12,Cleaned!V$2:V$125,"&lt;&gt;")</f>
        <v>2</v>
      </c>
      <c r="C413" s="15" t="n">
        <f aca="false">IF(B413=0,"",AVERAGEIF(Cleaned!$D$2:$D$125,12,Cleaned!V$2:V$125))</f>
        <v>0.015</v>
      </c>
    </row>
    <row r="416" customFormat="false" ht="15" hidden="false" customHeight="false" outlineLevel="0" collapsed="false">
      <c r="A416" s="6" t="s">
        <v>22</v>
      </c>
      <c r="B416" s="7" t="s">
        <v>741</v>
      </c>
    </row>
    <row r="417" customFormat="false" ht="15" hidden="false" customHeight="false" outlineLevel="0" collapsed="false">
      <c r="A417" s="11" t="s">
        <v>734</v>
      </c>
      <c r="B417" s="9" t="s">
        <v>694</v>
      </c>
      <c r="C417" s="9" t="s">
        <v>735</v>
      </c>
      <c r="D417" s="9" t="s">
        <v>736</v>
      </c>
      <c r="E417" s="9" t="s">
        <v>737</v>
      </c>
      <c r="F417" s="9" t="s">
        <v>738</v>
      </c>
    </row>
    <row r="418" customFormat="false" ht="15" hidden="false" customHeight="false" outlineLevel="0" collapsed="false">
      <c r="B418" s="12" t="n">
        <f aca="false">COUNT(Cleaned!$W$2:$W$125)</f>
        <v>49</v>
      </c>
      <c r="C418" s="12" t="n">
        <f aca="false">IFERROR(AVERAGE(Cleaned!$W$2:$W$125),"")</f>
        <v>20.8163265306122</v>
      </c>
      <c r="D418" s="12" t="n">
        <f aca="false">IFERROR(MEDIAN(Cleaned!$W$2:$W$125),"")</f>
        <v>20</v>
      </c>
      <c r="E418" s="12" t="n">
        <f aca="false">IFERROR(MIN(Cleaned!$W$2:$W$125),"")</f>
        <v>0</v>
      </c>
      <c r="F418" s="12" t="n">
        <f aca="false">IFERROR(MAX(Cleaned!$W$2:$W$125),"")</f>
        <v>60</v>
      </c>
    </row>
    <row r="419" customFormat="false" ht="15" hidden="false" customHeight="false" outlineLevel="0" collapsed="false">
      <c r="A419" s="11" t="s">
        <v>697</v>
      </c>
      <c r="B419" s="9" t="s">
        <v>739</v>
      </c>
      <c r="C419" s="9" t="s">
        <v>735</v>
      </c>
    </row>
    <row r="420" customFormat="false" ht="15" hidden="false" customHeight="false" outlineLevel="0" collapsed="false">
      <c r="A420" s="12" t="s">
        <v>698</v>
      </c>
      <c r="B420" s="12" t="n">
        <f aca="false">COUNTIFS(Cleaned!$C$2:$C$125,1,Cleaned!W$2:W$125,"&lt;&gt;")</f>
        <v>12</v>
      </c>
      <c r="C420" s="15" t="n">
        <f aca="false">IF(B420=0,"",AVERAGEIF(Cleaned!$C$2:$C$125,1,Cleaned!W$2:W$125))</f>
        <v>16.25</v>
      </c>
    </row>
    <row r="421" customFormat="false" ht="15" hidden="false" customHeight="false" outlineLevel="0" collapsed="false">
      <c r="A421" s="12" t="s">
        <v>699</v>
      </c>
      <c r="B421" s="12" t="n">
        <f aca="false">COUNTIFS(Cleaned!$C$2:$C$125,2,Cleaned!W$2:W$125,"&lt;&gt;")</f>
        <v>7</v>
      </c>
      <c r="C421" s="15" t="n">
        <f aca="false">IF(B421=0,"",AVERAGEIF(Cleaned!$C$2:$C$125,2,Cleaned!W$2:W$125))</f>
        <v>17.5714285714286</v>
      </c>
    </row>
    <row r="422" customFormat="false" ht="15" hidden="false" customHeight="false" outlineLevel="0" collapsed="false">
      <c r="A422" s="12" t="s">
        <v>700</v>
      </c>
      <c r="B422" s="12" t="n">
        <f aca="false">COUNTIFS(Cleaned!$C$2:$C$125,3,Cleaned!W$2:W$125,"&lt;&gt;")</f>
        <v>11</v>
      </c>
      <c r="C422" s="15" t="n">
        <f aca="false">IF(B422=0,"",AVERAGEIF(Cleaned!$C$2:$C$125,3,Cleaned!W$2:W$125))</f>
        <v>24.8181818181818</v>
      </c>
    </row>
    <row r="423" customFormat="false" ht="15" hidden="false" customHeight="false" outlineLevel="0" collapsed="false">
      <c r="A423" s="12" t="s">
        <v>701</v>
      </c>
      <c r="B423" s="12" t="n">
        <f aca="false">COUNTIFS(Cleaned!$C$2:$C$125,4,Cleaned!W$2:W$125,"&lt;&gt;")</f>
        <v>7</v>
      </c>
      <c r="C423" s="15" t="n">
        <f aca="false">IF(B423=0,"",AVERAGEIF(Cleaned!$C$2:$C$125,4,Cleaned!W$2:W$125))</f>
        <v>30.1428571428571</v>
      </c>
    </row>
    <row r="424" customFormat="false" ht="15" hidden="false" customHeight="false" outlineLevel="0" collapsed="false">
      <c r="A424" s="12" t="s">
        <v>702</v>
      </c>
      <c r="B424" s="12" t="n">
        <f aca="false">COUNTIFS(Cleaned!$C$2:$C$125,5,Cleaned!W$2:W$125,"&lt;&gt;")</f>
        <v>12</v>
      </c>
      <c r="C424" s="15" t="n">
        <f aca="false">IF(B424=0,"",AVERAGEIF(Cleaned!$C$2:$C$125,5,Cleaned!W$2:W$125))</f>
        <v>18.1666666666667</v>
      </c>
    </row>
    <row r="425" customFormat="false" ht="15" hidden="false" customHeight="false" outlineLevel="0" collapsed="false">
      <c r="A425" s="11" t="s">
        <v>3</v>
      </c>
      <c r="B425" s="9" t="s">
        <v>739</v>
      </c>
      <c r="C425" s="9" t="s">
        <v>735</v>
      </c>
    </row>
    <row r="426" customFormat="false" ht="15" hidden="false" customHeight="false" outlineLevel="0" collapsed="false">
      <c r="A426" s="12" t="s">
        <v>704</v>
      </c>
      <c r="B426" s="12" t="n">
        <f aca="false">COUNTIFS(Cleaned!$D$2:$D$125,1,Cleaned!W$2:W$125,"&lt;&gt;")</f>
        <v>9</v>
      </c>
      <c r="C426" s="15" t="n">
        <f aca="false">IF(B426=0,"",AVERAGEIF(Cleaned!$D$2:$D$125,1,Cleaned!W$2:W$125))</f>
        <v>23</v>
      </c>
    </row>
    <row r="427" customFormat="false" ht="15" hidden="false" customHeight="false" outlineLevel="0" collapsed="false">
      <c r="A427" s="12" t="s">
        <v>705</v>
      </c>
      <c r="B427" s="12" t="n">
        <f aca="false">COUNTIFS(Cleaned!$D$2:$D$125,2,Cleaned!W$2:W$125,"&lt;&gt;")</f>
        <v>9</v>
      </c>
      <c r="C427" s="15" t="n">
        <f aca="false">IF(B427=0,"",AVERAGEIF(Cleaned!$D$2:$D$125,2,Cleaned!W$2:W$125))</f>
        <v>18.1111111111111</v>
      </c>
    </row>
    <row r="428" customFormat="false" ht="15" hidden="false" customHeight="false" outlineLevel="0" collapsed="false">
      <c r="A428" s="12" t="s">
        <v>706</v>
      </c>
      <c r="B428" s="12" t="n">
        <f aca="false">COUNTIFS(Cleaned!$D$2:$D$125,3,Cleaned!W$2:W$125,"&lt;&gt;")</f>
        <v>5</v>
      </c>
      <c r="C428" s="15" t="n">
        <f aca="false">IF(B428=0,"",AVERAGEIF(Cleaned!$D$2:$D$125,3,Cleaned!W$2:W$125))</f>
        <v>11.8</v>
      </c>
    </row>
    <row r="429" customFormat="false" ht="15" hidden="false" customHeight="false" outlineLevel="0" collapsed="false">
      <c r="A429" s="12" t="s">
        <v>707</v>
      </c>
      <c r="B429" s="12" t="n">
        <f aca="false">COUNTIFS(Cleaned!$D$2:$D$125,4,Cleaned!W$2:W$125,"&lt;&gt;")</f>
        <v>2</v>
      </c>
      <c r="C429" s="15" t="n">
        <f aca="false">IF(B429=0,"",AVERAGEIF(Cleaned!$D$2:$D$125,4,Cleaned!W$2:W$125))</f>
        <v>30.5</v>
      </c>
    </row>
    <row r="430" customFormat="false" ht="15" hidden="false" customHeight="false" outlineLevel="0" collapsed="false">
      <c r="A430" s="12" t="s">
        <v>708</v>
      </c>
      <c r="B430" s="12" t="n">
        <f aca="false">COUNTIFS(Cleaned!$D$2:$D$125,5,Cleaned!W$2:W$125,"&lt;&gt;")</f>
        <v>1</v>
      </c>
      <c r="C430" s="15" t="n">
        <f aca="false">IF(B430=0,"",AVERAGEIF(Cleaned!$D$2:$D$125,5,Cleaned!W$2:W$125))</f>
        <v>21</v>
      </c>
    </row>
    <row r="431" customFormat="false" ht="15" hidden="false" customHeight="false" outlineLevel="0" collapsed="false">
      <c r="A431" s="12" t="s">
        <v>709</v>
      </c>
      <c r="B431" s="12" t="n">
        <f aca="false">COUNTIFS(Cleaned!$D$2:$D$125,6,Cleaned!W$2:W$125,"&lt;&gt;")</f>
        <v>2</v>
      </c>
      <c r="C431" s="15" t="n">
        <f aca="false">IF(B431=0,"",AVERAGEIF(Cleaned!$D$2:$D$125,6,Cleaned!W$2:W$125))</f>
        <v>13.5</v>
      </c>
    </row>
    <row r="432" customFormat="false" ht="15" hidden="false" customHeight="false" outlineLevel="0" collapsed="false">
      <c r="A432" s="12" t="s">
        <v>710</v>
      </c>
      <c r="B432" s="12" t="n">
        <f aca="false">COUNTIFS(Cleaned!$D$2:$D$125,7,Cleaned!W$2:W$125,"&lt;&gt;")</f>
        <v>4</v>
      </c>
      <c r="C432" s="15" t="n">
        <f aca="false">IF(B432=0,"",AVERAGEIF(Cleaned!$D$2:$D$125,7,Cleaned!W$2:W$125))</f>
        <v>26.25</v>
      </c>
    </row>
    <row r="433" customFormat="false" ht="15" hidden="false" customHeight="false" outlineLevel="0" collapsed="false">
      <c r="A433" s="12" t="s">
        <v>711</v>
      </c>
      <c r="B433" s="12" t="n">
        <f aca="false">COUNTIFS(Cleaned!$D$2:$D$125,8,Cleaned!W$2:W$125,"&lt;&gt;")</f>
        <v>3</v>
      </c>
      <c r="C433" s="15" t="n">
        <f aca="false">IF(B433=0,"",AVERAGEIF(Cleaned!$D$2:$D$125,8,Cleaned!W$2:W$125))</f>
        <v>23.3333333333333</v>
      </c>
    </row>
    <row r="434" customFormat="false" ht="15" hidden="false" customHeight="false" outlineLevel="0" collapsed="false">
      <c r="A434" s="12" t="s">
        <v>712</v>
      </c>
      <c r="B434" s="12" t="n">
        <f aca="false">COUNTIFS(Cleaned!$D$2:$D$125,9,Cleaned!W$2:W$125,"&lt;&gt;")</f>
        <v>1</v>
      </c>
      <c r="C434" s="15" t="n">
        <f aca="false">IF(B434=0,"",AVERAGEIF(Cleaned!$D$2:$D$125,9,Cleaned!W$2:W$125))</f>
        <v>1</v>
      </c>
    </row>
    <row r="435" customFormat="false" ht="15" hidden="false" customHeight="false" outlineLevel="0" collapsed="false">
      <c r="A435" s="12" t="s">
        <v>713</v>
      </c>
      <c r="B435" s="12" t="n">
        <f aca="false">COUNTIFS(Cleaned!$D$2:$D$125,10,Cleaned!W$2:W$125,"&lt;&gt;")</f>
        <v>1</v>
      </c>
      <c r="C435" s="15" t="n">
        <f aca="false">IF(B435=0,"",AVERAGEIF(Cleaned!$D$2:$D$125,10,Cleaned!W$2:W$125))</f>
        <v>1</v>
      </c>
    </row>
    <row r="436" customFormat="false" ht="15" hidden="false" customHeight="false" outlineLevel="0" collapsed="false">
      <c r="A436" s="12" t="s">
        <v>714</v>
      </c>
      <c r="B436" s="12" t="n">
        <f aca="false">COUNTIFS(Cleaned!$D$2:$D$125,11,Cleaned!W$2:W$125,"&lt;&gt;")</f>
        <v>9</v>
      </c>
      <c r="C436" s="15" t="n">
        <f aca="false">IF(B436=0,"",AVERAGEIF(Cleaned!$D$2:$D$125,11,Cleaned!W$2:W$125))</f>
        <v>25.5555555555556</v>
      </c>
    </row>
    <row r="437" customFormat="false" ht="15" hidden="false" customHeight="false" outlineLevel="0" collapsed="false">
      <c r="A437" s="12" t="s">
        <v>715</v>
      </c>
      <c r="B437" s="12" t="n">
        <f aca="false">COUNTIFS(Cleaned!$D$2:$D$125,12,Cleaned!W$2:W$125,"&lt;&gt;")</f>
        <v>3</v>
      </c>
      <c r="C437" s="15" t="n">
        <f aca="false">IF(B437=0,"",AVERAGEIF(Cleaned!$D$2:$D$125,12,Cleaned!W$2:W$125))</f>
        <v>25</v>
      </c>
    </row>
    <row r="440" customFormat="false" ht="15" hidden="false" customHeight="false" outlineLevel="0" collapsed="false">
      <c r="A440" s="6" t="s">
        <v>23</v>
      </c>
      <c r="B440" s="7" t="s">
        <v>742</v>
      </c>
    </row>
    <row r="441" customFormat="false" ht="15" hidden="false" customHeight="false" outlineLevel="0" collapsed="false">
      <c r="A441" s="11" t="s">
        <v>734</v>
      </c>
      <c r="B441" s="9" t="s">
        <v>694</v>
      </c>
      <c r="C441" s="9" t="s">
        <v>735</v>
      </c>
      <c r="D441" s="9" t="s">
        <v>736</v>
      </c>
      <c r="E441" s="9" t="s">
        <v>737</v>
      </c>
      <c r="F441" s="9" t="s">
        <v>738</v>
      </c>
    </row>
    <row r="442" customFormat="false" ht="15" hidden="false" customHeight="false" outlineLevel="0" collapsed="false">
      <c r="B442" s="12" t="n">
        <f aca="false">COUNT(Cleaned!$X$2:$X$125)</f>
        <v>7</v>
      </c>
      <c r="C442" s="12" t="n">
        <f aca="false">IFERROR(AVERAGE(Cleaned!$X$2:$X$125),"")</f>
        <v>4.08357142857143</v>
      </c>
      <c r="D442" s="12" t="n">
        <f aca="false">IFERROR(MEDIAN(Cleaned!$X$2:$X$125),"")</f>
        <v>5</v>
      </c>
      <c r="E442" s="12" t="n">
        <f aca="false">IFERROR(MIN(Cleaned!$X$2:$X$125),"")</f>
        <v>0</v>
      </c>
      <c r="F442" s="12" t="n">
        <f aca="false">IFERROR(MAX(Cleaned!$X$2:$X$125),"")</f>
        <v>10</v>
      </c>
    </row>
    <row r="443" customFormat="false" ht="15" hidden="false" customHeight="false" outlineLevel="0" collapsed="false">
      <c r="A443" s="11" t="s">
        <v>697</v>
      </c>
      <c r="B443" s="9" t="s">
        <v>739</v>
      </c>
      <c r="C443" s="9" t="s">
        <v>735</v>
      </c>
    </row>
    <row r="444" customFormat="false" ht="15" hidden="false" customHeight="false" outlineLevel="0" collapsed="false">
      <c r="A444" s="12" t="s">
        <v>698</v>
      </c>
      <c r="B444" s="12" t="n">
        <f aca="false">COUNTIFS(Cleaned!$C$2:$C$125,1,Cleaned!X$2:X$125,"&lt;&gt;")</f>
        <v>1</v>
      </c>
      <c r="C444" s="15" t="n">
        <f aca="false">IF(B444=0,"",AVERAGEIF(Cleaned!$C$2:$C$125,1,Cleaned!X$2:X$125))</f>
        <v>8.57</v>
      </c>
    </row>
    <row r="445" customFormat="false" ht="15" hidden="false" customHeight="false" outlineLevel="0" collapsed="false">
      <c r="A445" s="12" t="s">
        <v>699</v>
      </c>
      <c r="B445" s="12" t="n">
        <f aca="false">COUNTIFS(Cleaned!$C$2:$C$125,2,Cleaned!X$2:X$125,"&lt;&gt;")</f>
        <v>2</v>
      </c>
      <c r="C445" s="15" t="n">
        <f aca="false">IF(B445=0,"",AVERAGEIF(Cleaned!$C$2:$C$125,2,Cleaned!X$2:X$125))</f>
        <v>2.5075</v>
      </c>
    </row>
    <row r="446" customFormat="false" ht="15" hidden="false" customHeight="false" outlineLevel="0" collapsed="false">
      <c r="A446" s="12" t="s">
        <v>700</v>
      </c>
      <c r="B446" s="12" t="n">
        <f aca="false">COUNTIFS(Cleaned!$C$2:$C$125,3,Cleaned!X$2:X$125,"&lt;&gt;")</f>
        <v>1</v>
      </c>
      <c r="C446" s="15" t="n">
        <f aca="false">IF(B446=0,"",AVERAGEIF(Cleaned!$C$2:$C$125,3,Cleaned!X$2:X$125))</f>
        <v>0</v>
      </c>
    </row>
    <row r="447" customFormat="false" ht="15" hidden="false" customHeight="false" outlineLevel="0" collapsed="false">
      <c r="A447" s="12" t="s">
        <v>701</v>
      </c>
      <c r="B447" s="12" t="n">
        <f aca="false">COUNTIFS(Cleaned!$C$2:$C$125,4,Cleaned!X$2:X$125,"&lt;&gt;")</f>
        <v>3</v>
      </c>
      <c r="C447" s="15" t="n">
        <f aca="false">IF(B447=0,"",AVERAGEIF(Cleaned!$C$2:$C$125,4,Cleaned!X$2:X$125))</f>
        <v>5</v>
      </c>
    </row>
    <row r="448" customFormat="false" ht="15" hidden="false" customHeight="false" outlineLevel="0" collapsed="false">
      <c r="A448" s="12" t="s">
        <v>702</v>
      </c>
      <c r="B448" s="12" t="n">
        <f aca="false">COUNTIFS(Cleaned!$C$2:$C$125,5,Cleaned!X$2:X$125,"&lt;&gt;")</f>
        <v>0</v>
      </c>
      <c r="C448" s="15" t="str">
        <f aca="false">IF(B448=0,"",AVERAGEIF(Cleaned!$C$2:$C$125,5,Cleaned!X$2:X$125))</f>
        <v/>
      </c>
    </row>
    <row r="449" customFormat="false" ht="15" hidden="false" customHeight="false" outlineLevel="0" collapsed="false">
      <c r="A449" s="11" t="s">
        <v>3</v>
      </c>
      <c r="B449" s="9" t="s">
        <v>739</v>
      </c>
      <c r="C449" s="9" t="s">
        <v>735</v>
      </c>
    </row>
    <row r="450" customFormat="false" ht="15" hidden="false" customHeight="false" outlineLevel="0" collapsed="false">
      <c r="A450" s="12" t="s">
        <v>704</v>
      </c>
      <c r="B450" s="12" t="n">
        <f aca="false">COUNTIFS(Cleaned!$D$2:$D$125,1,Cleaned!X$2:X$125,"&lt;&gt;")</f>
        <v>0</v>
      </c>
      <c r="C450" s="15" t="str">
        <f aca="false">IF(B450=0,"",AVERAGEIF(Cleaned!$D$2:$D$125,1,Cleaned!X$2:X$125))</f>
        <v/>
      </c>
    </row>
    <row r="451" customFormat="false" ht="15" hidden="false" customHeight="false" outlineLevel="0" collapsed="false">
      <c r="A451" s="12" t="s">
        <v>705</v>
      </c>
      <c r="B451" s="12" t="n">
        <f aca="false">COUNTIFS(Cleaned!$D$2:$D$125,2,Cleaned!X$2:X$125,"&lt;&gt;")</f>
        <v>0</v>
      </c>
      <c r="C451" s="15" t="str">
        <f aca="false">IF(B451=0,"",AVERAGEIF(Cleaned!$D$2:$D$125,2,Cleaned!X$2:X$125))</f>
        <v/>
      </c>
    </row>
    <row r="452" customFormat="false" ht="15" hidden="false" customHeight="false" outlineLevel="0" collapsed="false">
      <c r="A452" s="12" t="s">
        <v>706</v>
      </c>
      <c r="B452" s="12" t="n">
        <f aca="false">COUNTIFS(Cleaned!$D$2:$D$125,3,Cleaned!X$2:X$125,"&lt;&gt;")</f>
        <v>0</v>
      </c>
      <c r="C452" s="15" t="str">
        <f aca="false">IF(B452=0,"",AVERAGEIF(Cleaned!$D$2:$D$125,3,Cleaned!X$2:X$125))</f>
        <v/>
      </c>
    </row>
    <row r="453" customFormat="false" ht="15" hidden="false" customHeight="false" outlineLevel="0" collapsed="false">
      <c r="A453" s="12" t="s">
        <v>707</v>
      </c>
      <c r="B453" s="12" t="n">
        <f aca="false">COUNTIFS(Cleaned!$D$2:$D$125,4,Cleaned!X$2:X$125,"&lt;&gt;")</f>
        <v>3</v>
      </c>
      <c r="C453" s="15" t="n">
        <f aca="false">IF(B453=0,"",AVERAGEIF(Cleaned!$D$2:$D$125,4,Cleaned!X$2:X$125))</f>
        <v>1.66666666666667</v>
      </c>
    </row>
    <row r="454" customFormat="false" ht="15" hidden="false" customHeight="false" outlineLevel="0" collapsed="false">
      <c r="A454" s="12" t="s">
        <v>708</v>
      </c>
      <c r="B454" s="12" t="n">
        <f aca="false">COUNTIFS(Cleaned!$D$2:$D$125,5,Cleaned!X$2:X$125,"&lt;&gt;")</f>
        <v>0</v>
      </c>
      <c r="C454" s="15" t="str">
        <f aca="false">IF(B454=0,"",AVERAGEIF(Cleaned!$D$2:$D$125,5,Cleaned!X$2:X$125))</f>
        <v/>
      </c>
    </row>
    <row r="455" customFormat="false" ht="15" hidden="false" customHeight="false" outlineLevel="0" collapsed="false">
      <c r="A455" s="12" t="s">
        <v>709</v>
      </c>
      <c r="B455" s="12" t="n">
        <f aca="false">COUNTIFS(Cleaned!$D$2:$D$125,6,Cleaned!X$2:X$125,"&lt;&gt;")</f>
        <v>1</v>
      </c>
      <c r="C455" s="15" t="n">
        <f aca="false">IF(B455=0,"",AVERAGEIF(Cleaned!$D$2:$D$125,6,Cleaned!X$2:X$125))</f>
        <v>10</v>
      </c>
    </row>
    <row r="456" customFormat="false" ht="15" hidden="false" customHeight="false" outlineLevel="0" collapsed="false">
      <c r="A456" s="12" t="s">
        <v>710</v>
      </c>
      <c r="B456" s="12" t="n">
        <f aca="false">COUNTIFS(Cleaned!$D$2:$D$125,7,Cleaned!X$2:X$125,"&lt;&gt;")</f>
        <v>0</v>
      </c>
      <c r="C456" s="15" t="str">
        <f aca="false">IF(B456=0,"",AVERAGEIF(Cleaned!$D$2:$D$125,7,Cleaned!X$2:X$125))</f>
        <v/>
      </c>
    </row>
    <row r="457" customFormat="false" ht="15" hidden="false" customHeight="false" outlineLevel="0" collapsed="false">
      <c r="A457" s="12" t="s">
        <v>711</v>
      </c>
      <c r="B457" s="12" t="n">
        <f aca="false">COUNTIFS(Cleaned!$D$2:$D$125,8,Cleaned!X$2:X$125,"&lt;&gt;")</f>
        <v>0</v>
      </c>
      <c r="C457" s="15" t="str">
        <f aca="false">IF(B457=0,"",AVERAGEIF(Cleaned!$D$2:$D$125,8,Cleaned!X$2:X$125))</f>
        <v/>
      </c>
    </row>
    <row r="458" customFormat="false" ht="15" hidden="false" customHeight="false" outlineLevel="0" collapsed="false">
      <c r="A458" s="12" t="s">
        <v>712</v>
      </c>
      <c r="B458" s="12" t="n">
        <f aca="false">COUNTIFS(Cleaned!$D$2:$D$125,9,Cleaned!X$2:X$125,"&lt;&gt;")</f>
        <v>0</v>
      </c>
      <c r="C458" s="15" t="str">
        <f aca="false">IF(B458=0,"",AVERAGEIF(Cleaned!$D$2:$D$125,9,Cleaned!X$2:X$125))</f>
        <v/>
      </c>
    </row>
    <row r="459" customFormat="false" ht="15" hidden="false" customHeight="false" outlineLevel="0" collapsed="false">
      <c r="A459" s="12" t="s">
        <v>713</v>
      </c>
      <c r="B459" s="12" t="n">
        <f aca="false">COUNTIFS(Cleaned!$D$2:$D$125,10,Cleaned!X$2:X$125,"&lt;&gt;")</f>
        <v>1</v>
      </c>
      <c r="C459" s="15" t="n">
        <f aca="false">IF(B459=0,"",AVERAGEIF(Cleaned!$D$2:$D$125,10,Cleaned!X$2:X$125))</f>
        <v>0.015</v>
      </c>
    </row>
    <row r="460" customFormat="false" ht="15" hidden="false" customHeight="false" outlineLevel="0" collapsed="false">
      <c r="A460" s="12" t="s">
        <v>714</v>
      </c>
      <c r="B460" s="12" t="n">
        <f aca="false">COUNTIFS(Cleaned!$D$2:$D$125,11,Cleaned!X$2:X$125,"&lt;&gt;")</f>
        <v>0</v>
      </c>
      <c r="C460" s="15" t="str">
        <f aca="false">IF(B460=0,"",AVERAGEIF(Cleaned!$D$2:$D$125,11,Cleaned!X$2:X$125))</f>
        <v/>
      </c>
    </row>
    <row r="461" customFormat="false" ht="15" hidden="false" customHeight="false" outlineLevel="0" collapsed="false">
      <c r="A461" s="12" t="s">
        <v>715</v>
      </c>
      <c r="B461" s="12" t="n">
        <f aca="false">COUNTIFS(Cleaned!$D$2:$D$125,12,Cleaned!X$2:X$125,"&lt;&gt;")</f>
        <v>2</v>
      </c>
      <c r="C461" s="15" t="n">
        <f aca="false">IF(B461=0,"",AVERAGEIF(Cleaned!$D$2:$D$125,12,Cleaned!X$2:X$125))</f>
        <v>6.785</v>
      </c>
    </row>
    <row r="464" customFormat="false" ht="15" hidden="false" customHeight="false" outlineLevel="0" collapsed="false">
      <c r="A464" s="6" t="s">
        <v>24</v>
      </c>
      <c r="B464" s="7" t="s">
        <v>743</v>
      </c>
    </row>
    <row r="465" customFormat="false" ht="15" hidden="false" customHeight="false" outlineLevel="0" collapsed="false">
      <c r="A465" s="11" t="s">
        <v>734</v>
      </c>
      <c r="B465" s="9" t="s">
        <v>694</v>
      </c>
      <c r="C465" s="9" t="s">
        <v>735</v>
      </c>
      <c r="D465" s="9" t="s">
        <v>736</v>
      </c>
      <c r="E465" s="9" t="s">
        <v>737</v>
      </c>
      <c r="F465" s="9" t="s">
        <v>738</v>
      </c>
    </row>
    <row r="466" customFormat="false" ht="15" hidden="false" customHeight="false" outlineLevel="0" collapsed="false">
      <c r="B466" s="12" t="n">
        <f aca="false">COUNT(Cleaned!$Y$2:$Y$125)</f>
        <v>8</v>
      </c>
      <c r="C466" s="12" t="n">
        <f aca="false">IFERROR(AVERAGE(Cleaned!$Y$2:$Y$125),"")</f>
        <v>0.2328125</v>
      </c>
      <c r="D466" s="12" t="n">
        <f aca="false">IFERROR(MEDIAN(Cleaned!$Y$2:$Y$125),"")</f>
        <v>0.015</v>
      </c>
      <c r="E466" s="12" t="n">
        <f aca="false">IFERROR(MIN(Cleaned!$Y$2:$Y$125),"")</f>
        <v>0</v>
      </c>
      <c r="F466" s="12" t="n">
        <f aca="false">IFERROR(MAX(Cleaned!$Y$2:$Y$125),"")</f>
        <v>1.71</v>
      </c>
    </row>
    <row r="467" customFormat="false" ht="15" hidden="false" customHeight="false" outlineLevel="0" collapsed="false">
      <c r="A467" s="11" t="s">
        <v>697</v>
      </c>
      <c r="B467" s="9" t="s">
        <v>739</v>
      </c>
      <c r="C467" s="9" t="s">
        <v>735</v>
      </c>
    </row>
    <row r="468" customFormat="false" ht="15" hidden="false" customHeight="false" outlineLevel="0" collapsed="false">
      <c r="A468" s="12" t="s">
        <v>698</v>
      </c>
      <c r="B468" s="12" t="n">
        <f aca="false">COUNTIFS(Cleaned!$C$2:$C$125,1,Cleaned!Y$2:Y$125,"&lt;&gt;")</f>
        <v>2</v>
      </c>
      <c r="C468" s="15" t="n">
        <f aca="false">IF(B468=0,"",AVERAGEIF(Cleaned!$C$2:$C$125,1,Cleaned!Y$2:Y$125))</f>
        <v>0.8625</v>
      </c>
    </row>
    <row r="469" customFormat="false" ht="15" hidden="false" customHeight="false" outlineLevel="0" collapsed="false">
      <c r="A469" s="12" t="s">
        <v>699</v>
      </c>
      <c r="B469" s="12" t="n">
        <f aca="false">COUNTIFS(Cleaned!$C$2:$C$125,2,Cleaned!Y$2:Y$125,"&lt;&gt;")</f>
        <v>1</v>
      </c>
      <c r="C469" s="15" t="n">
        <f aca="false">IF(B469=0,"",AVERAGEIF(Cleaned!$C$2:$C$125,2,Cleaned!Y$2:Y$125))</f>
        <v>0.015</v>
      </c>
    </row>
    <row r="470" customFormat="false" ht="15" hidden="false" customHeight="false" outlineLevel="0" collapsed="false">
      <c r="A470" s="12" t="s">
        <v>700</v>
      </c>
      <c r="B470" s="12" t="n">
        <f aca="false">COUNTIFS(Cleaned!$C$2:$C$125,3,Cleaned!Y$2:Y$125,"&lt;&gt;")</f>
        <v>1</v>
      </c>
      <c r="C470" s="15" t="n">
        <f aca="false">IF(B470=0,"",AVERAGEIF(Cleaned!$C$2:$C$125,3,Cleaned!Y$2:Y$125))</f>
        <v>0.09</v>
      </c>
    </row>
    <row r="471" customFormat="false" ht="15" hidden="false" customHeight="false" outlineLevel="0" collapsed="false">
      <c r="A471" s="12" t="s">
        <v>701</v>
      </c>
      <c r="B471" s="12" t="n">
        <f aca="false">COUNTIFS(Cleaned!$C$2:$C$125,4,Cleaned!Y$2:Y$125,"&lt;&gt;")</f>
        <v>3</v>
      </c>
      <c r="C471" s="15" t="n">
        <f aca="false">IF(B471=0,"",AVERAGEIF(Cleaned!$C$2:$C$125,4,Cleaned!Y$2:Y$125))</f>
        <v>0.0075</v>
      </c>
    </row>
    <row r="472" customFormat="false" ht="15" hidden="false" customHeight="false" outlineLevel="0" collapsed="false">
      <c r="A472" s="12" t="s">
        <v>702</v>
      </c>
      <c r="B472" s="12" t="n">
        <f aca="false">COUNTIFS(Cleaned!$C$2:$C$125,5,Cleaned!Y$2:Y$125,"&lt;&gt;")</f>
        <v>1</v>
      </c>
      <c r="C472" s="15" t="n">
        <f aca="false">IF(B472=0,"",AVERAGEIF(Cleaned!$C$2:$C$125,5,Cleaned!Y$2:Y$125))</f>
        <v>0.01</v>
      </c>
    </row>
    <row r="473" customFormat="false" ht="15" hidden="false" customHeight="false" outlineLevel="0" collapsed="false">
      <c r="A473" s="11" t="s">
        <v>3</v>
      </c>
      <c r="B473" s="9" t="s">
        <v>739</v>
      </c>
      <c r="C473" s="9" t="s">
        <v>735</v>
      </c>
    </row>
    <row r="474" customFormat="false" ht="15" hidden="false" customHeight="false" outlineLevel="0" collapsed="false">
      <c r="A474" s="12" t="s">
        <v>704</v>
      </c>
      <c r="B474" s="12" t="n">
        <f aca="false">COUNTIFS(Cleaned!$D$2:$D$125,1,Cleaned!Y$2:Y$125,"&lt;&gt;")</f>
        <v>1</v>
      </c>
      <c r="C474" s="15" t="n">
        <f aca="false">IF(B474=0,"",AVERAGEIF(Cleaned!$D$2:$D$125,1,Cleaned!Y$2:Y$125))</f>
        <v>0.015</v>
      </c>
    </row>
    <row r="475" customFormat="false" ht="15" hidden="false" customHeight="false" outlineLevel="0" collapsed="false">
      <c r="A475" s="12" t="s">
        <v>705</v>
      </c>
      <c r="B475" s="12" t="n">
        <f aca="false">COUNTIFS(Cleaned!$D$2:$D$125,2,Cleaned!Y$2:Y$125,"&lt;&gt;")</f>
        <v>1</v>
      </c>
      <c r="C475" s="15" t="n">
        <f aca="false">IF(B475=0,"",AVERAGEIF(Cleaned!$D$2:$D$125,2,Cleaned!Y$2:Y$125))</f>
        <v>0.01</v>
      </c>
    </row>
    <row r="476" customFormat="false" ht="15" hidden="false" customHeight="false" outlineLevel="0" collapsed="false">
      <c r="A476" s="12" t="s">
        <v>706</v>
      </c>
      <c r="B476" s="12" t="n">
        <f aca="false">COUNTIFS(Cleaned!$D$2:$D$125,3,Cleaned!Y$2:Y$125,"&lt;&gt;")</f>
        <v>0</v>
      </c>
      <c r="C476" s="15" t="str">
        <f aca="false">IF(B476=0,"",AVERAGEIF(Cleaned!$D$2:$D$125,3,Cleaned!Y$2:Y$125))</f>
        <v/>
      </c>
    </row>
    <row r="477" customFormat="false" ht="15" hidden="false" customHeight="false" outlineLevel="0" collapsed="false">
      <c r="A477" s="12" t="s">
        <v>707</v>
      </c>
      <c r="B477" s="12" t="n">
        <f aca="false">COUNTIFS(Cleaned!$D$2:$D$125,4,Cleaned!Y$2:Y$125,"&lt;&gt;")</f>
        <v>2</v>
      </c>
      <c r="C477" s="15" t="n">
        <f aca="false">IF(B477=0,"",AVERAGEIF(Cleaned!$D$2:$D$125,4,Cleaned!Y$2:Y$125))</f>
        <v>0.045</v>
      </c>
    </row>
    <row r="478" customFormat="false" ht="15" hidden="false" customHeight="false" outlineLevel="0" collapsed="false">
      <c r="A478" s="12" t="s">
        <v>708</v>
      </c>
      <c r="B478" s="12" t="n">
        <f aca="false">COUNTIFS(Cleaned!$D$2:$D$125,5,Cleaned!Y$2:Y$125,"&lt;&gt;")</f>
        <v>0</v>
      </c>
      <c r="C478" s="15" t="str">
        <f aca="false">IF(B478=0,"",AVERAGEIF(Cleaned!$D$2:$D$125,5,Cleaned!Y$2:Y$125))</f>
        <v/>
      </c>
    </row>
    <row r="479" customFormat="false" ht="15" hidden="false" customHeight="false" outlineLevel="0" collapsed="false">
      <c r="A479" s="12" t="s">
        <v>709</v>
      </c>
      <c r="B479" s="12" t="n">
        <f aca="false">COUNTIFS(Cleaned!$D$2:$D$125,6,Cleaned!Y$2:Y$125,"&lt;&gt;")</f>
        <v>2</v>
      </c>
      <c r="C479" s="15" t="n">
        <f aca="false">IF(B479=0,"",AVERAGEIF(Cleaned!$D$2:$D$125,6,Cleaned!Y$2:Y$125))</f>
        <v>0.01125</v>
      </c>
    </row>
    <row r="480" customFormat="false" ht="15" hidden="false" customHeight="false" outlineLevel="0" collapsed="false">
      <c r="A480" s="12" t="s">
        <v>710</v>
      </c>
      <c r="B480" s="12" t="n">
        <f aca="false">COUNTIFS(Cleaned!$D$2:$D$125,7,Cleaned!Y$2:Y$125,"&lt;&gt;")</f>
        <v>0</v>
      </c>
      <c r="C480" s="15" t="str">
        <f aca="false">IF(B480=0,"",AVERAGEIF(Cleaned!$D$2:$D$125,7,Cleaned!Y$2:Y$125))</f>
        <v/>
      </c>
    </row>
    <row r="481" customFormat="false" ht="15" hidden="false" customHeight="false" outlineLevel="0" collapsed="false">
      <c r="A481" s="12" t="s">
        <v>711</v>
      </c>
      <c r="B481" s="12" t="n">
        <f aca="false">COUNTIFS(Cleaned!$D$2:$D$125,8,Cleaned!Y$2:Y$125,"&lt;&gt;")</f>
        <v>0</v>
      </c>
      <c r="C481" s="15" t="str">
        <f aca="false">IF(B481=0,"",AVERAGEIF(Cleaned!$D$2:$D$125,8,Cleaned!Y$2:Y$125))</f>
        <v/>
      </c>
    </row>
    <row r="482" customFormat="false" ht="15" hidden="false" customHeight="false" outlineLevel="0" collapsed="false">
      <c r="A482" s="12" t="s">
        <v>712</v>
      </c>
      <c r="B482" s="12" t="n">
        <f aca="false">COUNTIFS(Cleaned!$D$2:$D$125,9,Cleaned!Y$2:Y$125,"&lt;&gt;")</f>
        <v>0</v>
      </c>
      <c r="C482" s="15" t="str">
        <f aca="false">IF(B482=0,"",AVERAGEIF(Cleaned!$D$2:$D$125,9,Cleaned!Y$2:Y$125))</f>
        <v/>
      </c>
    </row>
    <row r="483" customFormat="false" ht="15" hidden="false" customHeight="false" outlineLevel="0" collapsed="false">
      <c r="A483" s="12" t="s">
        <v>713</v>
      </c>
      <c r="B483" s="12" t="n">
        <f aca="false">COUNTIFS(Cleaned!$D$2:$D$125,10,Cleaned!Y$2:Y$125,"&lt;&gt;")</f>
        <v>1</v>
      </c>
      <c r="C483" s="15" t="n">
        <f aca="false">IF(B483=0,"",AVERAGEIF(Cleaned!$D$2:$D$125,10,Cleaned!Y$2:Y$125))</f>
        <v>0.015</v>
      </c>
    </row>
    <row r="484" customFormat="false" ht="15" hidden="false" customHeight="false" outlineLevel="0" collapsed="false">
      <c r="A484" s="12" t="s">
        <v>714</v>
      </c>
      <c r="B484" s="12" t="n">
        <f aca="false">COUNTIFS(Cleaned!$D$2:$D$125,11,Cleaned!Y$2:Y$125,"&lt;&gt;")</f>
        <v>0</v>
      </c>
      <c r="C484" s="15" t="str">
        <f aca="false">IF(B484=0,"",AVERAGEIF(Cleaned!$D$2:$D$125,11,Cleaned!Y$2:Y$125))</f>
        <v/>
      </c>
    </row>
    <row r="485" customFormat="false" ht="15" hidden="false" customHeight="false" outlineLevel="0" collapsed="false">
      <c r="A485" s="12" t="s">
        <v>715</v>
      </c>
      <c r="B485" s="12" t="n">
        <f aca="false">COUNTIFS(Cleaned!$D$2:$D$125,12,Cleaned!Y$2:Y$125,"&lt;&gt;")</f>
        <v>1</v>
      </c>
      <c r="C485" s="15" t="n">
        <f aca="false">IF(B485=0,"",AVERAGEIF(Cleaned!$D$2:$D$125,12,Cleaned!Y$2:Y$125))</f>
        <v>1.71</v>
      </c>
    </row>
    <row r="488" customFormat="false" ht="15" hidden="false" customHeight="false" outlineLevel="0" collapsed="false">
      <c r="A488" s="6" t="s">
        <v>25</v>
      </c>
      <c r="B488" s="7" t="s">
        <v>744</v>
      </c>
    </row>
    <row r="489" customFormat="false" ht="15" hidden="false" customHeight="false" outlineLevel="0" collapsed="false">
      <c r="A489" s="11" t="s">
        <v>734</v>
      </c>
      <c r="B489" s="9" t="s">
        <v>694</v>
      </c>
      <c r="C489" s="9" t="s">
        <v>735</v>
      </c>
      <c r="D489" s="9" t="s">
        <v>736</v>
      </c>
      <c r="E489" s="9" t="s">
        <v>737</v>
      </c>
      <c r="F489" s="9" t="s">
        <v>738</v>
      </c>
    </row>
    <row r="490" customFormat="false" ht="15" hidden="false" customHeight="false" outlineLevel="0" collapsed="false">
      <c r="B490" s="12" t="n">
        <f aca="false">COUNT(Cleaned!$Z$2:$Z$125)</f>
        <v>57</v>
      </c>
      <c r="C490" s="12" t="n">
        <f aca="false">IFERROR(AVERAGE(Cleaned!$Z$2:$Z$125),"")</f>
        <v>44.0701754385965</v>
      </c>
      <c r="D490" s="12" t="n">
        <f aca="false">IFERROR(MEDIAN(Cleaned!$Z$2:$Z$125),"")</f>
        <v>45</v>
      </c>
      <c r="E490" s="12" t="n">
        <f aca="false">IFERROR(MIN(Cleaned!$Z$2:$Z$125),"")</f>
        <v>2</v>
      </c>
      <c r="F490" s="12" t="n">
        <f aca="false">IFERROR(MAX(Cleaned!$Z$2:$Z$125),"")</f>
        <v>105</v>
      </c>
    </row>
    <row r="491" customFormat="false" ht="15" hidden="false" customHeight="false" outlineLevel="0" collapsed="false">
      <c r="A491" s="11" t="s">
        <v>697</v>
      </c>
      <c r="B491" s="9" t="s">
        <v>739</v>
      </c>
      <c r="C491" s="9" t="s">
        <v>735</v>
      </c>
    </row>
    <row r="492" customFormat="false" ht="15" hidden="false" customHeight="false" outlineLevel="0" collapsed="false">
      <c r="A492" s="12" t="s">
        <v>698</v>
      </c>
      <c r="B492" s="12" t="n">
        <f aca="false">COUNTIFS(Cleaned!$C$2:$C$125,1,Cleaned!Z$2:Z$125,"&lt;&gt;")</f>
        <v>11</v>
      </c>
      <c r="C492" s="15" t="n">
        <f aca="false">IF(B492=0,"",AVERAGEIF(Cleaned!$C$2:$C$125,1,Cleaned!Z$2:Z$125))</f>
        <v>57.4545454545455</v>
      </c>
    </row>
    <row r="493" customFormat="false" ht="15" hidden="false" customHeight="false" outlineLevel="0" collapsed="false">
      <c r="A493" s="12" t="s">
        <v>699</v>
      </c>
      <c r="B493" s="12" t="n">
        <f aca="false">COUNTIFS(Cleaned!$C$2:$C$125,2,Cleaned!Z$2:Z$125,"&lt;&gt;")</f>
        <v>10</v>
      </c>
      <c r="C493" s="15" t="n">
        <f aca="false">IF(B493=0,"",AVERAGEIF(Cleaned!$C$2:$C$125,2,Cleaned!Z$2:Z$125))</f>
        <v>53.6</v>
      </c>
    </row>
    <row r="494" customFormat="false" ht="15" hidden="false" customHeight="false" outlineLevel="0" collapsed="false">
      <c r="A494" s="12" t="s">
        <v>700</v>
      </c>
      <c r="B494" s="12" t="n">
        <f aca="false">COUNTIFS(Cleaned!$C$2:$C$125,3,Cleaned!Z$2:Z$125,"&lt;&gt;")</f>
        <v>13</v>
      </c>
      <c r="C494" s="15" t="n">
        <f aca="false">IF(B494=0,"",AVERAGEIF(Cleaned!$C$2:$C$125,3,Cleaned!Z$2:Z$125))</f>
        <v>39</v>
      </c>
    </row>
    <row r="495" customFormat="false" ht="15" hidden="false" customHeight="false" outlineLevel="0" collapsed="false">
      <c r="A495" s="12" t="s">
        <v>701</v>
      </c>
      <c r="B495" s="12" t="n">
        <f aca="false">COUNTIFS(Cleaned!$C$2:$C$125,4,Cleaned!Z$2:Z$125,"&lt;&gt;")</f>
        <v>8</v>
      </c>
      <c r="C495" s="15" t="n">
        <f aca="false">IF(B495=0,"",AVERAGEIF(Cleaned!$C$2:$C$125,4,Cleaned!Z$2:Z$125))</f>
        <v>43.875</v>
      </c>
    </row>
    <row r="496" customFormat="false" ht="15" hidden="false" customHeight="false" outlineLevel="0" collapsed="false">
      <c r="A496" s="12" t="s">
        <v>702</v>
      </c>
      <c r="B496" s="12" t="n">
        <f aca="false">COUNTIFS(Cleaned!$C$2:$C$125,5,Cleaned!Z$2:Z$125,"&lt;&gt;")</f>
        <v>15</v>
      </c>
      <c r="C496" s="15" t="n">
        <f aca="false">IF(B496=0,"",AVERAGEIF(Cleaned!$C$2:$C$125,5,Cleaned!Z$2:Z$125))</f>
        <v>32.4</v>
      </c>
    </row>
    <row r="497" customFormat="false" ht="15" hidden="false" customHeight="false" outlineLevel="0" collapsed="false">
      <c r="A497" s="11" t="s">
        <v>3</v>
      </c>
      <c r="B497" s="9" t="s">
        <v>739</v>
      </c>
      <c r="C497" s="9" t="s">
        <v>735</v>
      </c>
    </row>
    <row r="498" customFormat="false" ht="15" hidden="false" customHeight="false" outlineLevel="0" collapsed="false">
      <c r="A498" s="12" t="s">
        <v>704</v>
      </c>
      <c r="B498" s="12" t="n">
        <f aca="false">COUNTIFS(Cleaned!$D$2:$D$125,1,Cleaned!Z$2:Z$125,"&lt;&gt;")</f>
        <v>9</v>
      </c>
      <c r="C498" s="15" t="n">
        <f aca="false">IF(B498=0,"",AVERAGEIF(Cleaned!$D$2:$D$125,1,Cleaned!Z$2:Z$125))</f>
        <v>63.7777777777778</v>
      </c>
    </row>
    <row r="499" customFormat="false" ht="15" hidden="false" customHeight="false" outlineLevel="0" collapsed="false">
      <c r="A499" s="12" t="s">
        <v>705</v>
      </c>
      <c r="B499" s="12" t="n">
        <f aca="false">COUNTIFS(Cleaned!$D$2:$D$125,2,Cleaned!Z$2:Z$125,"&lt;&gt;")</f>
        <v>10</v>
      </c>
      <c r="C499" s="15" t="n">
        <f aca="false">IF(B499=0,"",AVERAGEIF(Cleaned!$D$2:$D$125,2,Cleaned!Z$2:Z$125))</f>
        <v>34.7</v>
      </c>
    </row>
    <row r="500" customFormat="false" ht="15" hidden="false" customHeight="false" outlineLevel="0" collapsed="false">
      <c r="A500" s="12" t="s">
        <v>706</v>
      </c>
      <c r="B500" s="12" t="n">
        <f aca="false">COUNTIFS(Cleaned!$D$2:$D$125,3,Cleaned!Z$2:Z$125,"&lt;&gt;")</f>
        <v>8</v>
      </c>
      <c r="C500" s="15" t="n">
        <f aca="false">IF(B500=0,"",AVERAGEIF(Cleaned!$D$2:$D$125,3,Cleaned!Z$2:Z$125))</f>
        <v>36.125</v>
      </c>
    </row>
    <row r="501" customFormat="false" ht="15" hidden="false" customHeight="false" outlineLevel="0" collapsed="false">
      <c r="A501" s="12" t="s">
        <v>707</v>
      </c>
      <c r="B501" s="12" t="n">
        <f aca="false">COUNTIFS(Cleaned!$D$2:$D$125,4,Cleaned!Z$2:Z$125,"&lt;&gt;")</f>
        <v>5</v>
      </c>
      <c r="C501" s="15" t="n">
        <f aca="false">IF(B501=0,"",AVERAGEIF(Cleaned!$D$2:$D$125,4,Cleaned!Z$2:Z$125))</f>
        <v>38.6</v>
      </c>
    </row>
    <row r="502" customFormat="false" ht="15" hidden="false" customHeight="false" outlineLevel="0" collapsed="false">
      <c r="A502" s="12" t="s">
        <v>708</v>
      </c>
      <c r="B502" s="12" t="n">
        <f aca="false">COUNTIFS(Cleaned!$D$2:$D$125,5,Cleaned!Z$2:Z$125,"&lt;&gt;")</f>
        <v>1</v>
      </c>
      <c r="C502" s="15" t="n">
        <f aca="false">IF(B502=0,"",AVERAGEIF(Cleaned!$D$2:$D$125,5,Cleaned!Z$2:Z$125))</f>
        <v>32</v>
      </c>
    </row>
    <row r="503" customFormat="false" ht="15" hidden="false" customHeight="false" outlineLevel="0" collapsed="false">
      <c r="A503" s="12" t="s">
        <v>709</v>
      </c>
      <c r="B503" s="12" t="n">
        <f aca="false">COUNTIFS(Cleaned!$D$2:$D$125,6,Cleaned!Z$2:Z$125,"&lt;&gt;")</f>
        <v>3</v>
      </c>
      <c r="C503" s="15" t="n">
        <f aca="false">IF(B503=0,"",AVERAGEIF(Cleaned!$D$2:$D$125,6,Cleaned!Z$2:Z$125))</f>
        <v>56</v>
      </c>
    </row>
    <row r="504" customFormat="false" ht="15" hidden="false" customHeight="false" outlineLevel="0" collapsed="false">
      <c r="A504" s="12" t="s">
        <v>710</v>
      </c>
      <c r="B504" s="12" t="n">
        <f aca="false">COUNTIFS(Cleaned!$D$2:$D$125,7,Cleaned!Z$2:Z$125,"&lt;&gt;")</f>
        <v>4</v>
      </c>
      <c r="C504" s="15" t="n">
        <f aca="false">IF(B504=0,"",AVERAGEIF(Cleaned!$D$2:$D$125,7,Cleaned!Z$2:Z$125))</f>
        <v>33.75</v>
      </c>
    </row>
    <row r="505" customFormat="false" ht="15" hidden="false" customHeight="false" outlineLevel="0" collapsed="false">
      <c r="A505" s="12" t="s">
        <v>711</v>
      </c>
      <c r="B505" s="12" t="n">
        <f aca="false">COUNTIFS(Cleaned!$D$2:$D$125,8,Cleaned!Z$2:Z$125,"&lt;&gt;")</f>
        <v>2</v>
      </c>
      <c r="C505" s="15" t="n">
        <f aca="false">IF(B505=0,"",AVERAGEIF(Cleaned!$D$2:$D$125,8,Cleaned!Z$2:Z$125))</f>
        <v>67.5</v>
      </c>
    </row>
    <row r="506" customFormat="false" ht="15" hidden="false" customHeight="false" outlineLevel="0" collapsed="false">
      <c r="A506" s="12" t="s">
        <v>712</v>
      </c>
      <c r="B506" s="12" t="n">
        <f aca="false">COUNTIFS(Cleaned!$D$2:$D$125,9,Cleaned!Z$2:Z$125,"&lt;&gt;")</f>
        <v>1</v>
      </c>
      <c r="C506" s="15" t="n">
        <f aca="false">IF(B506=0,"",AVERAGEIF(Cleaned!$D$2:$D$125,9,Cleaned!Z$2:Z$125))</f>
        <v>2</v>
      </c>
    </row>
    <row r="507" customFormat="false" ht="15" hidden="false" customHeight="false" outlineLevel="0" collapsed="false">
      <c r="A507" s="12" t="s">
        <v>713</v>
      </c>
      <c r="B507" s="12" t="n">
        <f aca="false">COUNTIFS(Cleaned!$D$2:$D$125,10,Cleaned!Z$2:Z$125,"&lt;&gt;")</f>
        <v>2</v>
      </c>
      <c r="C507" s="15" t="n">
        <f aca="false">IF(B507=0,"",AVERAGEIF(Cleaned!$D$2:$D$125,10,Cleaned!Z$2:Z$125))</f>
        <v>75</v>
      </c>
    </row>
    <row r="508" customFormat="false" ht="15" hidden="false" customHeight="false" outlineLevel="0" collapsed="false">
      <c r="A508" s="12" t="s">
        <v>714</v>
      </c>
      <c r="B508" s="12" t="n">
        <f aca="false">COUNTIFS(Cleaned!$D$2:$D$125,11,Cleaned!Z$2:Z$125,"&lt;&gt;")</f>
        <v>8</v>
      </c>
      <c r="C508" s="15" t="n">
        <f aca="false">IF(B508=0,"",AVERAGEIF(Cleaned!$D$2:$D$125,11,Cleaned!Z$2:Z$125))</f>
        <v>41.875</v>
      </c>
    </row>
    <row r="509" customFormat="false" ht="15" hidden="false" customHeight="false" outlineLevel="0" collapsed="false">
      <c r="A509" s="12" t="s">
        <v>715</v>
      </c>
      <c r="B509" s="12" t="n">
        <f aca="false">COUNTIFS(Cleaned!$D$2:$D$125,12,Cleaned!Z$2:Z$125,"&lt;&gt;")</f>
        <v>4</v>
      </c>
      <c r="C509" s="15" t="n">
        <f aca="false">IF(B509=0,"",AVERAGEIF(Cleaned!$D$2:$D$125,12,Cleaned!Z$2:Z$125))</f>
        <v>38</v>
      </c>
    </row>
    <row r="512" customFormat="false" ht="15" hidden="false" customHeight="false" outlineLevel="0" collapsed="false">
      <c r="A512" s="6" t="s">
        <v>26</v>
      </c>
      <c r="B512" s="7" t="s">
        <v>745</v>
      </c>
    </row>
    <row r="513" customFormat="false" ht="15" hidden="false" customHeight="false" outlineLevel="0" collapsed="false">
      <c r="A513" s="11" t="s">
        <v>734</v>
      </c>
      <c r="B513" s="9" t="s">
        <v>694</v>
      </c>
      <c r="C513" s="9" t="s">
        <v>735</v>
      </c>
      <c r="D513" s="9" t="s">
        <v>736</v>
      </c>
      <c r="E513" s="9" t="s">
        <v>737</v>
      </c>
      <c r="F513" s="9" t="s">
        <v>738</v>
      </c>
    </row>
    <row r="514" customFormat="false" ht="15" hidden="false" customHeight="false" outlineLevel="0" collapsed="false">
      <c r="B514" s="12" t="n">
        <f aca="false">COUNT(Cleaned!$AA$2:$AA$125)</f>
        <v>20</v>
      </c>
      <c r="C514" s="12" t="n">
        <f aca="false">IFERROR(AVERAGE(Cleaned!$AA$2:$AA$125),"")</f>
        <v>89.5505</v>
      </c>
      <c r="D514" s="12" t="n">
        <f aca="false">IFERROR(MEDIAN(Cleaned!$AA$2:$AA$125),"")</f>
        <v>50</v>
      </c>
      <c r="E514" s="12" t="n">
        <f aca="false">IFERROR(MIN(Cleaned!$AA$2:$AA$125),"")</f>
        <v>0</v>
      </c>
      <c r="F514" s="12" t="n">
        <f aca="false">IFERROR(MAX(Cleaned!$AA$2:$AA$125),"")</f>
        <v>400</v>
      </c>
    </row>
    <row r="515" customFormat="false" ht="15" hidden="false" customHeight="false" outlineLevel="0" collapsed="false">
      <c r="A515" s="11" t="s">
        <v>697</v>
      </c>
      <c r="B515" s="9" t="s">
        <v>739</v>
      </c>
      <c r="C515" s="9" t="s">
        <v>735</v>
      </c>
    </row>
    <row r="516" customFormat="false" ht="15" hidden="false" customHeight="false" outlineLevel="0" collapsed="false">
      <c r="A516" s="12" t="s">
        <v>698</v>
      </c>
      <c r="B516" s="12" t="n">
        <f aca="false">COUNTIFS(Cleaned!$C$2:$C$125,1,Cleaned!AA$2:AA$125,"&lt;&gt;")</f>
        <v>2</v>
      </c>
      <c r="C516" s="15" t="n">
        <f aca="false">IF(B516=0,"",AVERAGEIF(Cleaned!$C$2:$C$125,1,Cleaned!AA$2:AA$125))</f>
        <v>205</v>
      </c>
    </row>
    <row r="517" customFormat="false" ht="15" hidden="false" customHeight="false" outlineLevel="0" collapsed="false">
      <c r="A517" s="12" t="s">
        <v>699</v>
      </c>
      <c r="B517" s="12" t="n">
        <f aca="false">COUNTIFS(Cleaned!$C$2:$C$125,2,Cleaned!AA$2:AA$125,"&lt;&gt;")</f>
        <v>1</v>
      </c>
      <c r="C517" s="15" t="n">
        <f aca="false">IF(B517=0,"",AVERAGEIF(Cleaned!$C$2:$C$125,2,Cleaned!AA$2:AA$125))</f>
        <v>151</v>
      </c>
    </row>
    <row r="518" customFormat="false" ht="15" hidden="false" customHeight="false" outlineLevel="0" collapsed="false">
      <c r="A518" s="12" t="s">
        <v>700</v>
      </c>
      <c r="B518" s="12" t="n">
        <f aca="false">COUNTIFS(Cleaned!$C$2:$C$125,3,Cleaned!AA$2:AA$125,"&lt;&gt;")</f>
        <v>2</v>
      </c>
      <c r="C518" s="15" t="n">
        <f aca="false">IF(B518=0,"",AVERAGEIF(Cleaned!$C$2:$C$125,3,Cleaned!AA$2:AA$125))</f>
        <v>35</v>
      </c>
    </row>
    <row r="519" customFormat="false" ht="15" hidden="false" customHeight="false" outlineLevel="0" collapsed="false">
      <c r="A519" s="12" t="s">
        <v>701</v>
      </c>
      <c r="B519" s="12" t="n">
        <f aca="false">COUNTIFS(Cleaned!$C$2:$C$125,4,Cleaned!AA$2:AA$125,"&lt;&gt;")</f>
        <v>3</v>
      </c>
      <c r="C519" s="15" t="n">
        <f aca="false">IF(B519=0,"",AVERAGEIF(Cleaned!$C$2:$C$125,4,Cleaned!AA$2:AA$125))</f>
        <v>36.6666666666667</v>
      </c>
    </row>
    <row r="520" customFormat="false" ht="15" hidden="false" customHeight="false" outlineLevel="0" collapsed="false">
      <c r="A520" s="12" t="s">
        <v>702</v>
      </c>
      <c r="B520" s="12" t="n">
        <f aca="false">COUNTIFS(Cleaned!$C$2:$C$125,5,Cleaned!AA$2:AA$125,"&lt;&gt;")</f>
        <v>12</v>
      </c>
      <c r="C520" s="15" t="n">
        <f aca="false">IF(B520=0,"",AVERAGEIF(Cleaned!$C$2:$C$125,5,Cleaned!AA$2:AA$125))</f>
        <v>87.5008333333333</v>
      </c>
    </row>
    <row r="521" customFormat="false" ht="15" hidden="false" customHeight="false" outlineLevel="0" collapsed="false">
      <c r="A521" s="11" t="s">
        <v>3</v>
      </c>
      <c r="B521" s="9" t="s">
        <v>739</v>
      </c>
      <c r="C521" s="9" t="s">
        <v>735</v>
      </c>
    </row>
    <row r="522" customFormat="false" ht="15" hidden="false" customHeight="false" outlineLevel="0" collapsed="false">
      <c r="A522" s="12" t="s">
        <v>704</v>
      </c>
      <c r="B522" s="12" t="n">
        <f aca="false">COUNTIFS(Cleaned!$D$2:$D$125,1,Cleaned!AA$2:AA$125,"&lt;&gt;")</f>
        <v>0</v>
      </c>
      <c r="C522" s="15" t="str">
        <f aca="false">IF(B522=0,"",AVERAGEIF(Cleaned!$D$2:$D$125,1,Cleaned!AA$2:AA$125))</f>
        <v/>
      </c>
    </row>
    <row r="523" customFormat="false" ht="15" hidden="false" customHeight="false" outlineLevel="0" collapsed="false">
      <c r="A523" s="12" t="s">
        <v>705</v>
      </c>
      <c r="B523" s="12" t="n">
        <f aca="false">COUNTIFS(Cleaned!$D$2:$D$125,2,Cleaned!AA$2:AA$125,"&lt;&gt;")</f>
        <v>7</v>
      </c>
      <c r="C523" s="15" t="n">
        <f aca="false">IF(B523=0,"",AVERAGEIF(Cleaned!$D$2:$D$125,2,Cleaned!AA$2:AA$125))</f>
        <v>114.284285714286</v>
      </c>
    </row>
    <row r="524" customFormat="false" ht="15" hidden="false" customHeight="false" outlineLevel="0" collapsed="false">
      <c r="A524" s="12" t="s">
        <v>706</v>
      </c>
      <c r="B524" s="12" t="n">
        <f aca="false">COUNTIFS(Cleaned!$D$2:$D$125,3,Cleaned!AA$2:AA$125,"&lt;&gt;")</f>
        <v>5</v>
      </c>
      <c r="C524" s="15" t="n">
        <f aca="false">IF(B524=0,"",AVERAGEIF(Cleaned!$D$2:$D$125,3,Cleaned!AA$2:AA$125))</f>
        <v>100.004</v>
      </c>
    </row>
    <row r="525" customFormat="false" ht="15" hidden="false" customHeight="false" outlineLevel="0" collapsed="false">
      <c r="A525" s="12" t="s">
        <v>707</v>
      </c>
      <c r="B525" s="12" t="n">
        <f aca="false">COUNTIFS(Cleaned!$D$2:$D$125,4,Cleaned!AA$2:AA$125,"&lt;&gt;")</f>
        <v>1</v>
      </c>
      <c r="C525" s="15" t="n">
        <f aca="false">IF(B525=0,"",AVERAGEIF(Cleaned!$D$2:$D$125,4,Cleaned!AA$2:AA$125))</f>
        <v>20</v>
      </c>
    </row>
    <row r="526" customFormat="false" ht="15" hidden="false" customHeight="false" outlineLevel="0" collapsed="false">
      <c r="A526" s="12" t="s">
        <v>708</v>
      </c>
      <c r="B526" s="12" t="n">
        <f aca="false">COUNTIFS(Cleaned!$D$2:$D$125,5,Cleaned!AA$2:AA$125,"&lt;&gt;")</f>
        <v>0</v>
      </c>
      <c r="C526" s="15" t="str">
        <f aca="false">IF(B526=0,"",AVERAGEIF(Cleaned!$D$2:$D$125,5,Cleaned!AA$2:AA$125))</f>
        <v/>
      </c>
    </row>
    <row r="527" customFormat="false" ht="15" hidden="false" customHeight="false" outlineLevel="0" collapsed="false">
      <c r="A527" s="12" t="s">
        <v>709</v>
      </c>
      <c r="B527" s="12" t="n">
        <f aca="false">COUNTIFS(Cleaned!$D$2:$D$125,6,Cleaned!AA$2:AA$125,"&lt;&gt;")</f>
        <v>1</v>
      </c>
      <c r="C527" s="15" t="n">
        <f aca="false">IF(B527=0,"",AVERAGEIF(Cleaned!$D$2:$D$125,6,Cleaned!AA$2:AA$125))</f>
        <v>50</v>
      </c>
    </row>
    <row r="528" customFormat="false" ht="15" hidden="false" customHeight="false" outlineLevel="0" collapsed="false">
      <c r="A528" s="12" t="s">
        <v>710</v>
      </c>
      <c r="B528" s="12" t="n">
        <f aca="false">COUNTIFS(Cleaned!$D$2:$D$125,7,Cleaned!AA$2:AA$125,"&lt;&gt;")</f>
        <v>3</v>
      </c>
      <c r="C528" s="15" t="n">
        <f aca="false">IF(B528=0,"",AVERAGEIF(Cleaned!$D$2:$D$125,7,Cleaned!AA$2:AA$125))</f>
        <v>83.3333333333333</v>
      </c>
    </row>
    <row r="529" customFormat="false" ht="15" hidden="false" customHeight="false" outlineLevel="0" collapsed="false">
      <c r="A529" s="12" t="s">
        <v>711</v>
      </c>
      <c r="B529" s="12" t="n">
        <f aca="false">COUNTIFS(Cleaned!$D$2:$D$125,8,Cleaned!AA$2:AA$125,"&lt;&gt;")</f>
        <v>1</v>
      </c>
      <c r="C529" s="15" t="n">
        <f aca="false">IF(B529=0,"",AVERAGEIF(Cleaned!$D$2:$D$125,8,Cleaned!AA$2:AA$125))</f>
        <v>10</v>
      </c>
    </row>
    <row r="530" customFormat="false" ht="15" hidden="false" customHeight="false" outlineLevel="0" collapsed="false">
      <c r="A530" s="12" t="s">
        <v>712</v>
      </c>
      <c r="B530" s="12" t="n">
        <f aca="false">COUNTIFS(Cleaned!$D$2:$D$125,9,Cleaned!AA$2:AA$125,"&lt;&gt;")</f>
        <v>0</v>
      </c>
      <c r="C530" s="15" t="str">
        <f aca="false">IF(B530=0,"",AVERAGEIF(Cleaned!$D$2:$D$125,9,Cleaned!AA$2:AA$125))</f>
        <v/>
      </c>
    </row>
    <row r="531" customFormat="false" ht="15" hidden="false" customHeight="false" outlineLevel="0" collapsed="false">
      <c r="A531" s="12" t="s">
        <v>713</v>
      </c>
      <c r="B531" s="12" t="n">
        <f aca="false">COUNTIFS(Cleaned!$D$2:$D$125,10,Cleaned!AA$2:AA$125,"&lt;&gt;")</f>
        <v>0</v>
      </c>
      <c r="C531" s="15" t="str">
        <f aca="false">IF(B531=0,"",AVERAGEIF(Cleaned!$D$2:$D$125,10,Cleaned!AA$2:AA$125))</f>
        <v/>
      </c>
    </row>
    <row r="532" customFormat="false" ht="15" hidden="false" customHeight="false" outlineLevel="0" collapsed="false">
      <c r="A532" s="12" t="s">
        <v>714</v>
      </c>
      <c r="B532" s="12" t="n">
        <f aca="false">COUNTIFS(Cleaned!$D$2:$D$125,11,Cleaned!AA$2:AA$125,"&lt;&gt;")</f>
        <v>2</v>
      </c>
      <c r="C532" s="15" t="n">
        <f aca="false">IF(B532=0,"",AVERAGEIF(Cleaned!$D$2:$D$125,11,Cleaned!AA$2:AA$125))</f>
        <v>80.5</v>
      </c>
    </row>
    <row r="533" customFormat="false" ht="15" hidden="false" customHeight="false" outlineLevel="0" collapsed="false">
      <c r="A533" s="12" t="s">
        <v>715</v>
      </c>
      <c r="B533" s="12" t="n">
        <f aca="false">COUNTIFS(Cleaned!$D$2:$D$125,12,Cleaned!AA$2:AA$125,"&lt;&gt;")</f>
        <v>0</v>
      </c>
      <c r="C533" s="15" t="str">
        <f aca="false">IF(B533=0,"",AVERAGEIF(Cleaned!$D$2:$D$125,12,Cleaned!AA$2:AA$125))</f>
        <v/>
      </c>
    </row>
    <row r="536" customFormat="false" ht="15" hidden="false" customHeight="false" outlineLevel="0" collapsed="false">
      <c r="A536" s="6" t="s">
        <v>27</v>
      </c>
      <c r="B536" s="7" t="s">
        <v>746</v>
      </c>
    </row>
    <row r="537" customFormat="false" ht="15" hidden="false" customHeight="false" outlineLevel="0" collapsed="false">
      <c r="A537" s="11" t="s">
        <v>734</v>
      </c>
      <c r="B537" s="9" t="s">
        <v>694</v>
      </c>
      <c r="C537" s="9" t="s">
        <v>735</v>
      </c>
      <c r="D537" s="9" t="s">
        <v>736</v>
      </c>
      <c r="E537" s="9" t="s">
        <v>737</v>
      </c>
      <c r="F537" s="9" t="s">
        <v>738</v>
      </c>
    </row>
    <row r="538" customFormat="false" ht="15" hidden="false" customHeight="false" outlineLevel="0" collapsed="false">
      <c r="B538" s="12" t="n">
        <f aca="false">COUNT(Cleaned!$AB$2:$AB$125)</f>
        <v>32</v>
      </c>
      <c r="C538" s="12" t="n">
        <f aca="false">IFERROR(AVERAGE(Cleaned!$AB$2:$AB$125),"")</f>
        <v>66.09375</v>
      </c>
      <c r="D538" s="12" t="n">
        <f aca="false">IFERROR(MEDIAN(Cleaned!$AB$2:$AB$125),"")</f>
        <v>60</v>
      </c>
      <c r="E538" s="12" t="n">
        <f aca="false">IFERROR(MIN(Cleaned!$AB$2:$AB$125),"")</f>
        <v>0</v>
      </c>
      <c r="F538" s="12" t="n">
        <f aca="false">IFERROR(MAX(Cleaned!$AB$2:$AB$125),"")</f>
        <v>365</v>
      </c>
    </row>
    <row r="539" customFormat="false" ht="15" hidden="false" customHeight="false" outlineLevel="0" collapsed="false">
      <c r="A539" s="11" t="s">
        <v>697</v>
      </c>
      <c r="B539" s="9" t="s">
        <v>739</v>
      </c>
      <c r="C539" s="9" t="s">
        <v>735</v>
      </c>
    </row>
    <row r="540" customFormat="false" ht="15" hidden="false" customHeight="false" outlineLevel="0" collapsed="false">
      <c r="A540" s="12" t="s">
        <v>698</v>
      </c>
      <c r="B540" s="12" t="n">
        <f aca="false">COUNTIFS(Cleaned!$C$2:$C$125,1,Cleaned!AB$2:AB$125,"&lt;&gt;")</f>
        <v>4</v>
      </c>
      <c r="C540" s="15" t="n">
        <f aca="false">IF(B540=0,"",AVERAGEIF(Cleaned!$C$2:$C$125,1,Cleaned!AB$2:AB$125))</f>
        <v>46.25</v>
      </c>
    </row>
    <row r="541" customFormat="false" ht="15" hidden="false" customHeight="false" outlineLevel="0" collapsed="false">
      <c r="A541" s="12" t="s">
        <v>699</v>
      </c>
      <c r="B541" s="12" t="n">
        <f aca="false">COUNTIFS(Cleaned!$C$2:$C$125,2,Cleaned!AB$2:AB$125,"&lt;&gt;")</f>
        <v>5</v>
      </c>
      <c r="C541" s="15" t="n">
        <f aca="false">IF(B541=0,"",AVERAGEIF(Cleaned!$C$2:$C$125,2,Cleaned!AB$2:AB$125))</f>
        <v>57</v>
      </c>
    </row>
    <row r="542" customFormat="false" ht="15" hidden="false" customHeight="false" outlineLevel="0" collapsed="false">
      <c r="A542" s="12" t="s">
        <v>700</v>
      </c>
      <c r="B542" s="12" t="n">
        <f aca="false">COUNTIFS(Cleaned!$C$2:$C$125,3,Cleaned!AB$2:AB$125,"&lt;&gt;")</f>
        <v>6</v>
      </c>
      <c r="C542" s="15" t="n">
        <f aca="false">IF(B542=0,"",AVERAGEIF(Cleaned!$C$2:$C$125,3,Cleaned!AB$2:AB$125))</f>
        <v>55</v>
      </c>
    </row>
    <row r="543" customFormat="false" ht="15" hidden="false" customHeight="false" outlineLevel="0" collapsed="false">
      <c r="A543" s="12" t="s">
        <v>701</v>
      </c>
      <c r="B543" s="12" t="n">
        <f aca="false">COUNTIFS(Cleaned!$C$2:$C$125,4,Cleaned!AB$2:AB$125,"&lt;&gt;")</f>
        <v>4</v>
      </c>
      <c r="C543" s="15" t="n">
        <f aca="false">IF(B543=0,"",AVERAGEIF(Cleaned!$C$2:$C$125,4,Cleaned!AB$2:AB$125))</f>
        <v>143.75</v>
      </c>
    </row>
    <row r="544" customFormat="false" ht="15" hidden="false" customHeight="false" outlineLevel="0" collapsed="false">
      <c r="A544" s="12" t="s">
        <v>702</v>
      </c>
      <c r="B544" s="12" t="n">
        <f aca="false">COUNTIFS(Cleaned!$C$2:$C$125,5,Cleaned!AB$2:AB$125,"&lt;&gt;")</f>
        <v>13</v>
      </c>
      <c r="C544" s="15" t="n">
        <f aca="false">IF(B544=0,"",AVERAGEIF(Cleaned!$C$2:$C$125,5,Cleaned!AB$2:AB$125))</f>
        <v>56.9230769230769</v>
      </c>
    </row>
    <row r="545" customFormat="false" ht="15" hidden="false" customHeight="false" outlineLevel="0" collapsed="false">
      <c r="A545" s="11" t="s">
        <v>3</v>
      </c>
      <c r="B545" s="9" t="s">
        <v>739</v>
      </c>
      <c r="C545" s="9" t="s">
        <v>735</v>
      </c>
    </row>
    <row r="546" customFormat="false" ht="15" hidden="false" customHeight="false" outlineLevel="0" collapsed="false">
      <c r="A546" s="12" t="s">
        <v>704</v>
      </c>
      <c r="B546" s="12" t="n">
        <f aca="false">COUNTIFS(Cleaned!$D$2:$D$125,1,Cleaned!AB$2:AB$125,"&lt;&gt;")</f>
        <v>3</v>
      </c>
      <c r="C546" s="15" t="n">
        <f aca="false">IF(B546=0,"",AVERAGEIF(Cleaned!$D$2:$D$125,1,Cleaned!AB$2:AB$125))</f>
        <v>70</v>
      </c>
    </row>
    <row r="547" customFormat="false" ht="15" hidden="false" customHeight="false" outlineLevel="0" collapsed="false">
      <c r="A547" s="12" t="s">
        <v>705</v>
      </c>
      <c r="B547" s="12" t="n">
        <f aca="false">COUNTIFS(Cleaned!$D$2:$D$125,2,Cleaned!AB$2:AB$125,"&lt;&gt;")</f>
        <v>8</v>
      </c>
      <c r="C547" s="15" t="n">
        <f aca="false">IF(B547=0,"",AVERAGEIF(Cleaned!$D$2:$D$125,2,Cleaned!AB$2:AB$125))</f>
        <v>73.625</v>
      </c>
    </row>
    <row r="548" customFormat="false" ht="15" hidden="false" customHeight="false" outlineLevel="0" collapsed="false">
      <c r="A548" s="12" t="s">
        <v>706</v>
      </c>
      <c r="B548" s="12" t="n">
        <f aca="false">COUNTIFS(Cleaned!$D$2:$D$125,3,Cleaned!AB$2:AB$125,"&lt;&gt;")</f>
        <v>5</v>
      </c>
      <c r="C548" s="15" t="n">
        <f aca="false">IF(B548=0,"",AVERAGEIF(Cleaned!$D$2:$D$125,3,Cleaned!AB$2:AB$125))</f>
        <v>21.2</v>
      </c>
    </row>
    <row r="549" customFormat="false" ht="15" hidden="false" customHeight="false" outlineLevel="0" collapsed="false">
      <c r="A549" s="12" t="s">
        <v>707</v>
      </c>
      <c r="B549" s="12" t="n">
        <f aca="false">COUNTIFS(Cleaned!$D$2:$D$125,4,Cleaned!AB$2:AB$125,"&lt;&gt;")</f>
        <v>2</v>
      </c>
      <c r="C549" s="15" t="n">
        <f aca="false">IF(B549=0,"",AVERAGEIF(Cleaned!$D$2:$D$125,4,Cleaned!AB$2:AB$125))</f>
        <v>75</v>
      </c>
    </row>
    <row r="550" customFormat="false" ht="15" hidden="false" customHeight="false" outlineLevel="0" collapsed="false">
      <c r="A550" s="12" t="s">
        <v>708</v>
      </c>
      <c r="B550" s="12" t="n">
        <f aca="false">COUNTIFS(Cleaned!$D$2:$D$125,5,Cleaned!AB$2:AB$125,"&lt;&gt;")</f>
        <v>1</v>
      </c>
      <c r="C550" s="15" t="n">
        <f aca="false">IF(B550=0,"",AVERAGEIF(Cleaned!$D$2:$D$125,5,Cleaned!AB$2:AB$125))</f>
        <v>120</v>
      </c>
    </row>
    <row r="551" customFormat="false" ht="15" hidden="false" customHeight="false" outlineLevel="0" collapsed="false">
      <c r="A551" s="12" t="s">
        <v>709</v>
      </c>
      <c r="B551" s="12" t="n">
        <f aca="false">COUNTIFS(Cleaned!$D$2:$D$125,6,Cleaned!AB$2:AB$125,"&lt;&gt;")</f>
        <v>2</v>
      </c>
      <c r="C551" s="15" t="n">
        <f aca="false">IF(B551=0,"",AVERAGEIF(Cleaned!$D$2:$D$125,6,Cleaned!AB$2:AB$125))</f>
        <v>45</v>
      </c>
    </row>
    <row r="552" customFormat="false" ht="15" hidden="false" customHeight="false" outlineLevel="0" collapsed="false">
      <c r="A552" s="12" t="s">
        <v>710</v>
      </c>
      <c r="B552" s="12" t="n">
        <f aca="false">COUNTIFS(Cleaned!$D$2:$D$125,7,Cleaned!AB$2:AB$125,"&lt;&gt;")</f>
        <v>3</v>
      </c>
      <c r="C552" s="15" t="n">
        <f aca="false">IF(B552=0,"",AVERAGEIF(Cleaned!$D$2:$D$125,7,Cleaned!AB$2:AB$125))</f>
        <v>45</v>
      </c>
    </row>
    <row r="553" customFormat="false" ht="15" hidden="false" customHeight="false" outlineLevel="0" collapsed="false">
      <c r="A553" s="12" t="s">
        <v>711</v>
      </c>
      <c r="B553" s="12" t="n">
        <f aca="false">COUNTIFS(Cleaned!$D$2:$D$125,8,Cleaned!AB$2:AB$125,"&lt;&gt;")</f>
        <v>0</v>
      </c>
      <c r="C553" s="15" t="str">
        <f aca="false">IF(B553=0,"",AVERAGEIF(Cleaned!$D$2:$D$125,8,Cleaned!AB$2:AB$125))</f>
        <v/>
      </c>
    </row>
    <row r="554" customFormat="false" ht="15" hidden="false" customHeight="false" outlineLevel="0" collapsed="false">
      <c r="A554" s="12" t="s">
        <v>712</v>
      </c>
      <c r="B554" s="12" t="n">
        <f aca="false">COUNTIFS(Cleaned!$D$2:$D$125,9,Cleaned!AB$2:AB$125,"&lt;&gt;")</f>
        <v>0</v>
      </c>
      <c r="C554" s="15" t="str">
        <f aca="false">IF(B554=0,"",AVERAGEIF(Cleaned!$D$2:$D$125,9,Cleaned!AB$2:AB$125))</f>
        <v/>
      </c>
    </row>
    <row r="555" customFormat="false" ht="15" hidden="false" customHeight="false" outlineLevel="0" collapsed="false">
      <c r="A555" s="12" t="s">
        <v>713</v>
      </c>
      <c r="B555" s="12" t="n">
        <f aca="false">COUNTIFS(Cleaned!$D$2:$D$125,10,Cleaned!AB$2:AB$125,"&lt;&gt;")</f>
        <v>1</v>
      </c>
      <c r="C555" s="15" t="n">
        <f aca="false">IF(B555=0,"",AVERAGEIF(Cleaned!$D$2:$D$125,10,Cleaned!AB$2:AB$125))</f>
        <v>60</v>
      </c>
    </row>
    <row r="556" customFormat="false" ht="15" hidden="false" customHeight="false" outlineLevel="0" collapsed="false">
      <c r="A556" s="12" t="s">
        <v>714</v>
      </c>
      <c r="B556" s="12" t="n">
        <f aca="false">COUNTIFS(Cleaned!$D$2:$D$125,11,Cleaned!AB$2:AB$125,"&lt;&gt;")</f>
        <v>6</v>
      </c>
      <c r="C556" s="15" t="n">
        <f aca="false">IF(B556=0,"",AVERAGEIF(Cleaned!$D$2:$D$125,11,Cleaned!AB$2:AB$125))</f>
        <v>106.666666666667</v>
      </c>
    </row>
    <row r="557" customFormat="false" ht="15" hidden="false" customHeight="false" outlineLevel="0" collapsed="false">
      <c r="A557" s="12" t="s">
        <v>715</v>
      </c>
      <c r="B557" s="12" t="n">
        <f aca="false">COUNTIFS(Cleaned!$D$2:$D$125,12,Cleaned!AB$2:AB$125,"&lt;&gt;")</f>
        <v>1</v>
      </c>
      <c r="C557" s="15" t="n">
        <f aca="false">IF(B557=0,"",AVERAGEIF(Cleaned!$D$2:$D$125,12,Cleaned!AB$2:AB$125))</f>
        <v>15</v>
      </c>
    </row>
    <row r="560" customFormat="false" ht="15" hidden="false" customHeight="false" outlineLevel="0" collapsed="false">
      <c r="A560" s="6" t="s">
        <v>28</v>
      </c>
      <c r="B560" s="7" t="s">
        <v>747</v>
      </c>
    </row>
    <row r="561" customFormat="false" ht="15" hidden="false" customHeight="false" outlineLevel="0" collapsed="false">
      <c r="A561" s="8"/>
      <c r="B561" s="9" t="s">
        <v>726</v>
      </c>
      <c r="C561" s="8"/>
      <c r="D561" s="9" t="s">
        <v>362</v>
      </c>
      <c r="E561" s="8"/>
      <c r="F561" s="9" t="s">
        <v>694</v>
      </c>
    </row>
    <row r="562" customFormat="false" ht="15" hidden="false" customHeight="false" outlineLevel="0" collapsed="false">
      <c r="B562" s="10" t="s">
        <v>695</v>
      </c>
      <c r="C562" s="10" t="s">
        <v>696</v>
      </c>
      <c r="D562" s="10" t="s">
        <v>695</v>
      </c>
      <c r="E562" s="10" t="s">
        <v>696</v>
      </c>
    </row>
    <row r="563" customFormat="false" ht="15" hidden="false" customHeight="false" outlineLevel="0" collapsed="false">
      <c r="A563" s="11" t="s">
        <v>697</v>
      </c>
    </row>
    <row r="564" customFormat="false" ht="15" hidden="false" customHeight="false" outlineLevel="0" collapsed="false">
      <c r="A564" s="12" t="s">
        <v>698</v>
      </c>
      <c r="B564" s="12" t="n">
        <f aca="false">COUNTIFS(Cleaned!$C$2:$C$125,1,Cleaned!AC$2:AC$125,1)</f>
        <v>3</v>
      </c>
      <c r="C564" s="13" t="n">
        <f aca="false">IFERROR(B564/$F564,"")</f>
        <v>0.2</v>
      </c>
      <c r="D564" s="12" t="n">
        <f aca="false">COUNTIFS(Cleaned!$C$2:$C$125,1,Cleaned!AC$2:AC$125,2)</f>
        <v>12</v>
      </c>
      <c r="E564" s="13" t="n">
        <f aca="false">IFERROR(D564/$F564,"")</f>
        <v>0.8</v>
      </c>
      <c r="F564" s="12" t="n">
        <f aca="false">B564+D564</f>
        <v>15</v>
      </c>
    </row>
    <row r="565" customFormat="false" ht="15" hidden="false" customHeight="false" outlineLevel="0" collapsed="false">
      <c r="A565" s="12" t="s">
        <v>699</v>
      </c>
      <c r="B565" s="12" t="n">
        <f aca="false">COUNTIFS(Cleaned!$C$2:$C$125,2,Cleaned!AC$2:AC$125,1)</f>
        <v>4</v>
      </c>
      <c r="C565" s="13" t="n">
        <f aca="false">IFERROR(B565/$F565,"")</f>
        <v>0.333333333333333</v>
      </c>
      <c r="D565" s="12" t="n">
        <f aca="false">COUNTIFS(Cleaned!$C$2:$C$125,2,Cleaned!AC$2:AC$125,2)</f>
        <v>8</v>
      </c>
      <c r="E565" s="13" t="n">
        <f aca="false">IFERROR(D565/$F565,"")</f>
        <v>0.666666666666667</v>
      </c>
      <c r="F565" s="12" t="n">
        <f aca="false">B565+D565</f>
        <v>12</v>
      </c>
    </row>
    <row r="566" customFormat="false" ht="15" hidden="false" customHeight="false" outlineLevel="0" collapsed="false">
      <c r="A566" s="12" t="s">
        <v>700</v>
      </c>
      <c r="B566" s="12" t="n">
        <f aca="false">COUNTIFS(Cleaned!$C$2:$C$125,3,Cleaned!AC$2:AC$125,1)</f>
        <v>4</v>
      </c>
      <c r="C566" s="13" t="n">
        <f aca="false">IFERROR(B566/$F566,"")</f>
        <v>0.25</v>
      </c>
      <c r="D566" s="12" t="n">
        <f aca="false">COUNTIFS(Cleaned!$C$2:$C$125,3,Cleaned!AC$2:AC$125,2)</f>
        <v>12</v>
      </c>
      <c r="E566" s="13" t="n">
        <f aca="false">IFERROR(D566/$F566,"")</f>
        <v>0.75</v>
      </c>
      <c r="F566" s="12" t="n">
        <f aca="false">B566+D566</f>
        <v>16</v>
      </c>
    </row>
    <row r="567" customFormat="false" ht="15" hidden="false" customHeight="false" outlineLevel="0" collapsed="false">
      <c r="A567" s="12" t="s">
        <v>701</v>
      </c>
      <c r="B567" s="12" t="n">
        <f aca="false">COUNTIFS(Cleaned!$C$2:$C$125,4,Cleaned!AC$2:AC$125,1)</f>
        <v>6</v>
      </c>
      <c r="C567" s="13" t="n">
        <f aca="false">IFERROR(B567/$F567,"")</f>
        <v>0.545454545454545</v>
      </c>
      <c r="D567" s="12" t="n">
        <f aca="false">COUNTIFS(Cleaned!$C$2:$C$125,4,Cleaned!AC$2:AC$125,2)</f>
        <v>5</v>
      </c>
      <c r="E567" s="13" t="n">
        <f aca="false">IFERROR(D567/$F567,"")</f>
        <v>0.454545454545455</v>
      </c>
      <c r="F567" s="12" t="n">
        <f aca="false">B567+D567</f>
        <v>11</v>
      </c>
    </row>
    <row r="568" customFormat="false" ht="15" hidden="false" customHeight="false" outlineLevel="0" collapsed="false">
      <c r="A568" s="12" t="s">
        <v>702</v>
      </c>
      <c r="B568" s="12" t="n">
        <f aca="false">COUNTIFS(Cleaned!$C$2:$C$125,5,Cleaned!AC$2:AC$125,1)</f>
        <v>16</v>
      </c>
      <c r="C568" s="13" t="n">
        <f aca="false">IFERROR(B568/$F568,"")</f>
        <v>0.761904761904762</v>
      </c>
      <c r="D568" s="12" t="n">
        <f aca="false">COUNTIFS(Cleaned!$C$2:$C$125,5,Cleaned!AC$2:AC$125,2)</f>
        <v>5</v>
      </c>
      <c r="E568" s="13" t="n">
        <f aca="false">IFERROR(D568/$F568,"")</f>
        <v>0.238095238095238</v>
      </c>
      <c r="F568" s="12" t="n">
        <f aca="false">B568+D568</f>
        <v>21</v>
      </c>
    </row>
    <row r="569" customFormat="false" ht="15" hidden="false" customHeight="false" outlineLevel="0" collapsed="false">
      <c r="A569" s="11" t="s">
        <v>703</v>
      </c>
      <c r="B569" s="11" t="n">
        <f aca="false">SUM(B564:B568)</f>
        <v>33</v>
      </c>
      <c r="C569" s="14" t="n">
        <f aca="false">IFERROR(B569/$F569,"")</f>
        <v>0.44</v>
      </c>
      <c r="D569" s="11" t="n">
        <f aca="false">SUM(D564:D568)</f>
        <v>42</v>
      </c>
      <c r="E569" s="14" t="n">
        <f aca="false">IFERROR(D569/$F569,"")</f>
        <v>0.56</v>
      </c>
      <c r="F569" s="11" t="n">
        <f aca="false">SUM(F564:F568)</f>
        <v>75</v>
      </c>
    </row>
    <row r="570" customFormat="false" ht="15" hidden="false" customHeight="false" outlineLevel="0" collapsed="false">
      <c r="A570" s="11" t="s">
        <v>3</v>
      </c>
    </row>
    <row r="571" customFormat="false" ht="15" hidden="false" customHeight="false" outlineLevel="0" collapsed="false">
      <c r="A571" s="12" t="s">
        <v>704</v>
      </c>
      <c r="B571" s="12" t="n">
        <f aca="false">COUNTIFS(Cleaned!$D$2:$D$125,1,Cleaned!AC$2:AC$125,1)</f>
        <v>4</v>
      </c>
      <c r="C571" s="13" t="n">
        <f aca="false">IFERROR(B571/$F571,"")</f>
        <v>0.444444444444444</v>
      </c>
      <c r="D571" s="12" t="n">
        <f aca="false">COUNTIFS(Cleaned!$D$2:$D$125,1,Cleaned!AC$2:AC$125,2)</f>
        <v>5</v>
      </c>
      <c r="E571" s="13" t="n">
        <f aca="false">IFERROR(D571/$F571,"")</f>
        <v>0.555555555555556</v>
      </c>
      <c r="F571" s="12" t="n">
        <f aca="false">B571+D571</f>
        <v>9</v>
      </c>
    </row>
    <row r="572" customFormat="false" ht="15" hidden="false" customHeight="false" outlineLevel="0" collapsed="false">
      <c r="A572" s="12" t="s">
        <v>705</v>
      </c>
      <c r="B572" s="12" t="n">
        <f aca="false">COUNTIFS(Cleaned!$D$2:$D$125,2,Cleaned!AC$2:AC$125,1)</f>
        <v>14</v>
      </c>
      <c r="C572" s="13" t="n">
        <f aca="false">IFERROR(B572/$F572,"")</f>
        <v>1</v>
      </c>
      <c r="D572" s="12" t="n">
        <f aca="false">COUNTIFS(Cleaned!$D$2:$D$125,2,Cleaned!AC$2:AC$125,2)</f>
        <v>0</v>
      </c>
      <c r="E572" s="13" t="n">
        <f aca="false">IFERROR(D572/$F572,"")</f>
        <v>0</v>
      </c>
      <c r="F572" s="12" t="n">
        <f aca="false">B572+D572</f>
        <v>14</v>
      </c>
    </row>
    <row r="573" customFormat="false" ht="15" hidden="false" customHeight="false" outlineLevel="0" collapsed="false">
      <c r="A573" s="12" t="s">
        <v>706</v>
      </c>
      <c r="B573" s="12" t="n">
        <f aca="false">COUNTIFS(Cleaned!$D$2:$D$125,3,Cleaned!AC$2:AC$125,1)</f>
        <v>3</v>
      </c>
      <c r="C573" s="13" t="n">
        <f aca="false">IFERROR(B573/$F573,"")</f>
        <v>0.3</v>
      </c>
      <c r="D573" s="12" t="n">
        <f aca="false">COUNTIFS(Cleaned!$D$2:$D$125,3,Cleaned!AC$2:AC$125,2)</f>
        <v>7</v>
      </c>
      <c r="E573" s="13" t="n">
        <f aca="false">IFERROR(D573/$F573,"")</f>
        <v>0.7</v>
      </c>
      <c r="F573" s="12" t="n">
        <f aca="false">B573+D573</f>
        <v>10</v>
      </c>
    </row>
    <row r="574" customFormat="false" ht="15" hidden="false" customHeight="false" outlineLevel="0" collapsed="false">
      <c r="A574" s="12" t="s">
        <v>707</v>
      </c>
      <c r="B574" s="12" t="n">
        <f aca="false">COUNTIFS(Cleaned!$D$2:$D$125,4,Cleaned!AC$2:AC$125,1)</f>
        <v>2</v>
      </c>
      <c r="C574" s="13" t="n">
        <f aca="false">IFERROR(B574/$F574,"")</f>
        <v>0.333333333333333</v>
      </c>
      <c r="D574" s="12" t="n">
        <f aca="false">COUNTIFS(Cleaned!$D$2:$D$125,4,Cleaned!AC$2:AC$125,2)</f>
        <v>4</v>
      </c>
      <c r="E574" s="13" t="n">
        <f aca="false">IFERROR(D574/$F574,"")</f>
        <v>0.666666666666667</v>
      </c>
      <c r="F574" s="12" t="n">
        <f aca="false">B574+D574</f>
        <v>6</v>
      </c>
    </row>
    <row r="575" customFormat="false" ht="15" hidden="false" customHeight="false" outlineLevel="0" collapsed="false">
      <c r="A575" s="12" t="s">
        <v>708</v>
      </c>
      <c r="B575" s="12" t="n">
        <f aca="false">COUNTIFS(Cleaned!$D$2:$D$125,5,Cleaned!AC$2:AC$125,1)</f>
        <v>0</v>
      </c>
      <c r="C575" s="13" t="n">
        <f aca="false">IFERROR(B575/$F575,"")</f>
        <v>0</v>
      </c>
      <c r="D575" s="12" t="n">
        <f aca="false">COUNTIFS(Cleaned!$D$2:$D$125,5,Cleaned!AC$2:AC$125,2)</f>
        <v>1</v>
      </c>
      <c r="E575" s="13" t="n">
        <f aca="false">IFERROR(D575/$F575,"")</f>
        <v>1</v>
      </c>
      <c r="F575" s="12" t="n">
        <f aca="false">B575+D575</f>
        <v>1</v>
      </c>
    </row>
    <row r="576" customFormat="false" ht="15" hidden="false" customHeight="false" outlineLevel="0" collapsed="false">
      <c r="A576" s="12" t="s">
        <v>709</v>
      </c>
      <c r="B576" s="12" t="n">
        <f aca="false">COUNTIFS(Cleaned!$D$2:$D$125,6,Cleaned!AC$2:AC$125,1)</f>
        <v>0</v>
      </c>
      <c r="C576" s="13" t="n">
        <f aca="false">IFERROR(B576/$F576,"")</f>
        <v>0</v>
      </c>
      <c r="D576" s="12" t="n">
        <f aca="false">COUNTIFS(Cleaned!$D$2:$D$125,6,Cleaned!AC$2:AC$125,2)</f>
        <v>3</v>
      </c>
      <c r="E576" s="13" t="n">
        <f aca="false">IFERROR(D576/$F576,"")</f>
        <v>1</v>
      </c>
      <c r="F576" s="12" t="n">
        <f aca="false">B576+D576</f>
        <v>3</v>
      </c>
    </row>
    <row r="577" customFormat="false" ht="15" hidden="false" customHeight="false" outlineLevel="0" collapsed="false">
      <c r="A577" s="12" t="s">
        <v>710</v>
      </c>
      <c r="B577" s="12" t="n">
        <f aca="false">COUNTIFS(Cleaned!$D$2:$D$125,7,Cleaned!AC$2:AC$125,1)</f>
        <v>2</v>
      </c>
      <c r="C577" s="13" t="n">
        <f aca="false">IFERROR(B577/$F577,"")</f>
        <v>0.222222222222222</v>
      </c>
      <c r="D577" s="12" t="n">
        <f aca="false">COUNTIFS(Cleaned!$D$2:$D$125,7,Cleaned!AC$2:AC$125,2)</f>
        <v>7</v>
      </c>
      <c r="E577" s="13" t="n">
        <f aca="false">IFERROR(D577/$F577,"")</f>
        <v>0.777777777777778</v>
      </c>
      <c r="F577" s="12" t="n">
        <f aca="false">B577+D577</f>
        <v>9</v>
      </c>
    </row>
    <row r="578" customFormat="false" ht="15" hidden="false" customHeight="false" outlineLevel="0" collapsed="false">
      <c r="A578" s="12" t="s">
        <v>711</v>
      </c>
      <c r="B578" s="12" t="n">
        <f aca="false">COUNTIFS(Cleaned!$D$2:$D$125,8,Cleaned!AC$2:AC$125,1)</f>
        <v>2</v>
      </c>
      <c r="C578" s="13" t="n">
        <f aca="false">IFERROR(B578/$F578,"")</f>
        <v>0.5</v>
      </c>
      <c r="D578" s="12" t="n">
        <f aca="false">COUNTIFS(Cleaned!$D$2:$D$125,8,Cleaned!AC$2:AC$125,2)</f>
        <v>2</v>
      </c>
      <c r="E578" s="13" t="n">
        <f aca="false">IFERROR(D578/$F578,"")</f>
        <v>0.5</v>
      </c>
      <c r="F578" s="12" t="n">
        <f aca="false">B578+D578</f>
        <v>4</v>
      </c>
    </row>
    <row r="579" customFormat="false" ht="15" hidden="false" customHeight="false" outlineLevel="0" collapsed="false">
      <c r="A579" s="12" t="s">
        <v>712</v>
      </c>
      <c r="B579" s="12" t="n">
        <f aca="false">COUNTIFS(Cleaned!$D$2:$D$125,9,Cleaned!AC$2:AC$125,1)</f>
        <v>2</v>
      </c>
      <c r="C579" s="13" t="n">
        <f aca="false">IFERROR(B579/$F579,"")</f>
        <v>1</v>
      </c>
      <c r="D579" s="12" t="n">
        <f aca="false">COUNTIFS(Cleaned!$D$2:$D$125,9,Cleaned!AC$2:AC$125,2)</f>
        <v>0</v>
      </c>
      <c r="E579" s="13" t="n">
        <f aca="false">IFERROR(D579/$F579,"")</f>
        <v>0</v>
      </c>
      <c r="F579" s="12" t="n">
        <f aca="false">B579+D579</f>
        <v>2</v>
      </c>
    </row>
    <row r="580" customFormat="false" ht="15" hidden="false" customHeight="false" outlineLevel="0" collapsed="false">
      <c r="A580" s="12" t="s">
        <v>713</v>
      </c>
      <c r="B580" s="12" t="n">
        <f aca="false">COUNTIFS(Cleaned!$D$2:$D$125,10,Cleaned!AC$2:AC$125,1)</f>
        <v>1</v>
      </c>
      <c r="C580" s="13" t="n">
        <f aca="false">IFERROR(B580/$F580,"")</f>
        <v>0.5</v>
      </c>
      <c r="D580" s="12" t="n">
        <f aca="false">COUNTIFS(Cleaned!$D$2:$D$125,10,Cleaned!AC$2:AC$125,2)</f>
        <v>1</v>
      </c>
      <c r="E580" s="13" t="n">
        <f aca="false">IFERROR(D580/$F580,"")</f>
        <v>0.5</v>
      </c>
      <c r="F580" s="12" t="n">
        <f aca="false">B580+D580</f>
        <v>2</v>
      </c>
    </row>
    <row r="581" customFormat="false" ht="15" hidden="false" customHeight="false" outlineLevel="0" collapsed="false">
      <c r="A581" s="12" t="s">
        <v>714</v>
      </c>
      <c r="B581" s="12" t="n">
        <f aca="false">COUNTIFS(Cleaned!$D$2:$D$125,11,Cleaned!AC$2:AC$125,1)</f>
        <v>2</v>
      </c>
      <c r="C581" s="13" t="n">
        <f aca="false">IFERROR(B581/$F581,"")</f>
        <v>0.2</v>
      </c>
      <c r="D581" s="12" t="n">
        <f aca="false">COUNTIFS(Cleaned!$D$2:$D$125,11,Cleaned!AC$2:AC$125,2)</f>
        <v>8</v>
      </c>
      <c r="E581" s="13" t="n">
        <f aca="false">IFERROR(D581/$F581,"")</f>
        <v>0.8</v>
      </c>
      <c r="F581" s="12" t="n">
        <f aca="false">B581+D581</f>
        <v>10</v>
      </c>
    </row>
    <row r="582" customFormat="false" ht="15" hidden="false" customHeight="false" outlineLevel="0" collapsed="false">
      <c r="A582" s="12" t="s">
        <v>715</v>
      </c>
      <c r="B582" s="12" t="n">
        <f aca="false">COUNTIFS(Cleaned!$D$2:$D$125,12,Cleaned!AC$2:AC$125,1)</f>
        <v>1</v>
      </c>
      <c r="C582" s="13" t="n">
        <f aca="false">IFERROR(B582/$F582,"")</f>
        <v>0.2</v>
      </c>
      <c r="D582" s="12" t="n">
        <f aca="false">COUNTIFS(Cleaned!$D$2:$D$125,12,Cleaned!AC$2:AC$125,2)</f>
        <v>4</v>
      </c>
      <c r="E582" s="13" t="n">
        <f aca="false">IFERROR(D582/$F582,"")</f>
        <v>0.8</v>
      </c>
      <c r="F582" s="12" t="n">
        <f aca="false">B582+D582</f>
        <v>5</v>
      </c>
    </row>
    <row r="583" customFormat="false" ht="15" hidden="false" customHeight="false" outlineLevel="0" collapsed="false">
      <c r="A583" s="11" t="s">
        <v>716</v>
      </c>
      <c r="B583" s="11" t="n">
        <f aca="false">SUM(B571:B582)</f>
        <v>33</v>
      </c>
      <c r="C583" s="14" t="n">
        <f aca="false">IFERROR(B583/$F583,"")</f>
        <v>0.44</v>
      </c>
      <c r="D583" s="11" t="n">
        <f aca="false">SUM(D571:D582)</f>
        <v>42</v>
      </c>
      <c r="E583" s="14" t="n">
        <f aca="false">IFERROR(D583/$F583,"")</f>
        <v>0.56</v>
      </c>
      <c r="F583" s="11" t="n">
        <f aca="false">SUM(F571:F582)</f>
        <v>75</v>
      </c>
    </row>
    <row r="586" customFormat="false" ht="15" hidden="false" customHeight="false" outlineLevel="0" collapsed="false">
      <c r="A586" s="6" t="s">
        <v>30</v>
      </c>
      <c r="B586" s="7" t="s">
        <v>748</v>
      </c>
    </row>
    <row r="587" customFormat="false" ht="15" hidden="false" customHeight="false" outlineLevel="0" collapsed="false">
      <c r="A587" s="8"/>
      <c r="B587" s="9" t="s">
        <v>362</v>
      </c>
      <c r="C587" s="8"/>
      <c r="D587" s="9" t="s">
        <v>749</v>
      </c>
      <c r="E587" s="8"/>
      <c r="F587" s="9" t="s">
        <v>750</v>
      </c>
      <c r="G587" s="8"/>
      <c r="H587" s="9" t="s">
        <v>751</v>
      </c>
      <c r="I587" s="8"/>
      <c r="J587" s="9" t="s">
        <v>694</v>
      </c>
    </row>
    <row r="588" customFormat="false" ht="15" hidden="false" customHeight="false" outlineLevel="0" collapsed="false">
      <c r="B588" s="10" t="s">
        <v>695</v>
      </c>
      <c r="C588" s="10" t="s">
        <v>696</v>
      </c>
      <c r="D588" s="10" t="s">
        <v>695</v>
      </c>
      <c r="E588" s="10" t="s">
        <v>696</v>
      </c>
      <c r="F588" s="10" t="s">
        <v>695</v>
      </c>
      <c r="G588" s="10" t="s">
        <v>696</v>
      </c>
      <c r="H588" s="10" t="s">
        <v>695</v>
      </c>
      <c r="I588" s="10" t="s">
        <v>696</v>
      </c>
    </row>
    <row r="589" customFormat="false" ht="15" hidden="false" customHeight="false" outlineLevel="0" collapsed="false">
      <c r="A589" s="11" t="s">
        <v>697</v>
      </c>
    </row>
    <row r="590" customFormat="false" ht="15" hidden="false" customHeight="false" outlineLevel="0" collapsed="false">
      <c r="A590" s="12" t="s">
        <v>698</v>
      </c>
      <c r="B590" s="12" t="n">
        <f aca="false">COUNTIFS(Cleaned!$C$2:$C$125,1,Cleaned!AE$2:AE$125,1)</f>
        <v>0</v>
      </c>
      <c r="C590" s="13" t="n">
        <f aca="false">IFERROR(B590/$J590,"")</f>
        <v>0</v>
      </c>
      <c r="D590" s="12" t="n">
        <f aca="false">COUNTIFS(Cleaned!$C$2:$C$125,1,Cleaned!AE$2:AE$125,2)</f>
        <v>4</v>
      </c>
      <c r="E590" s="13" t="n">
        <f aca="false">IFERROR(D590/$J590,"")</f>
        <v>0.266666666666667</v>
      </c>
      <c r="F590" s="12" t="n">
        <f aca="false">COUNTIFS(Cleaned!$C$2:$C$125,1,Cleaned!AE$2:AE$125,3)</f>
        <v>11</v>
      </c>
      <c r="G590" s="13" t="n">
        <f aca="false">IFERROR(F590/$J590,"")</f>
        <v>0.733333333333333</v>
      </c>
      <c r="H590" s="12" t="n">
        <f aca="false">COUNTIFS(Cleaned!$C$2:$C$125,1,Cleaned!AE$2:AE$125,4)</f>
        <v>0</v>
      </c>
      <c r="I590" s="13" t="n">
        <f aca="false">IFERROR(H590/$J590,"")</f>
        <v>0</v>
      </c>
      <c r="J590" s="12" t="n">
        <f aca="false">B590+D590+F590+H590</f>
        <v>15</v>
      </c>
    </row>
    <row r="591" customFormat="false" ht="15" hidden="false" customHeight="false" outlineLevel="0" collapsed="false">
      <c r="A591" s="12" t="s">
        <v>699</v>
      </c>
      <c r="B591" s="12" t="n">
        <f aca="false">COUNTIFS(Cleaned!$C$2:$C$125,2,Cleaned!AE$2:AE$125,1)</f>
        <v>0</v>
      </c>
      <c r="C591" s="13" t="n">
        <f aca="false">IFERROR(B591/$J591,"")</f>
        <v>0</v>
      </c>
      <c r="D591" s="12" t="n">
        <f aca="false">COUNTIFS(Cleaned!$C$2:$C$125,2,Cleaned!AE$2:AE$125,2)</f>
        <v>1</v>
      </c>
      <c r="E591" s="13" t="n">
        <f aca="false">IFERROR(D591/$J591,"")</f>
        <v>0.0833333333333333</v>
      </c>
      <c r="F591" s="12" t="n">
        <f aca="false">COUNTIFS(Cleaned!$C$2:$C$125,2,Cleaned!AE$2:AE$125,3)</f>
        <v>11</v>
      </c>
      <c r="G591" s="13" t="n">
        <f aca="false">IFERROR(F591/$J591,"")</f>
        <v>0.916666666666667</v>
      </c>
      <c r="H591" s="12" t="n">
        <f aca="false">COUNTIFS(Cleaned!$C$2:$C$125,2,Cleaned!AE$2:AE$125,4)</f>
        <v>0</v>
      </c>
      <c r="I591" s="13" t="n">
        <f aca="false">IFERROR(H591/$J591,"")</f>
        <v>0</v>
      </c>
      <c r="J591" s="12" t="n">
        <f aca="false">B591+D591+F591+H591</f>
        <v>12</v>
      </c>
    </row>
    <row r="592" customFormat="false" ht="15" hidden="false" customHeight="false" outlineLevel="0" collapsed="false">
      <c r="A592" s="12" t="s">
        <v>700</v>
      </c>
      <c r="B592" s="12" t="n">
        <f aca="false">COUNTIFS(Cleaned!$C$2:$C$125,3,Cleaned!AE$2:AE$125,1)</f>
        <v>1</v>
      </c>
      <c r="C592" s="13" t="n">
        <f aca="false">IFERROR(B592/$J592,"")</f>
        <v>0.0625</v>
      </c>
      <c r="D592" s="12" t="n">
        <f aca="false">COUNTIFS(Cleaned!$C$2:$C$125,3,Cleaned!AE$2:AE$125,2)</f>
        <v>3</v>
      </c>
      <c r="E592" s="13" t="n">
        <f aca="false">IFERROR(D592/$J592,"")</f>
        <v>0.1875</v>
      </c>
      <c r="F592" s="12" t="n">
        <f aca="false">COUNTIFS(Cleaned!$C$2:$C$125,3,Cleaned!AE$2:AE$125,3)</f>
        <v>11</v>
      </c>
      <c r="G592" s="13" t="n">
        <f aca="false">IFERROR(F592/$J592,"")</f>
        <v>0.6875</v>
      </c>
      <c r="H592" s="12" t="n">
        <f aca="false">COUNTIFS(Cleaned!$C$2:$C$125,3,Cleaned!AE$2:AE$125,4)</f>
        <v>1</v>
      </c>
      <c r="I592" s="13" t="n">
        <f aca="false">IFERROR(H592/$J592,"")</f>
        <v>0.0625</v>
      </c>
      <c r="J592" s="12" t="n">
        <f aca="false">B592+D592+F592+H592</f>
        <v>16</v>
      </c>
    </row>
    <row r="593" customFormat="false" ht="15" hidden="false" customHeight="false" outlineLevel="0" collapsed="false">
      <c r="A593" s="12" t="s">
        <v>701</v>
      </c>
      <c r="B593" s="12" t="n">
        <f aca="false">COUNTIFS(Cleaned!$C$2:$C$125,4,Cleaned!AE$2:AE$125,1)</f>
        <v>0</v>
      </c>
      <c r="C593" s="13" t="n">
        <f aca="false">IFERROR(B593/$J593,"")</f>
        <v>0</v>
      </c>
      <c r="D593" s="12" t="n">
        <f aca="false">COUNTIFS(Cleaned!$C$2:$C$125,4,Cleaned!AE$2:AE$125,2)</f>
        <v>0</v>
      </c>
      <c r="E593" s="13" t="n">
        <f aca="false">IFERROR(D593/$J593,"")</f>
        <v>0</v>
      </c>
      <c r="F593" s="12" t="n">
        <f aca="false">COUNTIFS(Cleaned!$C$2:$C$125,4,Cleaned!AE$2:AE$125,3)</f>
        <v>11</v>
      </c>
      <c r="G593" s="13" t="n">
        <f aca="false">IFERROR(F593/$J593,"")</f>
        <v>1</v>
      </c>
      <c r="H593" s="12" t="n">
        <f aca="false">COUNTIFS(Cleaned!$C$2:$C$125,4,Cleaned!AE$2:AE$125,4)</f>
        <v>0</v>
      </c>
      <c r="I593" s="13" t="n">
        <f aca="false">IFERROR(H593/$J593,"")</f>
        <v>0</v>
      </c>
      <c r="J593" s="12" t="n">
        <f aca="false">B593+D593+F593+H593</f>
        <v>11</v>
      </c>
    </row>
    <row r="594" customFormat="false" ht="15" hidden="false" customHeight="false" outlineLevel="0" collapsed="false">
      <c r="A594" s="12" t="s">
        <v>702</v>
      </c>
      <c r="B594" s="12" t="n">
        <f aca="false">COUNTIFS(Cleaned!$C$2:$C$125,5,Cleaned!AE$2:AE$125,1)</f>
        <v>0</v>
      </c>
      <c r="C594" s="13" t="n">
        <f aca="false">IFERROR(B594/$J594,"")</f>
        <v>0</v>
      </c>
      <c r="D594" s="12" t="n">
        <f aca="false">COUNTIFS(Cleaned!$C$2:$C$125,5,Cleaned!AE$2:AE$125,2)</f>
        <v>1</v>
      </c>
      <c r="E594" s="13" t="n">
        <f aca="false">IFERROR(D594/$J594,"")</f>
        <v>0.0476190476190476</v>
      </c>
      <c r="F594" s="12" t="n">
        <f aca="false">COUNTIFS(Cleaned!$C$2:$C$125,5,Cleaned!AE$2:AE$125,3)</f>
        <v>20</v>
      </c>
      <c r="G594" s="13" t="n">
        <f aca="false">IFERROR(F594/$J594,"")</f>
        <v>0.952380952380952</v>
      </c>
      <c r="H594" s="12" t="n">
        <f aca="false">COUNTIFS(Cleaned!$C$2:$C$125,5,Cleaned!AE$2:AE$125,4)</f>
        <v>0</v>
      </c>
      <c r="I594" s="13" t="n">
        <f aca="false">IFERROR(H594/$J594,"")</f>
        <v>0</v>
      </c>
      <c r="J594" s="12" t="n">
        <f aca="false">B594+D594+F594+H594</f>
        <v>21</v>
      </c>
    </row>
    <row r="595" customFormat="false" ht="15" hidden="false" customHeight="false" outlineLevel="0" collapsed="false">
      <c r="A595" s="11" t="s">
        <v>703</v>
      </c>
      <c r="B595" s="11" t="n">
        <f aca="false">SUM(B590:B594)</f>
        <v>1</v>
      </c>
      <c r="C595" s="14" t="n">
        <f aca="false">IFERROR(B595/$J595,"")</f>
        <v>0.0133333333333333</v>
      </c>
      <c r="D595" s="11" t="n">
        <f aca="false">SUM(D590:D594)</f>
        <v>9</v>
      </c>
      <c r="E595" s="14" t="n">
        <f aca="false">IFERROR(D595/$J595,"")</f>
        <v>0.12</v>
      </c>
      <c r="F595" s="11" t="n">
        <f aca="false">SUM(F590:F594)</f>
        <v>64</v>
      </c>
      <c r="G595" s="14" t="n">
        <f aca="false">IFERROR(F595/$J595,"")</f>
        <v>0.853333333333333</v>
      </c>
      <c r="H595" s="11" t="n">
        <f aca="false">SUM(H590:H594)</f>
        <v>1</v>
      </c>
      <c r="I595" s="14" t="n">
        <f aca="false">IFERROR(H595/$J595,"")</f>
        <v>0.0133333333333333</v>
      </c>
      <c r="J595" s="11" t="n">
        <f aca="false">SUM(J590:J594)</f>
        <v>75</v>
      </c>
    </row>
    <row r="596" customFormat="false" ht="15" hidden="false" customHeight="false" outlineLevel="0" collapsed="false">
      <c r="A596" s="11" t="s">
        <v>3</v>
      </c>
    </row>
    <row r="597" customFormat="false" ht="15" hidden="false" customHeight="false" outlineLevel="0" collapsed="false">
      <c r="A597" s="12" t="s">
        <v>704</v>
      </c>
      <c r="B597" s="12" t="n">
        <f aca="false">COUNTIFS(Cleaned!$D$2:$D$125,1,Cleaned!AE$2:AE$125,1)</f>
        <v>0</v>
      </c>
      <c r="C597" s="13" t="n">
        <f aca="false">IFERROR(B597/$J597,"")</f>
        <v>0</v>
      </c>
      <c r="D597" s="12" t="n">
        <f aca="false">COUNTIFS(Cleaned!$D$2:$D$125,1,Cleaned!AE$2:AE$125,2)</f>
        <v>0</v>
      </c>
      <c r="E597" s="13" t="n">
        <f aca="false">IFERROR(D597/$J597,"")</f>
        <v>0</v>
      </c>
      <c r="F597" s="12" t="n">
        <f aca="false">COUNTIFS(Cleaned!$D$2:$D$125,1,Cleaned!AE$2:AE$125,3)</f>
        <v>9</v>
      </c>
      <c r="G597" s="13" t="n">
        <f aca="false">IFERROR(F597/$J597,"")</f>
        <v>1</v>
      </c>
      <c r="H597" s="12" t="n">
        <f aca="false">COUNTIFS(Cleaned!$D$2:$D$125,1,Cleaned!AE$2:AE$125,4)</f>
        <v>0</v>
      </c>
      <c r="I597" s="13" t="n">
        <f aca="false">IFERROR(H597/$J597,"")</f>
        <v>0</v>
      </c>
      <c r="J597" s="12" t="n">
        <f aca="false">B597+D597+F597+H597</f>
        <v>9</v>
      </c>
    </row>
    <row r="598" customFormat="false" ht="15" hidden="false" customHeight="false" outlineLevel="0" collapsed="false">
      <c r="A598" s="12" t="s">
        <v>705</v>
      </c>
      <c r="B598" s="12" t="n">
        <f aca="false">COUNTIFS(Cleaned!$D$2:$D$125,2,Cleaned!AE$2:AE$125,1)</f>
        <v>0</v>
      </c>
      <c r="C598" s="13" t="n">
        <f aca="false">IFERROR(B598/$J598,"")</f>
        <v>0</v>
      </c>
      <c r="D598" s="12" t="n">
        <f aca="false">COUNTIFS(Cleaned!$D$2:$D$125,2,Cleaned!AE$2:AE$125,2)</f>
        <v>0</v>
      </c>
      <c r="E598" s="13" t="n">
        <f aca="false">IFERROR(D598/$J598,"")</f>
        <v>0</v>
      </c>
      <c r="F598" s="12" t="n">
        <f aca="false">COUNTIFS(Cleaned!$D$2:$D$125,2,Cleaned!AE$2:AE$125,3)</f>
        <v>14</v>
      </c>
      <c r="G598" s="13" t="n">
        <f aca="false">IFERROR(F598/$J598,"")</f>
        <v>1</v>
      </c>
      <c r="H598" s="12" t="n">
        <f aca="false">COUNTIFS(Cleaned!$D$2:$D$125,2,Cleaned!AE$2:AE$125,4)</f>
        <v>0</v>
      </c>
      <c r="I598" s="13" t="n">
        <f aca="false">IFERROR(H598/$J598,"")</f>
        <v>0</v>
      </c>
      <c r="J598" s="12" t="n">
        <f aca="false">B598+D598+F598+H598</f>
        <v>14</v>
      </c>
    </row>
    <row r="599" customFormat="false" ht="15" hidden="false" customHeight="false" outlineLevel="0" collapsed="false">
      <c r="A599" s="12" t="s">
        <v>706</v>
      </c>
      <c r="B599" s="12" t="n">
        <f aca="false">COUNTIFS(Cleaned!$D$2:$D$125,3,Cleaned!AE$2:AE$125,1)</f>
        <v>1</v>
      </c>
      <c r="C599" s="13" t="n">
        <f aca="false">IFERROR(B599/$J599,"")</f>
        <v>0.1</v>
      </c>
      <c r="D599" s="12" t="n">
        <f aca="false">COUNTIFS(Cleaned!$D$2:$D$125,3,Cleaned!AE$2:AE$125,2)</f>
        <v>0</v>
      </c>
      <c r="E599" s="13" t="n">
        <f aca="false">IFERROR(D599/$J599,"")</f>
        <v>0</v>
      </c>
      <c r="F599" s="12" t="n">
        <f aca="false">COUNTIFS(Cleaned!$D$2:$D$125,3,Cleaned!AE$2:AE$125,3)</f>
        <v>9</v>
      </c>
      <c r="G599" s="13" t="n">
        <f aca="false">IFERROR(F599/$J599,"")</f>
        <v>0.9</v>
      </c>
      <c r="H599" s="12" t="n">
        <f aca="false">COUNTIFS(Cleaned!$D$2:$D$125,3,Cleaned!AE$2:AE$125,4)</f>
        <v>0</v>
      </c>
      <c r="I599" s="13" t="n">
        <f aca="false">IFERROR(H599/$J599,"")</f>
        <v>0</v>
      </c>
      <c r="J599" s="12" t="n">
        <f aca="false">B599+D599+F599+H599</f>
        <v>10</v>
      </c>
    </row>
    <row r="600" customFormat="false" ht="15" hidden="false" customHeight="false" outlineLevel="0" collapsed="false">
      <c r="A600" s="12" t="s">
        <v>707</v>
      </c>
      <c r="B600" s="12" t="n">
        <f aca="false">COUNTIFS(Cleaned!$D$2:$D$125,4,Cleaned!AE$2:AE$125,1)</f>
        <v>0</v>
      </c>
      <c r="C600" s="13" t="n">
        <f aca="false">IFERROR(B600/$J600,"")</f>
        <v>0</v>
      </c>
      <c r="D600" s="12" t="n">
        <f aca="false">COUNTIFS(Cleaned!$D$2:$D$125,4,Cleaned!AE$2:AE$125,2)</f>
        <v>0</v>
      </c>
      <c r="E600" s="13" t="n">
        <f aca="false">IFERROR(D600/$J600,"")</f>
        <v>0</v>
      </c>
      <c r="F600" s="12" t="n">
        <f aca="false">COUNTIFS(Cleaned!$D$2:$D$125,4,Cleaned!AE$2:AE$125,3)</f>
        <v>6</v>
      </c>
      <c r="G600" s="13" t="n">
        <f aca="false">IFERROR(F600/$J600,"")</f>
        <v>1</v>
      </c>
      <c r="H600" s="12" t="n">
        <f aca="false">COUNTIFS(Cleaned!$D$2:$D$125,4,Cleaned!AE$2:AE$125,4)</f>
        <v>0</v>
      </c>
      <c r="I600" s="13" t="n">
        <f aca="false">IFERROR(H600/$J600,"")</f>
        <v>0</v>
      </c>
      <c r="J600" s="12" t="n">
        <f aca="false">B600+D600+F600+H600</f>
        <v>6</v>
      </c>
    </row>
    <row r="601" customFormat="false" ht="15" hidden="false" customHeight="false" outlineLevel="0" collapsed="false">
      <c r="A601" s="12" t="s">
        <v>708</v>
      </c>
      <c r="B601" s="12" t="n">
        <f aca="false">COUNTIFS(Cleaned!$D$2:$D$125,5,Cleaned!AE$2:AE$125,1)</f>
        <v>0</v>
      </c>
      <c r="C601" s="13" t="n">
        <f aca="false">IFERROR(B601/$J601,"")</f>
        <v>0</v>
      </c>
      <c r="D601" s="12" t="n">
        <f aca="false">COUNTIFS(Cleaned!$D$2:$D$125,5,Cleaned!AE$2:AE$125,2)</f>
        <v>0</v>
      </c>
      <c r="E601" s="13" t="n">
        <f aca="false">IFERROR(D601/$J601,"")</f>
        <v>0</v>
      </c>
      <c r="F601" s="12" t="n">
        <f aca="false">COUNTIFS(Cleaned!$D$2:$D$125,5,Cleaned!AE$2:AE$125,3)</f>
        <v>1</v>
      </c>
      <c r="G601" s="13" t="n">
        <f aca="false">IFERROR(F601/$J601,"")</f>
        <v>1</v>
      </c>
      <c r="H601" s="12" t="n">
        <f aca="false">COUNTIFS(Cleaned!$D$2:$D$125,5,Cleaned!AE$2:AE$125,4)</f>
        <v>0</v>
      </c>
      <c r="I601" s="13" t="n">
        <f aca="false">IFERROR(H601/$J601,"")</f>
        <v>0</v>
      </c>
      <c r="J601" s="12" t="n">
        <f aca="false">B601+D601+F601+H601</f>
        <v>1</v>
      </c>
    </row>
    <row r="602" customFormat="false" ht="15" hidden="false" customHeight="false" outlineLevel="0" collapsed="false">
      <c r="A602" s="12" t="s">
        <v>709</v>
      </c>
      <c r="B602" s="12" t="n">
        <f aca="false">COUNTIFS(Cleaned!$D$2:$D$125,6,Cleaned!AE$2:AE$125,1)</f>
        <v>0</v>
      </c>
      <c r="C602" s="13" t="n">
        <f aca="false">IFERROR(B602/$J602,"")</f>
        <v>0</v>
      </c>
      <c r="D602" s="12" t="n">
        <f aca="false">COUNTIFS(Cleaned!$D$2:$D$125,6,Cleaned!AE$2:AE$125,2)</f>
        <v>0</v>
      </c>
      <c r="E602" s="13" t="n">
        <f aca="false">IFERROR(D602/$J602,"")</f>
        <v>0</v>
      </c>
      <c r="F602" s="12" t="n">
        <f aca="false">COUNTIFS(Cleaned!$D$2:$D$125,6,Cleaned!AE$2:AE$125,3)</f>
        <v>3</v>
      </c>
      <c r="G602" s="13" t="n">
        <f aca="false">IFERROR(F602/$J602,"")</f>
        <v>1</v>
      </c>
      <c r="H602" s="12" t="n">
        <f aca="false">COUNTIFS(Cleaned!$D$2:$D$125,6,Cleaned!AE$2:AE$125,4)</f>
        <v>0</v>
      </c>
      <c r="I602" s="13" t="n">
        <f aca="false">IFERROR(H602/$J602,"")</f>
        <v>0</v>
      </c>
      <c r="J602" s="12" t="n">
        <f aca="false">B602+D602+F602+H602</f>
        <v>3</v>
      </c>
    </row>
    <row r="603" customFormat="false" ht="15" hidden="false" customHeight="false" outlineLevel="0" collapsed="false">
      <c r="A603" s="12" t="s">
        <v>710</v>
      </c>
      <c r="B603" s="12" t="n">
        <f aca="false">COUNTIFS(Cleaned!$D$2:$D$125,7,Cleaned!AE$2:AE$125,1)</f>
        <v>0</v>
      </c>
      <c r="C603" s="13" t="n">
        <f aca="false">IFERROR(B603/$J603,"")</f>
        <v>0</v>
      </c>
      <c r="D603" s="12" t="n">
        <f aca="false">COUNTIFS(Cleaned!$D$2:$D$125,7,Cleaned!AE$2:AE$125,2)</f>
        <v>2</v>
      </c>
      <c r="E603" s="13" t="n">
        <f aca="false">IFERROR(D603/$J603,"")</f>
        <v>0.222222222222222</v>
      </c>
      <c r="F603" s="12" t="n">
        <f aca="false">COUNTIFS(Cleaned!$D$2:$D$125,7,Cleaned!AE$2:AE$125,3)</f>
        <v>6</v>
      </c>
      <c r="G603" s="13" t="n">
        <f aca="false">IFERROR(F603/$J603,"")</f>
        <v>0.666666666666667</v>
      </c>
      <c r="H603" s="12" t="n">
        <f aca="false">COUNTIFS(Cleaned!$D$2:$D$125,7,Cleaned!AE$2:AE$125,4)</f>
        <v>1</v>
      </c>
      <c r="I603" s="13" t="n">
        <f aca="false">IFERROR(H603/$J603,"")</f>
        <v>0.111111111111111</v>
      </c>
      <c r="J603" s="12" t="n">
        <f aca="false">B603+D603+F603+H603</f>
        <v>9</v>
      </c>
    </row>
    <row r="604" customFormat="false" ht="15" hidden="false" customHeight="false" outlineLevel="0" collapsed="false">
      <c r="A604" s="12" t="s">
        <v>711</v>
      </c>
      <c r="B604" s="12" t="n">
        <f aca="false">COUNTIFS(Cleaned!$D$2:$D$125,8,Cleaned!AE$2:AE$125,1)</f>
        <v>0</v>
      </c>
      <c r="C604" s="13" t="n">
        <f aca="false">IFERROR(B604/$J604,"")</f>
        <v>0</v>
      </c>
      <c r="D604" s="12" t="n">
        <f aca="false">COUNTIFS(Cleaned!$D$2:$D$125,8,Cleaned!AE$2:AE$125,2)</f>
        <v>1</v>
      </c>
      <c r="E604" s="13" t="n">
        <f aca="false">IFERROR(D604/$J604,"")</f>
        <v>0.25</v>
      </c>
      <c r="F604" s="12" t="n">
        <f aca="false">COUNTIFS(Cleaned!$D$2:$D$125,8,Cleaned!AE$2:AE$125,3)</f>
        <v>3</v>
      </c>
      <c r="G604" s="13" t="n">
        <f aca="false">IFERROR(F604/$J604,"")</f>
        <v>0.75</v>
      </c>
      <c r="H604" s="12" t="n">
        <f aca="false">COUNTIFS(Cleaned!$D$2:$D$125,8,Cleaned!AE$2:AE$125,4)</f>
        <v>0</v>
      </c>
      <c r="I604" s="13" t="n">
        <f aca="false">IFERROR(H604/$J604,"")</f>
        <v>0</v>
      </c>
      <c r="J604" s="12" t="n">
        <f aca="false">B604+D604+F604+H604</f>
        <v>4</v>
      </c>
    </row>
    <row r="605" customFormat="false" ht="15" hidden="false" customHeight="false" outlineLevel="0" collapsed="false">
      <c r="A605" s="12" t="s">
        <v>712</v>
      </c>
      <c r="B605" s="12" t="n">
        <f aca="false">COUNTIFS(Cleaned!$D$2:$D$125,9,Cleaned!AE$2:AE$125,1)</f>
        <v>0</v>
      </c>
      <c r="C605" s="13" t="n">
        <f aca="false">IFERROR(B605/$J605,"")</f>
        <v>0</v>
      </c>
      <c r="D605" s="12" t="n">
        <f aca="false">COUNTIFS(Cleaned!$D$2:$D$125,9,Cleaned!AE$2:AE$125,2)</f>
        <v>1</v>
      </c>
      <c r="E605" s="13" t="n">
        <f aca="false">IFERROR(D605/$J605,"")</f>
        <v>0.5</v>
      </c>
      <c r="F605" s="12" t="n">
        <f aca="false">COUNTIFS(Cleaned!$D$2:$D$125,9,Cleaned!AE$2:AE$125,3)</f>
        <v>1</v>
      </c>
      <c r="G605" s="13" t="n">
        <f aca="false">IFERROR(F605/$J605,"")</f>
        <v>0.5</v>
      </c>
      <c r="H605" s="12" t="n">
        <f aca="false">COUNTIFS(Cleaned!$D$2:$D$125,9,Cleaned!AE$2:AE$125,4)</f>
        <v>0</v>
      </c>
      <c r="I605" s="13" t="n">
        <f aca="false">IFERROR(H605/$J605,"")</f>
        <v>0</v>
      </c>
      <c r="J605" s="12" t="n">
        <f aca="false">B605+D605+F605+H605</f>
        <v>2</v>
      </c>
    </row>
    <row r="606" customFormat="false" ht="15" hidden="false" customHeight="false" outlineLevel="0" collapsed="false">
      <c r="A606" s="12" t="s">
        <v>713</v>
      </c>
      <c r="B606" s="12" t="n">
        <f aca="false">COUNTIFS(Cleaned!$D$2:$D$125,10,Cleaned!AE$2:AE$125,1)</f>
        <v>0</v>
      </c>
      <c r="C606" s="13" t="n">
        <f aca="false">IFERROR(B606/$J606,"")</f>
        <v>0</v>
      </c>
      <c r="D606" s="12" t="n">
        <f aca="false">COUNTIFS(Cleaned!$D$2:$D$125,10,Cleaned!AE$2:AE$125,2)</f>
        <v>0</v>
      </c>
      <c r="E606" s="13" t="n">
        <f aca="false">IFERROR(D606/$J606,"")</f>
        <v>0</v>
      </c>
      <c r="F606" s="12" t="n">
        <f aca="false">COUNTIFS(Cleaned!$D$2:$D$125,10,Cleaned!AE$2:AE$125,3)</f>
        <v>2</v>
      </c>
      <c r="G606" s="13" t="n">
        <f aca="false">IFERROR(F606/$J606,"")</f>
        <v>1</v>
      </c>
      <c r="H606" s="12" t="n">
        <f aca="false">COUNTIFS(Cleaned!$D$2:$D$125,10,Cleaned!AE$2:AE$125,4)</f>
        <v>0</v>
      </c>
      <c r="I606" s="13" t="n">
        <f aca="false">IFERROR(H606/$J606,"")</f>
        <v>0</v>
      </c>
      <c r="J606" s="12" t="n">
        <f aca="false">B606+D606+F606+H606</f>
        <v>2</v>
      </c>
    </row>
    <row r="607" customFormat="false" ht="15" hidden="false" customHeight="false" outlineLevel="0" collapsed="false">
      <c r="A607" s="12" t="s">
        <v>714</v>
      </c>
      <c r="B607" s="12" t="n">
        <f aca="false">COUNTIFS(Cleaned!$D$2:$D$125,11,Cleaned!AE$2:AE$125,1)</f>
        <v>0</v>
      </c>
      <c r="C607" s="13" t="n">
        <f aca="false">IFERROR(B607/$J607,"")</f>
        <v>0</v>
      </c>
      <c r="D607" s="12" t="n">
        <f aca="false">COUNTIFS(Cleaned!$D$2:$D$125,11,Cleaned!AE$2:AE$125,2)</f>
        <v>5</v>
      </c>
      <c r="E607" s="13" t="n">
        <f aca="false">IFERROR(D607/$J607,"")</f>
        <v>0.5</v>
      </c>
      <c r="F607" s="12" t="n">
        <f aca="false">COUNTIFS(Cleaned!$D$2:$D$125,11,Cleaned!AE$2:AE$125,3)</f>
        <v>5</v>
      </c>
      <c r="G607" s="13" t="n">
        <f aca="false">IFERROR(F607/$J607,"")</f>
        <v>0.5</v>
      </c>
      <c r="H607" s="12" t="n">
        <f aca="false">COUNTIFS(Cleaned!$D$2:$D$125,11,Cleaned!AE$2:AE$125,4)</f>
        <v>0</v>
      </c>
      <c r="I607" s="13" t="n">
        <f aca="false">IFERROR(H607/$J607,"")</f>
        <v>0</v>
      </c>
      <c r="J607" s="12" t="n">
        <f aca="false">B607+D607+F607+H607</f>
        <v>10</v>
      </c>
    </row>
    <row r="608" customFormat="false" ht="15" hidden="false" customHeight="false" outlineLevel="0" collapsed="false">
      <c r="A608" s="12" t="s">
        <v>715</v>
      </c>
      <c r="B608" s="12" t="n">
        <f aca="false">COUNTIFS(Cleaned!$D$2:$D$125,12,Cleaned!AE$2:AE$125,1)</f>
        <v>0</v>
      </c>
      <c r="C608" s="13" t="n">
        <f aca="false">IFERROR(B608/$J608,"")</f>
        <v>0</v>
      </c>
      <c r="D608" s="12" t="n">
        <f aca="false">COUNTIFS(Cleaned!$D$2:$D$125,12,Cleaned!AE$2:AE$125,2)</f>
        <v>0</v>
      </c>
      <c r="E608" s="13" t="n">
        <f aca="false">IFERROR(D608/$J608,"")</f>
        <v>0</v>
      </c>
      <c r="F608" s="12" t="n">
        <f aca="false">COUNTIFS(Cleaned!$D$2:$D$125,12,Cleaned!AE$2:AE$125,3)</f>
        <v>5</v>
      </c>
      <c r="G608" s="13" t="n">
        <f aca="false">IFERROR(F608/$J608,"")</f>
        <v>1</v>
      </c>
      <c r="H608" s="12" t="n">
        <f aca="false">COUNTIFS(Cleaned!$D$2:$D$125,12,Cleaned!AE$2:AE$125,4)</f>
        <v>0</v>
      </c>
      <c r="I608" s="13" t="n">
        <f aca="false">IFERROR(H608/$J608,"")</f>
        <v>0</v>
      </c>
      <c r="J608" s="12" t="n">
        <f aca="false">B608+D608+F608+H608</f>
        <v>5</v>
      </c>
    </row>
    <row r="609" customFormat="false" ht="15" hidden="false" customHeight="false" outlineLevel="0" collapsed="false">
      <c r="A609" s="11" t="s">
        <v>716</v>
      </c>
      <c r="B609" s="11" t="n">
        <f aca="false">SUM(B597:B608)</f>
        <v>1</v>
      </c>
      <c r="C609" s="14" t="n">
        <f aca="false">IFERROR(B609/$J609,"")</f>
        <v>0.0133333333333333</v>
      </c>
      <c r="D609" s="11" t="n">
        <f aca="false">SUM(D597:D608)</f>
        <v>9</v>
      </c>
      <c r="E609" s="14" t="n">
        <f aca="false">IFERROR(D609/$J609,"")</f>
        <v>0.12</v>
      </c>
      <c r="F609" s="11" t="n">
        <f aca="false">SUM(F597:F608)</f>
        <v>64</v>
      </c>
      <c r="G609" s="14" t="n">
        <f aca="false">IFERROR(F609/$J609,"")</f>
        <v>0.853333333333333</v>
      </c>
      <c r="H609" s="11" t="n">
        <f aca="false">SUM(H597:H608)</f>
        <v>1</v>
      </c>
      <c r="I609" s="14" t="n">
        <f aca="false">IFERROR(H609/$J609,"")</f>
        <v>0.0133333333333333</v>
      </c>
      <c r="J609" s="11" t="n">
        <f aca="false">SUM(J597:J608)</f>
        <v>75</v>
      </c>
    </row>
    <row r="612" customFormat="false" ht="15" hidden="false" customHeight="false" outlineLevel="0" collapsed="false">
      <c r="A612" s="6" t="s">
        <v>31</v>
      </c>
      <c r="B612" s="7" t="s">
        <v>752</v>
      </c>
    </row>
    <row r="613" customFormat="false" ht="15" hidden="false" customHeight="false" outlineLevel="0" collapsed="false">
      <c r="A613" s="8"/>
      <c r="B613" s="9" t="s">
        <v>753</v>
      </c>
      <c r="C613" s="8"/>
      <c r="D613" s="9" t="s">
        <v>754</v>
      </c>
      <c r="E613" s="8"/>
      <c r="F613" s="9" t="s">
        <v>755</v>
      </c>
      <c r="G613" s="8"/>
      <c r="H613" s="9" t="s">
        <v>694</v>
      </c>
    </row>
    <row r="614" customFormat="false" ht="15" hidden="false" customHeight="false" outlineLevel="0" collapsed="false">
      <c r="B614" s="10" t="s">
        <v>695</v>
      </c>
      <c r="C614" s="10" t="s">
        <v>696</v>
      </c>
      <c r="D614" s="10" t="s">
        <v>695</v>
      </c>
      <c r="E614" s="10" t="s">
        <v>696</v>
      </c>
      <c r="F614" s="10" t="s">
        <v>695</v>
      </c>
      <c r="G614" s="10" t="s">
        <v>696</v>
      </c>
    </row>
    <row r="615" customFormat="false" ht="15" hidden="false" customHeight="false" outlineLevel="0" collapsed="false">
      <c r="A615" s="11" t="s">
        <v>697</v>
      </c>
    </row>
    <row r="616" customFormat="false" ht="15" hidden="false" customHeight="false" outlineLevel="0" collapsed="false">
      <c r="A616" s="12" t="s">
        <v>698</v>
      </c>
      <c r="B616" s="12" t="n">
        <f aca="false">COUNTIFS(Cleaned!$C$2:$C$125,1,Cleaned!AF$2:AF$125,1)</f>
        <v>0</v>
      </c>
      <c r="C616" s="13" t="n">
        <f aca="false">IFERROR(B616/$H616,"")</f>
        <v>0</v>
      </c>
      <c r="D616" s="12" t="n">
        <f aca="false">COUNTIFS(Cleaned!$C$2:$C$125,1,Cleaned!AF$2:AF$125,2)</f>
        <v>10</v>
      </c>
      <c r="E616" s="13" t="n">
        <f aca="false">IFERROR(D616/$H616,"")</f>
        <v>0.909090909090909</v>
      </c>
      <c r="F616" s="12" t="n">
        <f aca="false">COUNTIFS(Cleaned!$C$2:$C$125,1,Cleaned!AF$2:AF$125,3)</f>
        <v>1</v>
      </c>
      <c r="G616" s="13" t="n">
        <f aca="false">IFERROR(F616/$H616,"")</f>
        <v>0.0909090909090909</v>
      </c>
      <c r="H616" s="12" t="n">
        <f aca="false">B616+D616+F616</f>
        <v>11</v>
      </c>
    </row>
    <row r="617" customFormat="false" ht="15" hidden="false" customHeight="false" outlineLevel="0" collapsed="false">
      <c r="A617" s="12" t="s">
        <v>699</v>
      </c>
      <c r="B617" s="12" t="n">
        <f aca="false">COUNTIFS(Cleaned!$C$2:$C$125,2,Cleaned!AF$2:AF$125,1)</f>
        <v>0</v>
      </c>
      <c r="C617" s="13" t="n">
        <f aca="false">IFERROR(B617/$H617,"")</f>
        <v>0</v>
      </c>
      <c r="D617" s="12" t="n">
        <f aca="false">COUNTIFS(Cleaned!$C$2:$C$125,2,Cleaned!AF$2:AF$125,2)</f>
        <v>8</v>
      </c>
      <c r="E617" s="13" t="n">
        <f aca="false">IFERROR(D617/$H617,"")</f>
        <v>0.8</v>
      </c>
      <c r="F617" s="12" t="n">
        <f aca="false">COUNTIFS(Cleaned!$C$2:$C$125,2,Cleaned!AF$2:AF$125,3)</f>
        <v>2</v>
      </c>
      <c r="G617" s="13" t="n">
        <f aca="false">IFERROR(F617/$H617,"")</f>
        <v>0.2</v>
      </c>
      <c r="H617" s="12" t="n">
        <f aca="false">B617+D617+F617</f>
        <v>10</v>
      </c>
    </row>
    <row r="618" customFormat="false" ht="15" hidden="false" customHeight="false" outlineLevel="0" collapsed="false">
      <c r="A618" s="12" t="s">
        <v>700</v>
      </c>
      <c r="B618" s="12" t="n">
        <f aca="false">COUNTIFS(Cleaned!$C$2:$C$125,3,Cleaned!AF$2:AF$125,1)</f>
        <v>2</v>
      </c>
      <c r="C618" s="13" t="n">
        <f aca="false">IFERROR(B618/$H618,"")</f>
        <v>0.166666666666667</v>
      </c>
      <c r="D618" s="12" t="n">
        <f aca="false">COUNTIFS(Cleaned!$C$2:$C$125,3,Cleaned!AF$2:AF$125,2)</f>
        <v>6</v>
      </c>
      <c r="E618" s="13" t="n">
        <f aca="false">IFERROR(D618/$H618,"")</f>
        <v>0.5</v>
      </c>
      <c r="F618" s="12" t="n">
        <f aca="false">COUNTIFS(Cleaned!$C$2:$C$125,3,Cleaned!AF$2:AF$125,3)</f>
        <v>4</v>
      </c>
      <c r="G618" s="13" t="n">
        <f aca="false">IFERROR(F618/$H618,"")</f>
        <v>0.333333333333333</v>
      </c>
      <c r="H618" s="12" t="n">
        <f aca="false">B618+D618+F618</f>
        <v>12</v>
      </c>
    </row>
    <row r="619" customFormat="false" ht="15" hidden="false" customHeight="false" outlineLevel="0" collapsed="false">
      <c r="A619" s="12" t="s">
        <v>701</v>
      </c>
      <c r="B619" s="12" t="n">
        <f aca="false">COUNTIFS(Cleaned!$C$2:$C$125,4,Cleaned!AF$2:AF$125,1)</f>
        <v>1</v>
      </c>
      <c r="C619" s="13" t="n">
        <f aca="false">IFERROR(B619/$H619,"")</f>
        <v>0.0909090909090909</v>
      </c>
      <c r="D619" s="12" t="n">
        <f aca="false">COUNTIFS(Cleaned!$C$2:$C$125,4,Cleaned!AF$2:AF$125,2)</f>
        <v>5</v>
      </c>
      <c r="E619" s="13" t="n">
        <f aca="false">IFERROR(D619/$H619,"")</f>
        <v>0.454545454545455</v>
      </c>
      <c r="F619" s="12" t="n">
        <f aca="false">COUNTIFS(Cleaned!$C$2:$C$125,4,Cleaned!AF$2:AF$125,3)</f>
        <v>5</v>
      </c>
      <c r="G619" s="13" t="n">
        <f aca="false">IFERROR(F619/$H619,"")</f>
        <v>0.454545454545455</v>
      </c>
      <c r="H619" s="12" t="n">
        <f aca="false">B619+D619+F619</f>
        <v>11</v>
      </c>
    </row>
    <row r="620" customFormat="false" ht="15" hidden="false" customHeight="false" outlineLevel="0" collapsed="false">
      <c r="A620" s="12" t="s">
        <v>702</v>
      </c>
      <c r="B620" s="12" t="n">
        <f aca="false">COUNTIFS(Cleaned!$C$2:$C$125,5,Cleaned!AF$2:AF$125,1)</f>
        <v>0</v>
      </c>
      <c r="C620" s="13" t="n">
        <f aca="false">IFERROR(B620/$H620,"")</f>
        <v>0</v>
      </c>
      <c r="D620" s="12" t="n">
        <f aca="false">COUNTIFS(Cleaned!$C$2:$C$125,5,Cleaned!AF$2:AF$125,2)</f>
        <v>7</v>
      </c>
      <c r="E620" s="13" t="n">
        <f aca="false">IFERROR(D620/$H620,"")</f>
        <v>0.35</v>
      </c>
      <c r="F620" s="12" t="n">
        <f aca="false">COUNTIFS(Cleaned!$C$2:$C$125,5,Cleaned!AF$2:AF$125,3)</f>
        <v>13</v>
      </c>
      <c r="G620" s="13" t="n">
        <f aca="false">IFERROR(F620/$H620,"")</f>
        <v>0.65</v>
      </c>
      <c r="H620" s="12" t="n">
        <f aca="false">B620+D620+F620</f>
        <v>20</v>
      </c>
    </row>
    <row r="621" customFormat="false" ht="15" hidden="false" customHeight="false" outlineLevel="0" collapsed="false">
      <c r="A621" s="11" t="s">
        <v>703</v>
      </c>
      <c r="B621" s="11" t="n">
        <f aca="false">SUM(B616:B620)</f>
        <v>3</v>
      </c>
      <c r="C621" s="14" t="n">
        <f aca="false">IFERROR(B621/$H621,"")</f>
        <v>0.046875</v>
      </c>
      <c r="D621" s="11" t="n">
        <f aca="false">SUM(D616:D620)</f>
        <v>36</v>
      </c>
      <c r="E621" s="14" t="n">
        <f aca="false">IFERROR(D621/$H621,"")</f>
        <v>0.5625</v>
      </c>
      <c r="F621" s="11" t="n">
        <f aca="false">SUM(F616:F620)</f>
        <v>25</v>
      </c>
      <c r="G621" s="14" t="n">
        <f aca="false">IFERROR(F621/$H621,"")</f>
        <v>0.390625</v>
      </c>
      <c r="H621" s="11" t="n">
        <f aca="false">SUM(H616:H620)</f>
        <v>64</v>
      </c>
    </row>
    <row r="622" customFormat="false" ht="15" hidden="false" customHeight="false" outlineLevel="0" collapsed="false">
      <c r="A622" s="11" t="s">
        <v>3</v>
      </c>
    </row>
    <row r="623" customFormat="false" ht="15" hidden="false" customHeight="false" outlineLevel="0" collapsed="false">
      <c r="A623" s="12" t="s">
        <v>704</v>
      </c>
      <c r="B623" s="12" t="n">
        <f aca="false">COUNTIFS(Cleaned!$D$2:$D$125,1,Cleaned!AF$2:AF$125,1)</f>
        <v>0</v>
      </c>
      <c r="C623" s="13" t="n">
        <f aca="false">IFERROR(B623/$H623,"")</f>
        <v>0</v>
      </c>
      <c r="D623" s="12" t="n">
        <f aca="false">COUNTIFS(Cleaned!$D$2:$D$125,1,Cleaned!AF$2:AF$125,2)</f>
        <v>5</v>
      </c>
      <c r="E623" s="13" t="n">
        <f aca="false">IFERROR(D623/$H623,"")</f>
        <v>0.555555555555556</v>
      </c>
      <c r="F623" s="12" t="n">
        <f aca="false">COUNTIFS(Cleaned!$D$2:$D$125,1,Cleaned!AF$2:AF$125,3)</f>
        <v>4</v>
      </c>
      <c r="G623" s="13" t="n">
        <f aca="false">IFERROR(F623/$H623,"")</f>
        <v>0.444444444444444</v>
      </c>
      <c r="H623" s="12" t="n">
        <f aca="false">B623+D623+F623</f>
        <v>9</v>
      </c>
    </row>
    <row r="624" customFormat="false" ht="15" hidden="false" customHeight="false" outlineLevel="0" collapsed="false">
      <c r="A624" s="12" t="s">
        <v>705</v>
      </c>
      <c r="B624" s="12" t="n">
        <f aca="false">COUNTIFS(Cleaned!$D$2:$D$125,2,Cleaned!AF$2:AF$125,1)</f>
        <v>0</v>
      </c>
      <c r="C624" s="13" t="n">
        <f aca="false">IFERROR(B624/$H624,"")</f>
        <v>0</v>
      </c>
      <c r="D624" s="12" t="n">
        <f aca="false">COUNTIFS(Cleaned!$D$2:$D$125,2,Cleaned!AF$2:AF$125,2)</f>
        <v>5</v>
      </c>
      <c r="E624" s="13" t="n">
        <f aca="false">IFERROR(D624/$H624,"")</f>
        <v>0.357142857142857</v>
      </c>
      <c r="F624" s="12" t="n">
        <f aca="false">COUNTIFS(Cleaned!$D$2:$D$125,2,Cleaned!AF$2:AF$125,3)</f>
        <v>9</v>
      </c>
      <c r="G624" s="13" t="n">
        <f aca="false">IFERROR(F624/$H624,"")</f>
        <v>0.642857142857143</v>
      </c>
      <c r="H624" s="12" t="n">
        <f aca="false">B624+D624+F624</f>
        <v>14</v>
      </c>
    </row>
    <row r="625" customFormat="false" ht="15" hidden="false" customHeight="false" outlineLevel="0" collapsed="false">
      <c r="A625" s="12" t="s">
        <v>706</v>
      </c>
      <c r="B625" s="12" t="n">
        <f aca="false">COUNTIFS(Cleaned!$D$2:$D$125,3,Cleaned!AF$2:AF$125,1)</f>
        <v>0</v>
      </c>
      <c r="C625" s="13" t="n">
        <f aca="false">IFERROR(B625/$H625,"")</f>
        <v>0</v>
      </c>
      <c r="D625" s="12" t="n">
        <f aca="false">COUNTIFS(Cleaned!$D$2:$D$125,3,Cleaned!AF$2:AF$125,2)</f>
        <v>7</v>
      </c>
      <c r="E625" s="13" t="n">
        <f aca="false">IFERROR(D625/$H625,"")</f>
        <v>0.777777777777778</v>
      </c>
      <c r="F625" s="12" t="n">
        <f aca="false">COUNTIFS(Cleaned!$D$2:$D$125,3,Cleaned!AF$2:AF$125,3)</f>
        <v>2</v>
      </c>
      <c r="G625" s="13" t="n">
        <f aca="false">IFERROR(F625/$H625,"")</f>
        <v>0.222222222222222</v>
      </c>
      <c r="H625" s="12" t="n">
        <f aca="false">B625+D625+F625</f>
        <v>9</v>
      </c>
    </row>
    <row r="626" customFormat="false" ht="15" hidden="false" customHeight="false" outlineLevel="0" collapsed="false">
      <c r="A626" s="12" t="s">
        <v>707</v>
      </c>
      <c r="B626" s="12" t="n">
        <f aca="false">COUNTIFS(Cleaned!$D$2:$D$125,4,Cleaned!AF$2:AF$125,1)</f>
        <v>0</v>
      </c>
      <c r="C626" s="13" t="n">
        <f aca="false">IFERROR(B626/$H626,"")</f>
        <v>0</v>
      </c>
      <c r="D626" s="12" t="n">
        <f aca="false">COUNTIFS(Cleaned!$D$2:$D$125,4,Cleaned!AF$2:AF$125,2)</f>
        <v>3</v>
      </c>
      <c r="E626" s="13" t="n">
        <f aca="false">IFERROR(D626/$H626,"")</f>
        <v>0.5</v>
      </c>
      <c r="F626" s="12" t="n">
        <f aca="false">COUNTIFS(Cleaned!$D$2:$D$125,4,Cleaned!AF$2:AF$125,3)</f>
        <v>3</v>
      </c>
      <c r="G626" s="13" t="n">
        <f aca="false">IFERROR(F626/$H626,"")</f>
        <v>0.5</v>
      </c>
      <c r="H626" s="12" t="n">
        <f aca="false">B626+D626+F626</f>
        <v>6</v>
      </c>
    </row>
    <row r="627" customFormat="false" ht="15" hidden="false" customHeight="false" outlineLevel="0" collapsed="false">
      <c r="A627" s="12" t="s">
        <v>708</v>
      </c>
      <c r="B627" s="12" t="n">
        <f aca="false">COUNTIFS(Cleaned!$D$2:$D$125,5,Cleaned!AF$2:AF$125,1)</f>
        <v>0</v>
      </c>
      <c r="C627" s="13" t="n">
        <f aca="false">IFERROR(B627/$H627,"")</f>
        <v>0</v>
      </c>
      <c r="D627" s="12" t="n">
        <f aca="false">COUNTIFS(Cleaned!$D$2:$D$125,5,Cleaned!AF$2:AF$125,2)</f>
        <v>0</v>
      </c>
      <c r="E627" s="13" t="n">
        <f aca="false">IFERROR(D627/$H627,"")</f>
        <v>0</v>
      </c>
      <c r="F627" s="12" t="n">
        <f aca="false">COUNTIFS(Cleaned!$D$2:$D$125,5,Cleaned!AF$2:AF$125,3)</f>
        <v>1</v>
      </c>
      <c r="G627" s="13" t="n">
        <f aca="false">IFERROR(F627/$H627,"")</f>
        <v>1</v>
      </c>
      <c r="H627" s="12" t="n">
        <f aca="false">B627+D627+F627</f>
        <v>1</v>
      </c>
    </row>
    <row r="628" customFormat="false" ht="15" hidden="false" customHeight="false" outlineLevel="0" collapsed="false">
      <c r="A628" s="12" t="s">
        <v>709</v>
      </c>
      <c r="B628" s="12" t="n">
        <f aca="false">COUNTIFS(Cleaned!$D$2:$D$125,6,Cleaned!AF$2:AF$125,1)</f>
        <v>1</v>
      </c>
      <c r="C628" s="13" t="n">
        <f aca="false">IFERROR(B628/$H628,"")</f>
        <v>0.333333333333333</v>
      </c>
      <c r="D628" s="12" t="n">
        <f aca="false">COUNTIFS(Cleaned!$D$2:$D$125,6,Cleaned!AF$2:AF$125,2)</f>
        <v>0</v>
      </c>
      <c r="E628" s="13" t="n">
        <f aca="false">IFERROR(D628/$H628,"")</f>
        <v>0</v>
      </c>
      <c r="F628" s="12" t="n">
        <f aca="false">COUNTIFS(Cleaned!$D$2:$D$125,6,Cleaned!AF$2:AF$125,3)</f>
        <v>2</v>
      </c>
      <c r="G628" s="13" t="n">
        <f aca="false">IFERROR(F628/$H628,"")</f>
        <v>0.666666666666667</v>
      </c>
      <c r="H628" s="12" t="n">
        <f aca="false">B628+D628+F628</f>
        <v>3</v>
      </c>
    </row>
    <row r="629" customFormat="false" ht="15" hidden="false" customHeight="false" outlineLevel="0" collapsed="false">
      <c r="A629" s="12" t="s">
        <v>710</v>
      </c>
      <c r="B629" s="12" t="n">
        <f aca="false">COUNTIFS(Cleaned!$D$2:$D$125,7,Cleaned!AF$2:AF$125,1)</f>
        <v>2</v>
      </c>
      <c r="C629" s="13" t="n">
        <f aca="false">IFERROR(B629/$H629,"")</f>
        <v>0.285714285714286</v>
      </c>
      <c r="D629" s="12" t="n">
        <f aca="false">COUNTIFS(Cleaned!$D$2:$D$125,7,Cleaned!AF$2:AF$125,2)</f>
        <v>3</v>
      </c>
      <c r="E629" s="13" t="n">
        <f aca="false">IFERROR(D629/$H629,"")</f>
        <v>0.428571428571429</v>
      </c>
      <c r="F629" s="12" t="n">
        <f aca="false">COUNTIFS(Cleaned!$D$2:$D$125,7,Cleaned!AF$2:AF$125,3)</f>
        <v>2</v>
      </c>
      <c r="G629" s="13" t="n">
        <f aca="false">IFERROR(F629/$H629,"")</f>
        <v>0.285714285714286</v>
      </c>
      <c r="H629" s="12" t="n">
        <f aca="false">B629+D629+F629</f>
        <v>7</v>
      </c>
    </row>
    <row r="630" customFormat="false" ht="15" hidden="false" customHeight="false" outlineLevel="0" collapsed="false">
      <c r="A630" s="12" t="s">
        <v>711</v>
      </c>
      <c r="B630" s="12" t="n">
        <f aca="false">COUNTIFS(Cleaned!$D$2:$D$125,8,Cleaned!AF$2:AF$125,1)</f>
        <v>0</v>
      </c>
      <c r="C630" s="13" t="n">
        <f aca="false">IFERROR(B630/$H630,"")</f>
        <v>0</v>
      </c>
      <c r="D630" s="12" t="n">
        <f aca="false">COUNTIFS(Cleaned!$D$2:$D$125,8,Cleaned!AF$2:AF$125,2)</f>
        <v>2</v>
      </c>
      <c r="E630" s="13" t="n">
        <f aca="false">IFERROR(D630/$H630,"")</f>
        <v>0.666666666666667</v>
      </c>
      <c r="F630" s="12" t="n">
        <f aca="false">COUNTIFS(Cleaned!$D$2:$D$125,8,Cleaned!AF$2:AF$125,3)</f>
        <v>1</v>
      </c>
      <c r="G630" s="13" t="n">
        <f aca="false">IFERROR(F630/$H630,"")</f>
        <v>0.333333333333333</v>
      </c>
      <c r="H630" s="12" t="n">
        <f aca="false">B630+D630+F630</f>
        <v>3</v>
      </c>
    </row>
    <row r="631" customFormat="false" ht="15" hidden="false" customHeight="false" outlineLevel="0" collapsed="false">
      <c r="A631" s="12" t="s">
        <v>712</v>
      </c>
      <c r="B631" s="12" t="n">
        <f aca="false">COUNTIFS(Cleaned!$D$2:$D$125,9,Cleaned!AF$2:AF$125,1)</f>
        <v>0</v>
      </c>
      <c r="C631" s="13" t="n">
        <f aca="false">IFERROR(B631/$H631,"")</f>
        <v>0</v>
      </c>
      <c r="D631" s="12" t="n">
        <f aca="false">COUNTIFS(Cleaned!$D$2:$D$125,9,Cleaned!AF$2:AF$125,2)</f>
        <v>1</v>
      </c>
      <c r="E631" s="13" t="n">
        <f aca="false">IFERROR(D631/$H631,"")</f>
        <v>1</v>
      </c>
      <c r="F631" s="12" t="n">
        <f aca="false">COUNTIFS(Cleaned!$D$2:$D$125,9,Cleaned!AF$2:AF$125,3)</f>
        <v>0</v>
      </c>
      <c r="G631" s="13" t="n">
        <f aca="false">IFERROR(F631/$H631,"")</f>
        <v>0</v>
      </c>
      <c r="H631" s="12" t="n">
        <f aca="false">B631+D631+F631</f>
        <v>1</v>
      </c>
    </row>
    <row r="632" customFormat="false" ht="15" hidden="false" customHeight="false" outlineLevel="0" collapsed="false">
      <c r="A632" s="12" t="s">
        <v>713</v>
      </c>
      <c r="B632" s="12" t="n">
        <f aca="false">COUNTIFS(Cleaned!$D$2:$D$125,10,Cleaned!AF$2:AF$125,1)</f>
        <v>0</v>
      </c>
      <c r="C632" s="13" t="n">
        <f aca="false">IFERROR(B632/$H632,"")</f>
        <v>0</v>
      </c>
      <c r="D632" s="12" t="n">
        <f aca="false">COUNTIFS(Cleaned!$D$2:$D$125,10,Cleaned!AF$2:AF$125,2)</f>
        <v>2</v>
      </c>
      <c r="E632" s="13" t="n">
        <f aca="false">IFERROR(D632/$H632,"")</f>
        <v>1</v>
      </c>
      <c r="F632" s="12" t="n">
        <f aca="false">COUNTIFS(Cleaned!$D$2:$D$125,10,Cleaned!AF$2:AF$125,3)</f>
        <v>0</v>
      </c>
      <c r="G632" s="13" t="n">
        <f aca="false">IFERROR(F632/$H632,"")</f>
        <v>0</v>
      </c>
      <c r="H632" s="12" t="n">
        <f aca="false">B632+D632+F632</f>
        <v>2</v>
      </c>
    </row>
    <row r="633" customFormat="false" ht="15" hidden="false" customHeight="false" outlineLevel="0" collapsed="false">
      <c r="A633" s="12" t="s">
        <v>714</v>
      </c>
      <c r="B633" s="12" t="n">
        <f aca="false">COUNTIFS(Cleaned!$D$2:$D$125,11,Cleaned!AF$2:AF$125,1)</f>
        <v>0</v>
      </c>
      <c r="C633" s="13" t="n">
        <f aca="false">IFERROR(B633/$H633,"")</f>
        <v>0</v>
      </c>
      <c r="D633" s="12" t="n">
        <f aca="false">COUNTIFS(Cleaned!$D$2:$D$125,11,Cleaned!AF$2:AF$125,2)</f>
        <v>4</v>
      </c>
      <c r="E633" s="13" t="n">
        <f aca="false">IFERROR(D633/$H633,"")</f>
        <v>1</v>
      </c>
      <c r="F633" s="12" t="n">
        <f aca="false">COUNTIFS(Cleaned!$D$2:$D$125,11,Cleaned!AF$2:AF$125,3)</f>
        <v>0</v>
      </c>
      <c r="G633" s="13" t="n">
        <f aca="false">IFERROR(F633/$H633,"")</f>
        <v>0</v>
      </c>
      <c r="H633" s="12" t="n">
        <f aca="false">B633+D633+F633</f>
        <v>4</v>
      </c>
    </row>
    <row r="634" customFormat="false" ht="15" hidden="false" customHeight="false" outlineLevel="0" collapsed="false">
      <c r="A634" s="12" t="s">
        <v>715</v>
      </c>
      <c r="B634" s="12" t="n">
        <f aca="false">COUNTIFS(Cleaned!$D$2:$D$125,12,Cleaned!AF$2:AF$125,1)</f>
        <v>0</v>
      </c>
      <c r="C634" s="13" t="n">
        <f aca="false">IFERROR(B634/$H634,"")</f>
        <v>0</v>
      </c>
      <c r="D634" s="12" t="n">
        <f aca="false">COUNTIFS(Cleaned!$D$2:$D$125,12,Cleaned!AF$2:AF$125,2)</f>
        <v>4</v>
      </c>
      <c r="E634" s="13" t="n">
        <f aca="false">IFERROR(D634/$H634,"")</f>
        <v>0.8</v>
      </c>
      <c r="F634" s="12" t="n">
        <f aca="false">COUNTIFS(Cleaned!$D$2:$D$125,12,Cleaned!AF$2:AF$125,3)</f>
        <v>1</v>
      </c>
      <c r="G634" s="13" t="n">
        <f aca="false">IFERROR(F634/$H634,"")</f>
        <v>0.2</v>
      </c>
      <c r="H634" s="12" t="n">
        <f aca="false">B634+D634+F634</f>
        <v>5</v>
      </c>
    </row>
    <row r="635" customFormat="false" ht="15" hidden="false" customHeight="false" outlineLevel="0" collapsed="false">
      <c r="A635" s="11" t="s">
        <v>716</v>
      </c>
      <c r="B635" s="11" t="n">
        <f aca="false">SUM(B623:B634)</f>
        <v>3</v>
      </c>
      <c r="C635" s="14" t="n">
        <f aca="false">IFERROR(B635/$H635,"")</f>
        <v>0.046875</v>
      </c>
      <c r="D635" s="11" t="n">
        <f aca="false">SUM(D623:D634)</f>
        <v>36</v>
      </c>
      <c r="E635" s="14" t="n">
        <f aca="false">IFERROR(D635/$H635,"")</f>
        <v>0.5625</v>
      </c>
      <c r="F635" s="11" t="n">
        <f aca="false">SUM(F623:F634)</f>
        <v>25</v>
      </c>
      <c r="G635" s="14" t="n">
        <f aca="false">IFERROR(F635/$H635,"")</f>
        <v>0.390625</v>
      </c>
      <c r="H635" s="11" t="n">
        <f aca="false">SUM(H623:H634)</f>
        <v>64</v>
      </c>
    </row>
    <row r="638" customFormat="false" ht="15" hidden="false" customHeight="false" outlineLevel="0" collapsed="false">
      <c r="A638" s="6" t="s">
        <v>32</v>
      </c>
      <c r="B638" s="7" t="s">
        <v>756</v>
      </c>
    </row>
    <row r="639" customFormat="false" ht="15" hidden="false" customHeight="false" outlineLevel="0" collapsed="false">
      <c r="A639" s="11" t="s">
        <v>734</v>
      </c>
      <c r="B639" s="9" t="s">
        <v>694</v>
      </c>
      <c r="C639" s="9" t="s">
        <v>735</v>
      </c>
      <c r="D639" s="9" t="s">
        <v>736</v>
      </c>
      <c r="E639" s="9" t="s">
        <v>737</v>
      </c>
      <c r="F639" s="9" t="s">
        <v>738</v>
      </c>
    </row>
    <row r="640" customFormat="false" ht="15" hidden="false" customHeight="false" outlineLevel="0" collapsed="false">
      <c r="B640" s="12" t="n">
        <f aca="false">COUNT(Cleaned!$AG$2:$AG$125)</f>
        <v>41</v>
      </c>
      <c r="C640" s="12" t="n">
        <f aca="false">IFERROR(AVERAGE(Cleaned!$AG$2:$AG$125),"")</f>
        <v>86.4512195121951</v>
      </c>
      <c r="D640" s="12" t="n">
        <f aca="false">IFERROR(MEDIAN(Cleaned!$AG$2:$AG$125),"")</f>
        <v>30</v>
      </c>
      <c r="E640" s="12" t="n">
        <f aca="false">IFERROR(MIN(Cleaned!$AG$2:$AG$125),"")</f>
        <v>0</v>
      </c>
      <c r="F640" s="12" t="n">
        <f aca="false">IFERROR(MAX(Cleaned!$AG$2:$AG$125),"")</f>
        <v>730</v>
      </c>
    </row>
    <row r="641" customFormat="false" ht="15" hidden="false" customHeight="false" outlineLevel="0" collapsed="false">
      <c r="A641" s="11" t="s">
        <v>697</v>
      </c>
      <c r="B641" s="9" t="s">
        <v>739</v>
      </c>
      <c r="C641" s="9" t="s">
        <v>735</v>
      </c>
    </row>
    <row r="642" customFormat="false" ht="15" hidden="false" customHeight="false" outlineLevel="0" collapsed="false">
      <c r="A642" s="12" t="s">
        <v>698</v>
      </c>
      <c r="B642" s="12" t="n">
        <f aca="false">COUNTIFS(Cleaned!$C$2:$C$125,1,Cleaned!AG$2:AG$125,"&lt;&gt;")</f>
        <v>7</v>
      </c>
      <c r="C642" s="15" t="n">
        <f aca="false">IF(B642=0,"",AVERAGEIF(Cleaned!$C$2:$C$125,1,Cleaned!AG$2:AG$125))</f>
        <v>25.7142857142857</v>
      </c>
    </row>
    <row r="643" customFormat="false" ht="15" hidden="false" customHeight="false" outlineLevel="0" collapsed="false">
      <c r="A643" s="12" t="s">
        <v>699</v>
      </c>
      <c r="B643" s="12" t="n">
        <f aca="false">COUNTIFS(Cleaned!$C$2:$C$125,2,Cleaned!AG$2:AG$125,"&lt;&gt;")</f>
        <v>7</v>
      </c>
      <c r="C643" s="15" t="n">
        <f aca="false">IF(B643=0,"",AVERAGEIF(Cleaned!$C$2:$C$125,2,Cleaned!AG$2:AG$125))</f>
        <v>39</v>
      </c>
    </row>
    <row r="644" customFormat="false" ht="15" hidden="false" customHeight="false" outlineLevel="0" collapsed="false">
      <c r="A644" s="12" t="s">
        <v>700</v>
      </c>
      <c r="B644" s="12" t="n">
        <f aca="false">COUNTIFS(Cleaned!$C$2:$C$125,3,Cleaned!AG$2:AG$125,"&lt;&gt;")</f>
        <v>11</v>
      </c>
      <c r="C644" s="15" t="n">
        <f aca="false">IF(B644=0,"",AVERAGEIF(Cleaned!$C$2:$C$125,3,Cleaned!AG$2:AG$125))</f>
        <v>38.1818181818182</v>
      </c>
    </row>
    <row r="645" customFormat="false" ht="15" hidden="false" customHeight="false" outlineLevel="0" collapsed="false">
      <c r="A645" s="12" t="s">
        <v>701</v>
      </c>
      <c r="B645" s="12" t="n">
        <f aca="false">COUNTIFS(Cleaned!$C$2:$C$125,4,Cleaned!AG$2:AG$125,"&lt;&gt;")</f>
        <v>7</v>
      </c>
      <c r="C645" s="15" t="n">
        <f aca="false">IF(B645=0,"",AVERAGEIF(Cleaned!$C$2:$C$125,4,Cleaned!AG$2:AG$125))</f>
        <v>151.857142857143</v>
      </c>
    </row>
    <row r="646" customFormat="false" ht="15" hidden="false" customHeight="false" outlineLevel="0" collapsed="false">
      <c r="A646" s="12" t="s">
        <v>702</v>
      </c>
      <c r="B646" s="12" t="n">
        <f aca="false">COUNTIFS(Cleaned!$C$2:$C$125,5,Cleaned!AG$2:AG$125,"&lt;&gt;")</f>
        <v>9</v>
      </c>
      <c r="C646" s="15" t="n">
        <f aca="false">IF(B646=0,"",AVERAGEIF(Cleaned!$C$2:$C$125,5,Cleaned!AG$2:AG$125))</f>
        <v>178.722222222222</v>
      </c>
    </row>
    <row r="647" customFormat="false" ht="15" hidden="false" customHeight="false" outlineLevel="0" collapsed="false">
      <c r="A647" s="11" t="s">
        <v>3</v>
      </c>
      <c r="B647" s="9" t="s">
        <v>739</v>
      </c>
      <c r="C647" s="9" t="s">
        <v>735</v>
      </c>
    </row>
    <row r="648" customFormat="false" ht="15" hidden="false" customHeight="false" outlineLevel="0" collapsed="false">
      <c r="A648" s="12" t="s">
        <v>704</v>
      </c>
      <c r="B648" s="12" t="n">
        <f aca="false">COUNTIFS(Cleaned!$D$2:$D$125,1,Cleaned!AG$2:AG$125,"&lt;&gt;")</f>
        <v>3</v>
      </c>
      <c r="C648" s="15" t="n">
        <f aca="false">IF(B648=0,"",AVERAGEIF(Cleaned!$D$2:$D$125,1,Cleaned!AG$2:AG$125))</f>
        <v>40</v>
      </c>
    </row>
    <row r="649" customFormat="false" ht="15" hidden="false" customHeight="false" outlineLevel="0" collapsed="false">
      <c r="A649" s="12" t="s">
        <v>705</v>
      </c>
      <c r="B649" s="12" t="n">
        <f aca="false">COUNTIFS(Cleaned!$D$2:$D$125,2,Cleaned!AG$2:AG$125,"&lt;&gt;")</f>
        <v>7</v>
      </c>
      <c r="C649" s="15" t="n">
        <f aca="false">IF(B649=0,"",AVERAGEIF(Cleaned!$D$2:$D$125,2,Cleaned!AG$2:AG$125))</f>
        <v>208.214285714286</v>
      </c>
    </row>
    <row r="650" customFormat="false" ht="15" hidden="false" customHeight="false" outlineLevel="0" collapsed="false">
      <c r="A650" s="12" t="s">
        <v>706</v>
      </c>
      <c r="B650" s="12" t="n">
        <f aca="false">COUNTIFS(Cleaned!$D$2:$D$125,3,Cleaned!AG$2:AG$125,"&lt;&gt;")</f>
        <v>7</v>
      </c>
      <c r="C650" s="15" t="n">
        <f aca="false">IF(B650=0,"",AVERAGEIF(Cleaned!$D$2:$D$125,3,Cleaned!AG$2:AG$125))</f>
        <v>51.8571428571429</v>
      </c>
    </row>
    <row r="651" customFormat="false" ht="15" hidden="false" customHeight="false" outlineLevel="0" collapsed="false">
      <c r="A651" s="12" t="s">
        <v>707</v>
      </c>
      <c r="B651" s="12" t="n">
        <f aca="false">COUNTIFS(Cleaned!$D$2:$D$125,4,Cleaned!AG$2:AG$125,"&lt;&gt;")</f>
        <v>4</v>
      </c>
      <c r="C651" s="15" t="n">
        <f aca="false">IF(B651=0,"",AVERAGEIF(Cleaned!$D$2:$D$125,4,Cleaned!AG$2:AG$125))</f>
        <v>60</v>
      </c>
    </row>
    <row r="652" customFormat="false" ht="15" hidden="false" customHeight="false" outlineLevel="0" collapsed="false">
      <c r="A652" s="12" t="s">
        <v>708</v>
      </c>
      <c r="B652" s="12" t="n">
        <f aca="false">COUNTIFS(Cleaned!$D$2:$D$125,5,Cleaned!AG$2:AG$125,"&lt;&gt;")</f>
        <v>0</v>
      </c>
      <c r="C652" s="15" t="str">
        <f aca="false">IF(B652=0,"",AVERAGEIF(Cleaned!$D$2:$D$125,5,Cleaned!AG$2:AG$125))</f>
        <v/>
      </c>
    </row>
    <row r="653" customFormat="false" ht="15" hidden="false" customHeight="false" outlineLevel="0" collapsed="false">
      <c r="A653" s="12" t="s">
        <v>709</v>
      </c>
      <c r="B653" s="12" t="n">
        <f aca="false">COUNTIFS(Cleaned!$D$2:$D$125,6,Cleaned!AG$2:AG$125,"&lt;&gt;")</f>
        <v>3</v>
      </c>
      <c r="C653" s="15" t="n">
        <f aca="false">IF(B653=0,"",AVERAGEIF(Cleaned!$D$2:$D$125,6,Cleaned!AG$2:AG$125))</f>
        <v>61</v>
      </c>
    </row>
    <row r="654" customFormat="false" ht="15" hidden="false" customHeight="false" outlineLevel="0" collapsed="false">
      <c r="A654" s="12" t="s">
        <v>710</v>
      </c>
      <c r="B654" s="12" t="n">
        <f aca="false">COUNTIFS(Cleaned!$D$2:$D$125,7,Cleaned!AG$2:AG$125,"&lt;&gt;")</f>
        <v>4</v>
      </c>
      <c r="C654" s="15" t="n">
        <f aca="false">IF(B654=0,"",AVERAGEIF(Cleaned!$D$2:$D$125,7,Cleaned!AG$2:AG$125))</f>
        <v>37.75</v>
      </c>
    </row>
    <row r="655" customFormat="false" ht="15" hidden="false" customHeight="false" outlineLevel="0" collapsed="false">
      <c r="A655" s="12" t="s">
        <v>711</v>
      </c>
      <c r="B655" s="12" t="n">
        <f aca="false">COUNTIFS(Cleaned!$D$2:$D$125,8,Cleaned!AG$2:AG$125,"&lt;&gt;")</f>
        <v>1</v>
      </c>
      <c r="C655" s="15" t="n">
        <f aca="false">IF(B655=0,"",AVERAGEIF(Cleaned!$D$2:$D$125,8,Cleaned!AG$2:AG$125))</f>
        <v>30</v>
      </c>
    </row>
    <row r="656" customFormat="false" ht="15" hidden="false" customHeight="false" outlineLevel="0" collapsed="false">
      <c r="A656" s="12" t="s">
        <v>712</v>
      </c>
      <c r="B656" s="12" t="n">
        <f aca="false">COUNTIFS(Cleaned!$D$2:$D$125,9,Cleaned!AG$2:AG$125,"&lt;&gt;")</f>
        <v>1</v>
      </c>
      <c r="C656" s="15" t="n">
        <f aca="false">IF(B656=0,"",AVERAGEIF(Cleaned!$D$2:$D$125,9,Cleaned!AG$2:AG$125))</f>
        <v>30</v>
      </c>
    </row>
    <row r="657" customFormat="false" ht="15" hidden="false" customHeight="false" outlineLevel="0" collapsed="false">
      <c r="A657" s="12" t="s">
        <v>713</v>
      </c>
      <c r="B657" s="12" t="n">
        <f aca="false">COUNTIFS(Cleaned!$D$2:$D$125,10,Cleaned!AG$2:AG$125,"&lt;&gt;")</f>
        <v>2</v>
      </c>
      <c r="C657" s="15" t="n">
        <f aca="false">IF(B657=0,"",AVERAGEIF(Cleaned!$D$2:$D$125,10,Cleaned!AG$2:AG$125))</f>
        <v>30</v>
      </c>
    </row>
    <row r="658" customFormat="false" ht="15" hidden="false" customHeight="false" outlineLevel="0" collapsed="false">
      <c r="A658" s="12" t="s">
        <v>714</v>
      </c>
      <c r="B658" s="12" t="n">
        <f aca="false">COUNTIFS(Cleaned!$D$2:$D$125,11,Cleaned!AG$2:AG$125,"&lt;&gt;")</f>
        <v>6</v>
      </c>
      <c r="C658" s="15" t="n">
        <f aca="false">IF(B658=0,"",AVERAGEIF(Cleaned!$D$2:$D$125,11,Cleaned!AG$2:AG$125))</f>
        <v>141.666666666667</v>
      </c>
    </row>
    <row r="659" customFormat="false" ht="15" hidden="false" customHeight="false" outlineLevel="0" collapsed="false">
      <c r="A659" s="12" t="s">
        <v>715</v>
      </c>
      <c r="B659" s="12" t="n">
        <f aca="false">COUNTIFS(Cleaned!$D$2:$D$125,12,Cleaned!AG$2:AG$125,"&lt;&gt;")</f>
        <v>3</v>
      </c>
      <c r="C659" s="15" t="n">
        <f aca="false">IF(B659=0,"",AVERAGEIF(Cleaned!$D$2:$D$125,12,Cleaned!AG$2:AG$125))</f>
        <v>20</v>
      </c>
    </row>
    <row r="662" customFormat="false" ht="15" hidden="false" customHeight="false" outlineLevel="0" collapsed="false">
      <c r="A662" s="6" t="s">
        <v>35</v>
      </c>
      <c r="B662" s="7" t="s">
        <v>757</v>
      </c>
    </row>
    <row r="663" customFormat="false" ht="15" hidden="false" customHeight="false" outlineLevel="0" collapsed="false">
      <c r="A663" s="11" t="s">
        <v>734</v>
      </c>
      <c r="B663" s="9" t="s">
        <v>694</v>
      </c>
      <c r="C663" s="9" t="s">
        <v>735</v>
      </c>
      <c r="D663" s="9" t="s">
        <v>736</v>
      </c>
      <c r="E663" s="9" t="s">
        <v>737</v>
      </c>
      <c r="F663" s="9" t="s">
        <v>738</v>
      </c>
    </row>
    <row r="664" customFormat="false" ht="15" hidden="false" customHeight="false" outlineLevel="0" collapsed="false">
      <c r="B664" s="12" t="n">
        <f aca="false">COUNT(Cleaned!$AJ$2:$AJ$125)</f>
        <v>36</v>
      </c>
      <c r="C664" s="12" t="n">
        <f aca="false">IFERROR(AVERAGE(Cleaned!$AJ$2:$AJ$125),"")</f>
        <v>25.3185277777778</v>
      </c>
      <c r="D664" s="12" t="n">
        <f aca="false">IFERROR(MEDIAN(Cleaned!$AJ$2:$AJ$125),"")</f>
        <v>14.65</v>
      </c>
      <c r="E664" s="12" t="n">
        <f aca="false">IFERROR(MIN(Cleaned!$AJ$2:$AJ$125),"")</f>
        <v>0</v>
      </c>
      <c r="F664" s="12" t="n">
        <f aca="false">IFERROR(MAX(Cleaned!$AJ$2:$AJ$125),"")</f>
        <v>100</v>
      </c>
    </row>
    <row r="665" customFormat="false" ht="15" hidden="false" customHeight="false" outlineLevel="0" collapsed="false">
      <c r="A665" s="11" t="s">
        <v>697</v>
      </c>
      <c r="B665" s="9" t="s">
        <v>739</v>
      </c>
      <c r="C665" s="9" t="s">
        <v>735</v>
      </c>
    </row>
    <row r="666" customFormat="false" ht="15" hidden="false" customHeight="false" outlineLevel="0" collapsed="false">
      <c r="A666" s="12" t="s">
        <v>698</v>
      </c>
      <c r="B666" s="12" t="n">
        <f aca="false">COUNTIFS(Cleaned!$C$2:$C$125,1,Cleaned!AJ$2:AJ$125,"&lt;&gt;")</f>
        <v>8</v>
      </c>
      <c r="C666" s="15" t="n">
        <f aca="false">IF(B666=0,"",AVERAGEIF(Cleaned!$C$2:$C$125,1,Cleaned!AJ$2:AJ$125))</f>
        <v>44.494375</v>
      </c>
    </row>
    <row r="667" customFormat="false" ht="15" hidden="false" customHeight="false" outlineLevel="0" collapsed="false">
      <c r="A667" s="12" t="s">
        <v>699</v>
      </c>
      <c r="B667" s="12" t="n">
        <f aca="false">COUNTIFS(Cleaned!$C$2:$C$125,2,Cleaned!AJ$2:AJ$125,"&lt;&gt;")</f>
        <v>2</v>
      </c>
      <c r="C667" s="15" t="n">
        <f aca="false">IF(B667=0,"",AVERAGEIF(Cleaned!$C$2:$C$125,2,Cleaned!AJ$2:AJ$125))</f>
        <v>59</v>
      </c>
    </row>
    <row r="668" customFormat="false" ht="15" hidden="false" customHeight="false" outlineLevel="0" collapsed="false">
      <c r="A668" s="12" t="s">
        <v>700</v>
      </c>
      <c r="B668" s="12" t="n">
        <f aca="false">COUNTIFS(Cleaned!$C$2:$C$125,3,Cleaned!AJ$2:AJ$125,"&lt;&gt;")</f>
        <v>5</v>
      </c>
      <c r="C668" s="15" t="n">
        <f aca="false">IF(B668=0,"",AVERAGEIF(Cleaned!$C$2:$C$125,3,Cleaned!AJ$2:AJ$125))</f>
        <v>7.8224</v>
      </c>
    </row>
    <row r="669" customFormat="false" ht="15" hidden="false" customHeight="false" outlineLevel="0" collapsed="false">
      <c r="A669" s="12" t="s">
        <v>701</v>
      </c>
      <c r="B669" s="12" t="n">
        <f aca="false">COUNTIFS(Cleaned!$C$2:$C$125,4,Cleaned!AJ$2:AJ$125,"&lt;&gt;")</f>
        <v>7</v>
      </c>
      <c r="C669" s="15" t="n">
        <f aca="false">IF(B669=0,"",AVERAGEIF(Cleaned!$C$2:$C$125,4,Cleaned!AJ$2:AJ$125))</f>
        <v>28.7</v>
      </c>
    </row>
    <row r="670" customFormat="false" ht="15" hidden="false" customHeight="false" outlineLevel="0" collapsed="false">
      <c r="A670" s="12" t="s">
        <v>702</v>
      </c>
      <c r="B670" s="12" t="n">
        <f aca="false">COUNTIFS(Cleaned!$C$2:$C$125,5,Cleaned!AJ$2:AJ$125,"&lt;&gt;")</f>
        <v>14</v>
      </c>
      <c r="C670" s="15" t="n">
        <f aca="false">IF(B670=0,"",AVERAGEIF(Cleaned!$C$2:$C$125,5,Cleaned!AJ$2:AJ$125))</f>
        <v>14.1071428571429</v>
      </c>
    </row>
    <row r="671" customFormat="false" ht="15" hidden="false" customHeight="false" outlineLevel="0" collapsed="false">
      <c r="A671" s="11" t="s">
        <v>3</v>
      </c>
      <c r="B671" s="9" t="s">
        <v>739</v>
      </c>
      <c r="C671" s="9" t="s">
        <v>735</v>
      </c>
    </row>
    <row r="672" customFormat="false" ht="15" hidden="false" customHeight="false" outlineLevel="0" collapsed="false">
      <c r="A672" s="12" t="s">
        <v>704</v>
      </c>
      <c r="B672" s="12" t="n">
        <f aca="false">COUNTIFS(Cleaned!$D$2:$D$125,1,Cleaned!AJ$2:AJ$125,"&lt;&gt;")</f>
        <v>5</v>
      </c>
      <c r="C672" s="15" t="n">
        <f aca="false">IF(B672=0,"",AVERAGEIF(Cleaned!$D$2:$D$125,1,Cleaned!AJ$2:AJ$125))</f>
        <v>12.0974</v>
      </c>
    </row>
    <row r="673" customFormat="false" ht="15" hidden="false" customHeight="false" outlineLevel="0" collapsed="false">
      <c r="A673" s="12" t="s">
        <v>705</v>
      </c>
      <c r="B673" s="12" t="n">
        <f aca="false">COUNTIFS(Cleaned!$D$2:$D$125,2,Cleaned!AJ$2:AJ$125,"&lt;&gt;")</f>
        <v>8</v>
      </c>
      <c r="C673" s="15" t="n">
        <f aca="false">IF(B673=0,"",AVERAGEIF(Cleaned!$D$2:$D$125,2,Cleaned!AJ$2:AJ$125))</f>
        <v>17.5625</v>
      </c>
    </row>
    <row r="674" customFormat="false" ht="15" hidden="false" customHeight="false" outlineLevel="0" collapsed="false">
      <c r="A674" s="12" t="s">
        <v>706</v>
      </c>
      <c r="B674" s="12" t="n">
        <f aca="false">COUNTIFS(Cleaned!$D$2:$D$125,3,Cleaned!AJ$2:AJ$125,"&lt;&gt;")</f>
        <v>8</v>
      </c>
      <c r="C674" s="15" t="n">
        <f aca="false">IF(B674=0,"",AVERAGEIF(Cleaned!$D$2:$D$125,3,Cleaned!AJ$2:AJ$125))</f>
        <v>26.6625</v>
      </c>
    </row>
    <row r="675" customFormat="false" ht="15" hidden="false" customHeight="false" outlineLevel="0" collapsed="false">
      <c r="A675" s="12" t="s">
        <v>707</v>
      </c>
      <c r="B675" s="12" t="n">
        <f aca="false">COUNTIFS(Cleaned!$D$2:$D$125,4,Cleaned!AJ$2:AJ$125,"&lt;&gt;")</f>
        <v>2</v>
      </c>
      <c r="C675" s="15" t="n">
        <f aca="false">IF(B675=0,"",AVERAGEIF(Cleaned!$D$2:$D$125,4,Cleaned!AJ$2:AJ$125))</f>
        <v>49</v>
      </c>
    </row>
    <row r="676" customFormat="false" ht="15" hidden="false" customHeight="false" outlineLevel="0" collapsed="false">
      <c r="A676" s="12" t="s">
        <v>708</v>
      </c>
      <c r="B676" s="12" t="n">
        <f aca="false">COUNTIFS(Cleaned!$D$2:$D$125,5,Cleaned!AJ$2:AJ$125,"&lt;&gt;")</f>
        <v>1</v>
      </c>
      <c r="C676" s="15" t="n">
        <f aca="false">IF(B676=0,"",AVERAGEIF(Cleaned!$D$2:$D$125,5,Cleaned!AJ$2:AJ$125))</f>
        <v>14.3</v>
      </c>
    </row>
    <row r="677" customFormat="false" ht="15" hidden="false" customHeight="false" outlineLevel="0" collapsed="false">
      <c r="A677" s="12" t="s">
        <v>709</v>
      </c>
      <c r="B677" s="12" t="n">
        <f aca="false">COUNTIFS(Cleaned!$D$2:$D$125,6,Cleaned!AJ$2:AJ$125,"&lt;&gt;")</f>
        <v>0</v>
      </c>
      <c r="C677" s="15" t="str">
        <f aca="false">IF(B677=0,"",AVERAGEIF(Cleaned!$D$2:$D$125,6,Cleaned!AJ$2:AJ$125))</f>
        <v/>
      </c>
    </row>
    <row r="678" customFormat="false" ht="15" hidden="false" customHeight="false" outlineLevel="0" collapsed="false">
      <c r="A678" s="12" t="s">
        <v>710</v>
      </c>
      <c r="B678" s="12" t="n">
        <f aca="false">COUNTIFS(Cleaned!$D$2:$D$125,7,Cleaned!AJ$2:AJ$125,"&lt;&gt;")</f>
        <v>4</v>
      </c>
      <c r="C678" s="15" t="n">
        <f aca="false">IF(B678=0,"",AVERAGEIF(Cleaned!$D$2:$D$125,7,Cleaned!AJ$2:AJ$125))</f>
        <v>4</v>
      </c>
    </row>
    <row r="679" customFormat="false" ht="15" hidden="false" customHeight="false" outlineLevel="0" collapsed="false">
      <c r="A679" s="12" t="s">
        <v>711</v>
      </c>
      <c r="B679" s="12" t="n">
        <f aca="false">COUNTIFS(Cleaned!$D$2:$D$125,8,Cleaned!AJ$2:AJ$125,"&lt;&gt;")</f>
        <v>1</v>
      </c>
      <c r="C679" s="15" t="n">
        <f aca="false">IF(B679=0,"",AVERAGEIF(Cleaned!$D$2:$D$125,8,Cleaned!AJ$2:AJ$125))</f>
        <v>25</v>
      </c>
    </row>
    <row r="680" customFormat="false" ht="15" hidden="false" customHeight="false" outlineLevel="0" collapsed="false">
      <c r="A680" s="12" t="s">
        <v>712</v>
      </c>
      <c r="B680" s="12" t="n">
        <f aca="false">COUNTIFS(Cleaned!$D$2:$D$125,9,Cleaned!AJ$2:AJ$125,"&lt;&gt;")</f>
        <v>0</v>
      </c>
      <c r="C680" s="15" t="str">
        <f aca="false">IF(B680=0,"",AVERAGEIF(Cleaned!$D$2:$D$125,9,Cleaned!AJ$2:AJ$125))</f>
        <v/>
      </c>
    </row>
    <row r="681" customFormat="false" ht="15" hidden="false" customHeight="false" outlineLevel="0" collapsed="false">
      <c r="A681" s="12" t="s">
        <v>713</v>
      </c>
      <c r="B681" s="12" t="n">
        <f aca="false">COUNTIFS(Cleaned!$D$2:$D$125,10,Cleaned!AJ$2:AJ$125,"&lt;&gt;")</f>
        <v>0</v>
      </c>
      <c r="C681" s="15" t="str">
        <f aca="false">IF(B681=0,"",AVERAGEIF(Cleaned!$D$2:$D$125,10,Cleaned!AJ$2:AJ$125))</f>
        <v/>
      </c>
    </row>
    <row r="682" customFormat="false" ht="15" hidden="false" customHeight="false" outlineLevel="0" collapsed="false">
      <c r="A682" s="12" t="s">
        <v>714</v>
      </c>
      <c r="B682" s="12" t="n">
        <f aca="false">COUNTIFS(Cleaned!$D$2:$D$125,11,Cleaned!AJ$2:AJ$125,"&lt;&gt;")</f>
        <v>5</v>
      </c>
      <c r="C682" s="15" t="n">
        <f aca="false">IF(B682=0,"",AVERAGEIF(Cleaned!$D$2:$D$125,11,Cleaned!AJ$2:AJ$125))</f>
        <v>58.176</v>
      </c>
    </row>
    <row r="683" customFormat="false" ht="15" hidden="false" customHeight="false" outlineLevel="0" collapsed="false">
      <c r="A683" s="12" t="s">
        <v>715</v>
      </c>
      <c r="B683" s="12" t="n">
        <f aca="false">COUNTIFS(Cleaned!$D$2:$D$125,12,Cleaned!AJ$2:AJ$125,"&lt;&gt;")</f>
        <v>2</v>
      </c>
      <c r="C683" s="15" t="n">
        <f aca="false">IF(B683=0,"",AVERAGEIF(Cleaned!$D$2:$D$125,12,Cleaned!AJ$2:AJ$125))</f>
        <v>26.5</v>
      </c>
    </row>
    <row r="686" customFormat="false" ht="15" hidden="false" customHeight="false" outlineLevel="0" collapsed="false">
      <c r="A686" s="6" t="s">
        <v>36</v>
      </c>
      <c r="B686" s="7" t="s">
        <v>758</v>
      </c>
    </row>
    <row r="687" customFormat="false" ht="15" hidden="false" customHeight="false" outlineLevel="0" collapsed="false">
      <c r="A687" s="11" t="s">
        <v>734</v>
      </c>
      <c r="B687" s="9" t="s">
        <v>694</v>
      </c>
      <c r="C687" s="9" t="s">
        <v>735</v>
      </c>
      <c r="D687" s="9" t="s">
        <v>736</v>
      </c>
      <c r="E687" s="9" t="s">
        <v>737</v>
      </c>
      <c r="F687" s="9" t="s">
        <v>738</v>
      </c>
    </row>
    <row r="688" customFormat="false" ht="15" hidden="false" customHeight="false" outlineLevel="0" collapsed="false">
      <c r="B688" s="12" t="n">
        <f aca="false">COUNT(Cleaned!$AK$2:$AK$125)</f>
        <v>31</v>
      </c>
      <c r="C688" s="12" t="n">
        <f aca="false">IFERROR(AVERAGE(Cleaned!$AK$2:$AK$125),"")</f>
        <v>16.880935483871</v>
      </c>
      <c r="D688" s="12" t="n">
        <f aca="false">IFERROR(MEDIAN(Cleaned!$AK$2:$AK$125),"")</f>
        <v>14</v>
      </c>
      <c r="E688" s="12" t="n">
        <f aca="false">IFERROR(MIN(Cleaned!$AK$2:$AK$125),"")</f>
        <v>0</v>
      </c>
      <c r="F688" s="12" t="n">
        <f aca="false">IFERROR(MAX(Cleaned!$AK$2:$AK$125),"")</f>
        <v>100</v>
      </c>
    </row>
    <row r="689" customFormat="false" ht="15" hidden="false" customHeight="false" outlineLevel="0" collapsed="false">
      <c r="A689" s="11" t="s">
        <v>697</v>
      </c>
      <c r="B689" s="9" t="s">
        <v>739</v>
      </c>
      <c r="C689" s="9" t="s">
        <v>735</v>
      </c>
    </row>
    <row r="690" customFormat="false" ht="15" hidden="false" customHeight="false" outlineLevel="0" collapsed="false">
      <c r="A690" s="12" t="s">
        <v>698</v>
      </c>
      <c r="B690" s="12" t="n">
        <f aca="false">COUNTIFS(Cleaned!$C$2:$C$125,1,Cleaned!AK$2:AK$125,"&lt;&gt;")</f>
        <v>2</v>
      </c>
      <c r="C690" s="15" t="n">
        <f aca="false">IF(B690=0,"",AVERAGEIF(Cleaned!$C$2:$C$125,1,Cleaned!AK$2:AK$125))</f>
        <v>23.5</v>
      </c>
    </row>
    <row r="691" customFormat="false" ht="15" hidden="false" customHeight="false" outlineLevel="0" collapsed="false">
      <c r="A691" s="12" t="s">
        <v>699</v>
      </c>
      <c r="B691" s="12" t="n">
        <f aca="false">COUNTIFS(Cleaned!$C$2:$C$125,2,Cleaned!AK$2:AK$125,"&lt;&gt;")</f>
        <v>2</v>
      </c>
      <c r="C691" s="15" t="n">
        <f aca="false">IF(B691=0,"",AVERAGEIF(Cleaned!$C$2:$C$125,2,Cleaned!AK$2:AK$125))</f>
        <v>58</v>
      </c>
    </row>
    <row r="692" customFormat="false" ht="15" hidden="false" customHeight="false" outlineLevel="0" collapsed="false">
      <c r="A692" s="12" t="s">
        <v>700</v>
      </c>
      <c r="B692" s="12" t="n">
        <f aca="false">COUNTIFS(Cleaned!$C$2:$C$125,3,Cleaned!AK$2:AK$125,"&lt;&gt;")</f>
        <v>7</v>
      </c>
      <c r="C692" s="15" t="n">
        <f aca="false">IF(B692=0,"",AVERAGEIF(Cleaned!$C$2:$C$125,3,Cleaned!AK$2:AK$125))</f>
        <v>15.767</v>
      </c>
    </row>
    <row r="693" customFormat="false" ht="15" hidden="false" customHeight="false" outlineLevel="0" collapsed="false">
      <c r="A693" s="12" t="s">
        <v>701</v>
      </c>
      <c r="B693" s="12" t="n">
        <f aca="false">COUNTIFS(Cleaned!$C$2:$C$125,4,Cleaned!AK$2:AK$125,"&lt;&gt;")</f>
        <v>7</v>
      </c>
      <c r="C693" s="15" t="n">
        <f aca="false">IF(B693=0,"",AVERAGEIF(Cleaned!$C$2:$C$125,4,Cleaned!AK$2:AK$125))</f>
        <v>13.1714285714286</v>
      </c>
    </row>
    <row r="694" customFormat="false" ht="15" hidden="false" customHeight="false" outlineLevel="0" collapsed="false">
      <c r="A694" s="12" t="s">
        <v>702</v>
      </c>
      <c r="B694" s="12" t="n">
        <f aca="false">COUNTIFS(Cleaned!$C$2:$C$125,5,Cleaned!AK$2:AK$125,"&lt;&gt;")</f>
        <v>13</v>
      </c>
      <c r="C694" s="15" t="n">
        <f aca="false">IF(B694=0,"",AVERAGEIF(Cleaned!$C$2:$C$125,5,Cleaned!AK$2:AK$125))</f>
        <v>12.1338461538462</v>
      </c>
    </row>
    <row r="695" customFormat="false" ht="15" hidden="false" customHeight="false" outlineLevel="0" collapsed="false">
      <c r="A695" s="11" t="s">
        <v>3</v>
      </c>
      <c r="B695" s="9" t="s">
        <v>739</v>
      </c>
      <c r="C695" s="9" t="s">
        <v>735</v>
      </c>
    </row>
    <row r="696" customFormat="false" ht="15" hidden="false" customHeight="false" outlineLevel="0" collapsed="false">
      <c r="A696" s="12" t="s">
        <v>704</v>
      </c>
      <c r="B696" s="12" t="n">
        <f aca="false">COUNTIFS(Cleaned!$D$2:$D$125,1,Cleaned!AK$2:AK$125,"&lt;&gt;")</f>
        <v>3</v>
      </c>
      <c r="C696" s="15" t="n">
        <f aca="false">IF(B696=0,"",AVERAGEIF(Cleaned!$D$2:$D$125,1,Cleaned!AK$2:AK$125))</f>
        <v>10.9563333333333</v>
      </c>
    </row>
    <row r="697" customFormat="false" ht="15" hidden="false" customHeight="false" outlineLevel="0" collapsed="false">
      <c r="A697" s="12" t="s">
        <v>705</v>
      </c>
      <c r="B697" s="12" t="n">
        <f aca="false">COUNTIFS(Cleaned!$D$2:$D$125,2,Cleaned!AK$2:AK$125,"&lt;&gt;")</f>
        <v>6</v>
      </c>
      <c r="C697" s="15" t="n">
        <f aca="false">IF(B697=0,"",AVERAGEIF(Cleaned!$D$2:$D$125,2,Cleaned!AK$2:AK$125))</f>
        <v>15.4533333333333</v>
      </c>
    </row>
    <row r="698" customFormat="false" ht="15" hidden="false" customHeight="false" outlineLevel="0" collapsed="false">
      <c r="A698" s="12" t="s">
        <v>706</v>
      </c>
      <c r="B698" s="12" t="n">
        <f aca="false">COUNTIFS(Cleaned!$D$2:$D$125,3,Cleaned!AK$2:AK$125,"&lt;&gt;")</f>
        <v>7</v>
      </c>
      <c r="C698" s="15" t="n">
        <f aca="false">IF(B698=0,"",AVERAGEIF(Cleaned!$D$2:$D$125,3,Cleaned!AK$2:AK$125))</f>
        <v>12.5571428571429</v>
      </c>
    </row>
    <row r="699" customFormat="false" ht="15" hidden="false" customHeight="false" outlineLevel="0" collapsed="false">
      <c r="A699" s="12" t="s">
        <v>707</v>
      </c>
      <c r="B699" s="12" t="n">
        <f aca="false">COUNTIFS(Cleaned!$D$2:$D$125,4,Cleaned!AK$2:AK$125,"&lt;&gt;")</f>
        <v>3</v>
      </c>
      <c r="C699" s="15" t="n">
        <f aca="false">IF(B699=0,"",AVERAGEIF(Cleaned!$D$2:$D$125,4,Cleaned!AK$2:AK$125))</f>
        <v>18</v>
      </c>
    </row>
    <row r="700" customFormat="false" ht="15" hidden="false" customHeight="false" outlineLevel="0" collapsed="false">
      <c r="A700" s="12" t="s">
        <v>708</v>
      </c>
      <c r="B700" s="12" t="n">
        <f aca="false">COUNTIFS(Cleaned!$D$2:$D$125,5,Cleaned!AK$2:AK$125,"&lt;&gt;")</f>
        <v>1</v>
      </c>
      <c r="C700" s="15" t="n">
        <f aca="false">IF(B700=0,"",AVERAGEIF(Cleaned!$D$2:$D$125,5,Cleaned!AK$2:AK$125))</f>
        <v>20.3</v>
      </c>
    </row>
    <row r="701" customFormat="false" ht="15" hidden="false" customHeight="false" outlineLevel="0" collapsed="false">
      <c r="A701" s="12" t="s">
        <v>709</v>
      </c>
      <c r="B701" s="12" t="n">
        <f aca="false">COUNTIFS(Cleaned!$D$2:$D$125,6,Cleaned!AK$2:AK$125,"&lt;&gt;")</f>
        <v>1</v>
      </c>
      <c r="C701" s="15" t="n">
        <f aca="false">IF(B701=0,"",AVERAGEIF(Cleaned!$D$2:$D$125,6,Cleaned!AK$2:AK$125))</f>
        <v>3.3</v>
      </c>
    </row>
    <row r="702" customFormat="false" ht="15" hidden="false" customHeight="false" outlineLevel="0" collapsed="false">
      <c r="A702" s="12" t="s">
        <v>710</v>
      </c>
      <c r="B702" s="12" t="n">
        <f aca="false">COUNTIFS(Cleaned!$D$2:$D$125,7,Cleaned!AK$2:AK$125,"&lt;&gt;")</f>
        <v>5</v>
      </c>
      <c r="C702" s="15" t="n">
        <f aca="false">IF(B702=0,"",AVERAGEIF(Cleaned!$D$2:$D$125,7,Cleaned!AK$2:AK$125))</f>
        <v>15.644</v>
      </c>
    </row>
    <row r="703" customFormat="false" ht="15" hidden="false" customHeight="false" outlineLevel="0" collapsed="false">
      <c r="A703" s="12" t="s">
        <v>711</v>
      </c>
      <c r="B703" s="12" t="n">
        <f aca="false">COUNTIFS(Cleaned!$D$2:$D$125,8,Cleaned!AK$2:AK$125,"&lt;&gt;")</f>
        <v>1</v>
      </c>
      <c r="C703" s="15" t="n">
        <f aca="false">IF(B703=0,"",AVERAGEIF(Cleaned!$D$2:$D$125,8,Cleaned!AK$2:AK$125))</f>
        <v>3</v>
      </c>
    </row>
    <row r="704" customFormat="false" ht="15" hidden="false" customHeight="false" outlineLevel="0" collapsed="false">
      <c r="A704" s="12" t="s">
        <v>712</v>
      </c>
      <c r="B704" s="12" t="n">
        <f aca="false">COUNTIFS(Cleaned!$D$2:$D$125,9,Cleaned!AK$2:AK$125,"&lt;&gt;")</f>
        <v>0</v>
      </c>
      <c r="C704" s="15" t="str">
        <f aca="false">IF(B704=0,"",AVERAGEIF(Cleaned!$D$2:$D$125,9,Cleaned!AK$2:AK$125))</f>
        <v/>
      </c>
    </row>
    <row r="705" customFormat="false" ht="15" hidden="false" customHeight="false" outlineLevel="0" collapsed="false">
      <c r="A705" s="12" t="s">
        <v>713</v>
      </c>
      <c r="B705" s="12" t="n">
        <f aca="false">COUNTIFS(Cleaned!$D$2:$D$125,10,Cleaned!AK$2:AK$125,"&lt;&gt;")</f>
        <v>0</v>
      </c>
      <c r="C705" s="15" t="str">
        <f aca="false">IF(B705=0,"",AVERAGEIF(Cleaned!$D$2:$D$125,10,Cleaned!AK$2:AK$125))</f>
        <v/>
      </c>
    </row>
    <row r="706" customFormat="false" ht="15" hidden="false" customHeight="false" outlineLevel="0" collapsed="false">
      <c r="A706" s="12" t="s">
        <v>714</v>
      </c>
      <c r="B706" s="12" t="n">
        <f aca="false">COUNTIFS(Cleaned!$D$2:$D$125,11,Cleaned!AK$2:AK$125,"&lt;&gt;")</f>
        <v>2</v>
      </c>
      <c r="C706" s="15" t="n">
        <f aca="false">IF(B706=0,"",AVERAGEIF(Cleaned!$D$2:$D$125,11,Cleaned!AK$2:AK$125))</f>
        <v>52</v>
      </c>
    </row>
    <row r="707" customFormat="false" ht="15" hidden="false" customHeight="false" outlineLevel="0" collapsed="false">
      <c r="A707" s="12" t="s">
        <v>715</v>
      </c>
      <c r="B707" s="12" t="n">
        <f aca="false">COUNTIFS(Cleaned!$D$2:$D$125,12,Cleaned!AK$2:AK$125,"&lt;&gt;")</f>
        <v>2</v>
      </c>
      <c r="C707" s="15" t="n">
        <f aca="false">IF(B707=0,"",AVERAGEIF(Cleaned!$D$2:$D$125,12,Cleaned!AK$2:AK$125))</f>
        <v>23.5</v>
      </c>
    </row>
    <row r="710" customFormat="false" ht="15" hidden="false" customHeight="false" outlineLevel="0" collapsed="false">
      <c r="A710" s="6" t="s">
        <v>37</v>
      </c>
      <c r="B710" s="7" t="s">
        <v>759</v>
      </c>
    </row>
    <row r="711" customFormat="false" ht="15" hidden="false" customHeight="false" outlineLevel="0" collapsed="false">
      <c r="A711" s="11" t="s">
        <v>734</v>
      </c>
      <c r="B711" s="9" t="s">
        <v>694</v>
      </c>
      <c r="C711" s="9" t="s">
        <v>735</v>
      </c>
      <c r="D711" s="9" t="s">
        <v>736</v>
      </c>
      <c r="E711" s="9" t="s">
        <v>737</v>
      </c>
      <c r="F711" s="9" t="s">
        <v>738</v>
      </c>
    </row>
    <row r="712" customFormat="false" ht="15" hidden="false" customHeight="false" outlineLevel="0" collapsed="false">
      <c r="B712" s="12" t="n">
        <f aca="false">COUNT(Cleaned!$AL$2:$AL$125)</f>
        <v>18</v>
      </c>
      <c r="C712" s="12" t="n">
        <f aca="false">IFERROR(AVERAGE(Cleaned!$AL$2:$AL$125),"")</f>
        <v>3.66888888888889</v>
      </c>
      <c r="D712" s="12" t="n">
        <f aca="false">IFERROR(MEDIAN(Cleaned!$AL$2:$AL$125),"")</f>
        <v>0</v>
      </c>
      <c r="E712" s="12" t="n">
        <f aca="false">IFERROR(MIN(Cleaned!$AL$2:$AL$125),"")</f>
        <v>0</v>
      </c>
      <c r="F712" s="12" t="n">
        <f aca="false">IFERROR(MAX(Cleaned!$AL$2:$AL$125),"")</f>
        <v>39</v>
      </c>
    </row>
    <row r="713" customFormat="false" ht="15" hidden="false" customHeight="false" outlineLevel="0" collapsed="false">
      <c r="A713" s="11" t="s">
        <v>697</v>
      </c>
      <c r="B713" s="9" t="s">
        <v>739</v>
      </c>
      <c r="C713" s="9" t="s">
        <v>735</v>
      </c>
    </row>
    <row r="714" customFormat="false" ht="15" hidden="false" customHeight="false" outlineLevel="0" collapsed="false">
      <c r="A714" s="12" t="s">
        <v>698</v>
      </c>
      <c r="B714" s="12" t="n">
        <f aca="false">COUNTIFS(Cleaned!$C$2:$C$125,1,Cleaned!AL$2:AL$125,"&lt;&gt;")</f>
        <v>1</v>
      </c>
      <c r="C714" s="15" t="n">
        <f aca="false">IF(B714=0,"",AVERAGEIF(Cleaned!$C$2:$C$125,1,Cleaned!AL$2:AL$125))</f>
        <v>0</v>
      </c>
    </row>
    <row r="715" customFormat="false" ht="15" hidden="false" customHeight="false" outlineLevel="0" collapsed="false">
      <c r="A715" s="12" t="s">
        <v>699</v>
      </c>
      <c r="B715" s="12" t="n">
        <f aca="false">COUNTIFS(Cleaned!$C$2:$C$125,2,Cleaned!AL$2:AL$125,"&lt;&gt;")</f>
        <v>0</v>
      </c>
      <c r="C715" s="15" t="str">
        <f aca="false">IF(B715=0,"",AVERAGEIF(Cleaned!$C$2:$C$125,2,Cleaned!AL$2:AL$125))</f>
        <v/>
      </c>
    </row>
    <row r="716" customFormat="false" ht="15" hidden="false" customHeight="false" outlineLevel="0" collapsed="false">
      <c r="A716" s="12" t="s">
        <v>700</v>
      </c>
      <c r="B716" s="12" t="n">
        <f aca="false">COUNTIFS(Cleaned!$C$2:$C$125,3,Cleaned!AL$2:AL$125,"&lt;&gt;")</f>
        <v>2</v>
      </c>
      <c r="C716" s="15" t="n">
        <f aca="false">IF(B716=0,"",AVERAGEIF(Cleaned!$C$2:$C$125,3,Cleaned!AL$2:AL$125))</f>
        <v>0</v>
      </c>
    </row>
    <row r="717" customFormat="false" ht="15" hidden="false" customHeight="false" outlineLevel="0" collapsed="false">
      <c r="A717" s="12" t="s">
        <v>701</v>
      </c>
      <c r="B717" s="12" t="n">
        <f aca="false">COUNTIFS(Cleaned!$C$2:$C$125,4,Cleaned!AL$2:AL$125,"&lt;&gt;")</f>
        <v>4</v>
      </c>
      <c r="C717" s="15" t="n">
        <f aca="false">IF(B717=0,"",AVERAGEIF(Cleaned!$C$2:$C$125,4,Cleaned!AL$2:AL$125))</f>
        <v>4.75</v>
      </c>
    </row>
    <row r="718" customFormat="false" ht="15" hidden="false" customHeight="false" outlineLevel="0" collapsed="false">
      <c r="A718" s="12" t="s">
        <v>702</v>
      </c>
      <c r="B718" s="12" t="n">
        <f aca="false">COUNTIFS(Cleaned!$C$2:$C$125,5,Cleaned!AL$2:AL$125,"&lt;&gt;")</f>
        <v>11</v>
      </c>
      <c r="C718" s="15" t="n">
        <f aca="false">IF(B718=0,"",AVERAGEIF(Cleaned!$C$2:$C$125,5,Cleaned!AL$2:AL$125))</f>
        <v>4.27636363636364</v>
      </c>
    </row>
    <row r="719" customFormat="false" ht="15" hidden="false" customHeight="false" outlineLevel="0" collapsed="false">
      <c r="A719" s="11" t="s">
        <v>3</v>
      </c>
      <c r="B719" s="9" t="s">
        <v>739</v>
      </c>
      <c r="C719" s="9" t="s">
        <v>735</v>
      </c>
    </row>
    <row r="720" customFormat="false" ht="15" hidden="false" customHeight="false" outlineLevel="0" collapsed="false">
      <c r="A720" s="12" t="s">
        <v>704</v>
      </c>
      <c r="B720" s="12" t="n">
        <f aca="false">COUNTIFS(Cleaned!$D$2:$D$125,1,Cleaned!AL$2:AL$125,"&lt;&gt;")</f>
        <v>0</v>
      </c>
      <c r="C720" s="15" t="str">
        <f aca="false">IF(B720=0,"",AVERAGEIF(Cleaned!$D$2:$D$125,1,Cleaned!AL$2:AL$125))</f>
        <v/>
      </c>
    </row>
    <row r="721" customFormat="false" ht="15" hidden="false" customHeight="false" outlineLevel="0" collapsed="false">
      <c r="A721" s="12" t="s">
        <v>705</v>
      </c>
      <c r="B721" s="12" t="n">
        <f aca="false">COUNTIFS(Cleaned!$D$2:$D$125,2,Cleaned!AL$2:AL$125,"&lt;&gt;")</f>
        <v>6</v>
      </c>
      <c r="C721" s="15" t="n">
        <f aca="false">IF(B721=0,"",AVERAGEIF(Cleaned!$D$2:$D$125,2,Cleaned!AL$2:AL$125))</f>
        <v>6.84</v>
      </c>
    </row>
    <row r="722" customFormat="false" ht="15" hidden="false" customHeight="false" outlineLevel="0" collapsed="false">
      <c r="A722" s="12" t="s">
        <v>706</v>
      </c>
      <c r="B722" s="12" t="n">
        <f aca="false">COUNTIFS(Cleaned!$D$2:$D$125,3,Cleaned!AL$2:AL$125,"&lt;&gt;")</f>
        <v>4</v>
      </c>
      <c r="C722" s="15" t="n">
        <f aca="false">IF(B722=0,"",AVERAGEIF(Cleaned!$D$2:$D$125,3,Cleaned!AL$2:AL$125))</f>
        <v>3.125</v>
      </c>
    </row>
    <row r="723" customFormat="false" ht="15" hidden="false" customHeight="false" outlineLevel="0" collapsed="false">
      <c r="A723" s="12" t="s">
        <v>707</v>
      </c>
      <c r="B723" s="12" t="n">
        <f aca="false">COUNTIFS(Cleaned!$D$2:$D$125,4,Cleaned!AL$2:AL$125,"&lt;&gt;")</f>
        <v>1</v>
      </c>
      <c r="C723" s="15" t="n">
        <f aca="false">IF(B723=0,"",AVERAGEIF(Cleaned!$D$2:$D$125,4,Cleaned!AL$2:AL$125))</f>
        <v>0</v>
      </c>
    </row>
    <row r="724" customFormat="false" ht="15" hidden="false" customHeight="false" outlineLevel="0" collapsed="false">
      <c r="A724" s="12" t="s">
        <v>708</v>
      </c>
      <c r="B724" s="12" t="n">
        <f aca="false">COUNTIFS(Cleaned!$D$2:$D$125,5,Cleaned!AL$2:AL$125,"&lt;&gt;")</f>
        <v>1</v>
      </c>
      <c r="C724" s="15" t="n">
        <f aca="false">IF(B724=0,"",AVERAGEIF(Cleaned!$D$2:$D$125,5,Cleaned!AL$2:AL$125))</f>
        <v>10.5</v>
      </c>
    </row>
    <row r="725" customFormat="false" ht="15" hidden="false" customHeight="false" outlineLevel="0" collapsed="false">
      <c r="A725" s="12" t="s">
        <v>709</v>
      </c>
      <c r="B725" s="12" t="n">
        <f aca="false">COUNTIFS(Cleaned!$D$2:$D$125,6,Cleaned!AL$2:AL$125,"&lt;&gt;")</f>
        <v>0</v>
      </c>
      <c r="C725" s="15" t="str">
        <f aca="false">IF(B725=0,"",AVERAGEIF(Cleaned!$D$2:$D$125,6,Cleaned!AL$2:AL$125))</f>
        <v/>
      </c>
    </row>
    <row r="726" customFormat="false" ht="15" hidden="false" customHeight="false" outlineLevel="0" collapsed="false">
      <c r="A726" s="12" t="s">
        <v>710</v>
      </c>
      <c r="B726" s="12" t="n">
        <f aca="false">COUNTIFS(Cleaned!$D$2:$D$125,7,Cleaned!AL$2:AL$125,"&lt;&gt;")</f>
        <v>3</v>
      </c>
      <c r="C726" s="15" t="n">
        <f aca="false">IF(B726=0,"",AVERAGEIF(Cleaned!$D$2:$D$125,7,Cleaned!AL$2:AL$125))</f>
        <v>0.666666666666667</v>
      </c>
    </row>
    <row r="727" customFormat="false" ht="15" hidden="false" customHeight="false" outlineLevel="0" collapsed="false">
      <c r="A727" s="12" t="s">
        <v>711</v>
      </c>
      <c r="B727" s="12" t="n">
        <f aca="false">COUNTIFS(Cleaned!$D$2:$D$125,8,Cleaned!AL$2:AL$125,"&lt;&gt;")</f>
        <v>1</v>
      </c>
      <c r="C727" s="15" t="n">
        <f aca="false">IF(B727=0,"",AVERAGEIF(Cleaned!$D$2:$D$125,8,Cleaned!AL$2:AL$125))</f>
        <v>0</v>
      </c>
    </row>
    <row r="728" customFormat="false" ht="15" hidden="false" customHeight="false" outlineLevel="0" collapsed="false">
      <c r="A728" s="12" t="s">
        <v>712</v>
      </c>
      <c r="B728" s="12" t="n">
        <f aca="false">COUNTIFS(Cleaned!$D$2:$D$125,9,Cleaned!AL$2:AL$125,"&lt;&gt;")</f>
        <v>0</v>
      </c>
      <c r="C728" s="15" t="str">
        <f aca="false">IF(B728=0,"",AVERAGEIF(Cleaned!$D$2:$D$125,9,Cleaned!AL$2:AL$125))</f>
        <v/>
      </c>
    </row>
    <row r="729" customFormat="false" ht="15" hidden="false" customHeight="false" outlineLevel="0" collapsed="false">
      <c r="A729" s="12" t="s">
        <v>713</v>
      </c>
      <c r="B729" s="12" t="n">
        <f aca="false">COUNTIFS(Cleaned!$D$2:$D$125,10,Cleaned!AL$2:AL$125,"&lt;&gt;")</f>
        <v>0</v>
      </c>
      <c r="C729" s="15" t="str">
        <f aca="false">IF(B729=0,"",AVERAGEIF(Cleaned!$D$2:$D$125,10,Cleaned!AL$2:AL$125))</f>
        <v/>
      </c>
    </row>
    <row r="730" customFormat="false" ht="15" hidden="false" customHeight="false" outlineLevel="0" collapsed="false">
      <c r="A730" s="12" t="s">
        <v>714</v>
      </c>
      <c r="B730" s="12" t="n">
        <f aca="false">COUNTIFS(Cleaned!$D$2:$D$125,11,Cleaned!AL$2:AL$125,"&lt;&gt;")</f>
        <v>1</v>
      </c>
      <c r="C730" s="15" t="n">
        <f aca="false">IF(B730=0,"",AVERAGEIF(Cleaned!$D$2:$D$125,11,Cleaned!AL$2:AL$125))</f>
        <v>0</v>
      </c>
    </row>
    <row r="731" customFormat="false" ht="15" hidden="false" customHeight="false" outlineLevel="0" collapsed="false">
      <c r="A731" s="12" t="s">
        <v>715</v>
      </c>
      <c r="B731" s="12" t="n">
        <f aca="false">COUNTIFS(Cleaned!$D$2:$D$125,12,Cleaned!AL$2:AL$125,"&lt;&gt;")</f>
        <v>1</v>
      </c>
      <c r="C731" s="15" t="n">
        <f aca="false">IF(B731=0,"",AVERAGEIF(Cleaned!$D$2:$D$125,12,Cleaned!AL$2:AL$125))</f>
        <v>0</v>
      </c>
    </row>
    <row r="734" customFormat="false" ht="15" hidden="false" customHeight="false" outlineLevel="0" collapsed="false">
      <c r="A734" s="6" t="s">
        <v>38</v>
      </c>
      <c r="B734" s="7" t="s">
        <v>760</v>
      </c>
    </row>
    <row r="735" customFormat="false" ht="15" hidden="false" customHeight="false" outlineLevel="0" collapsed="false">
      <c r="A735" s="8"/>
      <c r="B735" s="9" t="s">
        <v>250</v>
      </c>
      <c r="C735" s="8"/>
      <c r="D735" s="9" t="s">
        <v>694</v>
      </c>
    </row>
    <row r="736" customFormat="false" ht="15" hidden="false" customHeight="false" outlineLevel="0" collapsed="false">
      <c r="B736" s="10" t="s">
        <v>695</v>
      </c>
      <c r="C736" s="10" t="s">
        <v>696</v>
      </c>
    </row>
    <row r="737" customFormat="false" ht="15" hidden="false" customHeight="false" outlineLevel="0" collapsed="false">
      <c r="A737" s="11" t="s">
        <v>697</v>
      </c>
    </row>
    <row r="738" customFormat="false" ht="15" hidden="false" customHeight="false" outlineLevel="0" collapsed="false">
      <c r="A738" s="12" t="s">
        <v>698</v>
      </c>
      <c r="B738" s="12" t="n">
        <f aca="false">COUNTIFS(Cleaned!$C$2:$C$125,1,Cleaned!AM$2:AM$125,1)</f>
        <v>3</v>
      </c>
      <c r="C738" s="13" t="n">
        <f aca="false">IFERROR(B738/$D738,"")</f>
        <v>1</v>
      </c>
      <c r="D738" s="12" t="n">
        <f aca="false">B738</f>
        <v>3</v>
      </c>
    </row>
    <row r="739" customFormat="false" ht="15" hidden="false" customHeight="false" outlineLevel="0" collapsed="false">
      <c r="A739" s="12" t="s">
        <v>699</v>
      </c>
      <c r="B739" s="12" t="n">
        <f aca="false">COUNTIFS(Cleaned!$C$2:$C$125,2,Cleaned!AM$2:AM$125,1)</f>
        <v>3</v>
      </c>
      <c r="C739" s="13" t="n">
        <f aca="false">IFERROR(B739/$D739,"")</f>
        <v>1</v>
      </c>
      <c r="D739" s="12" t="n">
        <f aca="false">B739</f>
        <v>3</v>
      </c>
    </row>
    <row r="740" customFormat="false" ht="15" hidden="false" customHeight="false" outlineLevel="0" collapsed="false">
      <c r="A740" s="12" t="s">
        <v>700</v>
      </c>
      <c r="B740" s="12" t="n">
        <f aca="false">COUNTIFS(Cleaned!$C$2:$C$125,3,Cleaned!AM$2:AM$125,1)</f>
        <v>5</v>
      </c>
      <c r="C740" s="13" t="n">
        <f aca="false">IFERROR(B740/$D740,"")</f>
        <v>1</v>
      </c>
      <c r="D740" s="12" t="n">
        <f aca="false">B740</f>
        <v>5</v>
      </c>
    </row>
    <row r="741" customFormat="false" ht="15" hidden="false" customHeight="false" outlineLevel="0" collapsed="false">
      <c r="A741" s="12" t="s">
        <v>701</v>
      </c>
      <c r="B741" s="12" t="n">
        <f aca="false">COUNTIFS(Cleaned!$C$2:$C$125,4,Cleaned!AM$2:AM$125,1)</f>
        <v>3</v>
      </c>
      <c r="C741" s="13" t="n">
        <f aca="false">IFERROR(B741/$D741,"")</f>
        <v>1</v>
      </c>
      <c r="D741" s="12" t="n">
        <f aca="false">B741</f>
        <v>3</v>
      </c>
    </row>
    <row r="742" customFormat="false" ht="15" hidden="false" customHeight="false" outlineLevel="0" collapsed="false">
      <c r="A742" s="12" t="s">
        <v>702</v>
      </c>
      <c r="B742" s="12" t="n">
        <f aca="false">COUNTIFS(Cleaned!$C$2:$C$125,5,Cleaned!AM$2:AM$125,1)</f>
        <v>5</v>
      </c>
      <c r="C742" s="13" t="n">
        <f aca="false">IFERROR(B742/$D742,"")</f>
        <v>1</v>
      </c>
      <c r="D742" s="12" t="n">
        <f aca="false">B742</f>
        <v>5</v>
      </c>
    </row>
    <row r="743" customFormat="false" ht="15" hidden="false" customHeight="false" outlineLevel="0" collapsed="false">
      <c r="A743" s="11" t="s">
        <v>703</v>
      </c>
      <c r="B743" s="11" t="n">
        <f aca="false">SUM(B738:B742)</f>
        <v>19</v>
      </c>
      <c r="C743" s="14" t="n">
        <f aca="false">IFERROR(B743/$D743,"")</f>
        <v>1</v>
      </c>
      <c r="D743" s="11" t="n">
        <f aca="false">SUM(D738:D742)</f>
        <v>19</v>
      </c>
    </row>
    <row r="744" customFormat="false" ht="15" hidden="false" customHeight="false" outlineLevel="0" collapsed="false">
      <c r="A744" s="11" t="s">
        <v>3</v>
      </c>
    </row>
    <row r="745" customFormat="false" ht="15" hidden="false" customHeight="false" outlineLevel="0" collapsed="false">
      <c r="A745" s="12" t="s">
        <v>704</v>
      </c>
      <c r="B745" s="12" t="n">
        <f aca="false">COUNTIFS(Cleaned!$D$2:$D$125,1,Cleaned!AM$2:AM$125,1)</f>
        <v>2</v>
      </c>
      <c r="C745" s="13" t="n">
        <f aca="false">IFERROR(B745/$D745,"")</f>
        <v>1</v>
      </c>
      <c r="D745" s="12" t="n">
        <f aca="false">B745</f>
        <v>2</v>
      </c>
    </row>
    <row r="746" customFormat="false" ht="15" hidden="false" customHeight="false" outlineLevel="0" collapsed="false">
      <c r="A746" s="12" t="s">
        <v>705</v>
      </c>
      <c r="B746" s="12" t="n">
        <f aca="false">COUNTIFS(Cleaned!$D$2:$D$125,2,Cleaned!AM$2:AM$125,1)</f>
        <v>4</v>
      </c>
      <c r="C746" s="13" t="n">
        <f aca="false">IFERROR(B746/$D746,"")</f>
        <v>1</v>
      </c>
      <c r="D746" s="12" t="n">
        <f aca="false">B746</f>
        <v>4</v>
      </c>
    </row>
    <row r="747" customFormat="false" ht="15" hidden="false" customHeight="false" outlineLevel="0" collapsed="false">
      <c r="A747" s="12" t="s">
        <v>706</v>
      </c>
      <c r="B747" s="12" t="n">
        <f aca="false">COUNTIFS(Cleaned!$D$2:$D$125,3,Cleaned!AM$2:AM$125,1)</f>
        <v>0</v>
      </c>
      <c r="C747" s="13" t="str">
        <f aca="false">IFERROR(B747/$D747,"")</f>
        <v/>
      </c>
      <c r="D747" s="12" t="n">
        <f aca="false">B747</f>
        <v>0</v>
      </c>
    </row>
    <row r="748" customFormat="false" ht="15" hidden="false" customHeight="false" outlineLevel="0" collapsed="false">
      <c r="A748" s="12" t="s">
        <v>707</v>
      </c>
      <c r="B748" s="12" t="n">
        <f aca="false">COUNTIFS(Cleaned!$D$2:$D$125,4,Cleaned!AM$2:AM$125,1)</f>
        <v>4</v>
      </c>
      <c r="C748" s="13" t="n">
        <f aca="false">IFERROR(B748/$D748,"")</f>
        <v>1</v>
      </c>
      <c r="D748" s="12" t="n">
        <f aca="false">B748</f>
        <v>4</v>
      </c>
    </row>
    <row r="749" customFormat="false" ht="15" hidden="false" customHeight="false" outlineLevel="0" collapsed="false">
      <c r="A749" s="12" t="s">
        <v>708</v>
      </c>
      <c r="B749" s="12" t="n">
        <f aca="false">COUNTIFS(Cleaned!$D$2:$D$125,5,Cleaned!AM$2:AM$125,1)</f>
        <v>0</v>
      </c>
      <c r="C749" s="13" t="str">
        <f aca="false">IFERROR(B749/$D749,"")</f>
        <v/>
      </c>
      <c r="D749" s="12" t="n">
        <f aca="false">B749</f>
        <v>0</v>
      </c>
    </row>
    <row r="750" customFormat="false" ht="15" hidden="false" customHeight="false" outlineLevel="0" collapsed="false">
      <c r="A750" s="12" t="s">
        <v>709</v>
      </c>
      <c r="B750" s="12" t="n">
        <f aca="false">COUNTIFS(Cleaned!$D$2:$D$125,6,Cleaned!AM$2:AM$125,1)</f>
        <v>2</v>
      </c>
      <c r="C750" s="13" t="n">
        <f aca="false">IFERROR(B750/$D750,"")</f>
        <v>1</v>
      </c>
      <c r="D750" s="12" t="n">
        <f aca="false">B750</f>
        <v>2</v>
      </c>
    </row>
    <row r="751" customFormat="false" ht="15" hidden="false" customHeight="false" outlineLevel="0" collapsed="false">
      <c r="A751" s="12" t="s">
        <v>710</v>
      </c>
      <c r="B751" s="12" t="n">
        <f aca="false">COUNTIFS(Cleaned!$D$2:$D$125,7,Cleaned!AM$2:AM$125,1)</f>
        <v>2</v>
      </c>
      <c r="C751" s="13" t="n">
        <f aca="false">IFERROR(B751/$D751,"")</f>
        <v>1</v>
      </c>
      <c r="D751" s="12" t="n">
        <f aca="false">B751</f>
        <v>2</v>
      </c>
    </row>
    <row r="752" customFormat="false" ht="15" hidden="false" customHeight="false" outlineLevel="0" collapsed="false">
      <c r="A752" s="12" t="s">
        <v>711</v>
      </c>
      <c r="B752" s="12" t="n">
        <f aca="false">COUNTIFS(Cleaned!$D$2:$D$125,8,Cleaned!AM$2:AM$125,1)</f>
        <v>1</v>
      </c>
      <c r="C752" s="13" t="n">
        <f aca="false">IFERROR(B752/$D752,"")</f>
        <v>1</v>
      </c>
      <c r="D752" s="12" t="n">
        <f aca="false">B752</f>
        <v>1</v>
      </c>
    </row>
    <row r="753" customFormat="false" ht="15" hidden="false" customHeight="false" outlineLevel="0" collapsed="false">
      <c r="A753" s="12" t="s">
        <v>712</v>
      </c>
      <c r="B753" s="12" t="n">
        <f aca="false">COUNTIFS(Cleaned!$D$2:$D$125,9,Cleaned!AM$2:AM$125,1)</f>
        <v>1</v>
      </c>
      <c r="C753" s="13" t="n">
        <f aca="false">IFERROR(B753/$D753,"")</f>
        <v>1</v>
      </c>
      <c r="D753" s="12" t="n">
        <f aca="false">B753</f>
        <v>1</v>
      </c>
    </row>
    <row r="754" customFormat="false" ht="15" hidden="false" customHeight="false" outlineLevel="0" collapsed="false">
      <c r="A754" s="12" t="s">
        <v>713</v>
      </c>
      <c r="B754" s="12" t="n">
        <f aca="false">COUNTIFS(Cleaned!$D$2:$D$125,10,Cleaned!AM$2:AM$125,1)</f>
        <v>0</v>
      </c>
      <c r="C754" s="13" t="str">
        <f aca="false">IFERROR(B754/$D754,"")</f>
        <v/>
      </c>
      <c r="D754" s="12" t="n">
        <f aca="false">B754</f>
        <v>0</v>
      </c>
    </row>
    <row r="755" customFormat="false" ht="15" hidden="false" customHeight="false" outlineLevel="0" collapsed="false">
      <c r="A755" s="12" t="s">
        <v>714</v>
      </c>
      <c r="B755" s="12" t="n">
        <f aca="false">COUNTIFS(Cleaned!$D$2:$D$125,11,Cleaned!AM$2:AM$125,1)</f>
        <v>1</v>
      </c>
      <c r="C755" s="13" t="n">
        <f aca="false">IFERROR(B755/$D755,"")</f>
        <v>1</v>
      </c>
      <c r="D755" s="12" t="n">
        <f aca="false">B755</f>
        <v>1</v>
      </c>
    </row>
    <row r="756" customFormat="false" ht="15" hidden="false" customHeight="false" outlineLevel="0" collapsed="false">
      <c r="A756" s="12" t="s">
        <v>715</v>
      </c>
      <c r="B756" s="12" t="n">
        <f aca="false">COUNTIFS(Cleaned!$D$2:$D$125,12,Cleaned!AM$2:AM$125,1)</f>
        <v>2</v>
      </c>
      <c r="C756" s="13" t="n">
        <f aca="false">IFERROR(B756/$D756,"")</f>
        <v>1</v>
      </c>
      <c r="D756" s="12" t="n">
        <f aca="false">B756</f>
        <v>2</v>
      </c>
    </row>
    <row r="757" customFormat="false" ht="15" hidden="false" customHeight="false" outlineLevel="0" collapsed="false">
      <c r="A757" s="11" t="s">
        <v>716</v>
      </c>
      <c r="B757" s="11" t="n">
        <f aca="false">SUM(B745:B756)</f>
        <v>19</v>
      </c>
      <c r="C757" s="14" t="n">
        <f aca="false">IFERROR(B757/$D757,"")</f>
        <v>1</v>
      </c>
      <c r="D757" s="11" t="n">
        <f aca="false">SUM(D745:D756)</f>
        <v>19</v>
      </c>
    </row>
    <row r="760" customFormat="false" ht="15" hidden="false" customHeight="false" outlineLevel="0" collapsed="false">
      <c r="A760" s="6" t="s">
        <v>39</v>
      </c>
      <c r="B760" s="7" t="s">
        <v>761</v>
      </c>
    </row>
    <row r="761" customFormat="false" ht="15" hidden="false" customHeight="false" outlineLevel="0" collapsed="false">
      <c r="A761" s="8"/>
      <c r="B761" s="9" t="s">
        <v>250</v>
      </c>
      <c r="C761" s="8"/>
      <c r="D761" s="9" t="s">
        <v>694</v>
      </c>
    </row>
    <row r="762" customFormat="false" ht="15" hidden="false" customHeight="false" outlineLevel="0" collapsed="false">
      <c r="B762" s="10" t="s">
        <v>695</v>
      </c>
      <c r="C762" s="10" t="s">
        <v>696</v>
      </c>
    </row>
    <row r="763" customFormat="false" ht="15" hidden="false" customHeight="false" outlineLevel="0" collapsed="false">
      <c r="A763" s="11" t="s">
        <v>697</v>
      </c>
    </row>
    <row r="764" customFormat="false" ht="15" hidden="false" customHeight="false" outlineLevel="0" collapsed="false">
      <c r="A764" s="12" t="s">
        <v>698</v>
      </c>
      <c r="B764" s="12" t="n">
        <f aca="false">COUNTIFS(Cleaned!$C$2:$C$125,1,Cleaned!AN$2:AN$125,1)</f>
        <v>7</v>
      </c>
      <c r="C764" s="13" t="n">
        <f aca="false">IFERROR(B764/$D764,"")</f>
        <v>1</v>
      </c>
      <c r="D764" s="12" t="n">
        <f aca="false">B764</f>
        <v>7</v>
      </c>
    </row>
    <row r="765" customFormat="false" ht="15" hidden="false" customHeight="false" outlineLevel="0" collapsed="false">
      <c r="A765" s="12" t="s">
        <v>699</v>
      </c>
      <c r="B765" s="12" t="n">
        <f aca="false">COUNTIFS(Cleaned!$C$2:$C$125,2,Cleaned!AN$2:AN$125,1)</f>
        <v>4</v>
      </c>
      <c r="C765" s="13" t="n">
        <f aca="false">IFERROR(B765/$D765,"")</f>
        <v>1</v>
      </c>
      <c r="D765" s="12" t="n">
        <f aca="false">B765</f>
        <v>4</v>
      </c>
    </row>
    <row r="766" customFormat="false" ht="15" hidden="false" customHeight="false" outlineLevel="0" collapsed="false">
      <c r="A766" s="12" t="s">
        <v>700</v>
      </c>
      <c r="B766" s="12" t="n">
        <f aca="false">COUNTIFS(Cleaned!$C$2:$C$125,3,Cleaned!AN$2:AN$125,1)</f>
        <v>3</v>
      </c>
      <c r="C766" s="13" t="n">
        <f aca="false">IFERROR(B766/$D766,"")</f>
        <v>1</v>
      </c>
      <c r="D766" s="12" t="n">
        <f aca="false">B766</f>
        <v>3</v>
      </c>
    </row>
    <row r="767" customFormat="false" ht="15" hidden="false" customHeight="false" outlineLevel="0" collapsed="false">
      <c r="A767" s="12" t="s">
        <v>701</v>
      </c>
      <c r="B767" s="12" t="n">
        <f aca="false">COUNTIFS(Cleaned!$C$2:$C$125,4,Cleaned!AN$2:AN$125,1)</f>
        <v>3</v>
      </c>
      <c r="C767" s="13" t="n">
        <f aca="false">IFERROR(B767/$D767,"")</f>
        <v>1</v>
      </c>
      <c r="D767" s="12" t="n">
        <f aca="false">B767</f>
        <v>3</v>
      </c>
    </row>
    <row r="768" customFormat="false" ht="15" hidden="false" customHeight="false" outlineLevel="0" collapsed="false">
      <c r="A768" s="12" t="s">
        <v>702</v>
      </c>
      <c r="B768" s="12" t="n">
        <f aca="false">COUNTIFS(Cleaned!$C$2:$C$125,5,Cleaned!AN$2:AN$125,1)</f>
        <v>5</v>
      </c>
      <c r="C768" s="13" t="n">
        <f aca="false">IFERROR(B768/$D768,"")</f>
        <v>1</v>
      </c>
      <c r="D768" s="12" t="n">
        <f aca="false">B768</f>
        <v>5</v>
      </c>
    </row>
    <row r="769" customFormat="false" ht="15" hidden="false" customHeight="false" outlineLevel="0" collapsed="false">
      <c r="A769" s="11" t="s">
        <v>703</v>
      </c>
      <c r="B769" s="11" t="n">
        <f aca="false">SUM(B764:B768)</f>
        <v>22</v>
      </c>
      <c r="C769" s="14" t="n">
        <f aca="false">IFERROR(B769/$D769,"")</f>
        <v>1</v>
      </c>
      <c r="D769" s="11" t="n">
        <f aca="false">SUM(D764:D768)</f>
        <v>22</v>
      </c>
    </row>
    <row r="770" customFormat="false" ht="15" hidden="false" customHeight="false" outlineLevel="0" collapsed="false">
      <c r="A770" s="11" t="s">
        <v>3</v>
      </c>
    </row>
    <row r="771" customFormat="false" ht="15" hidden="false" customHeight="false" outlineLevel="0" collapsed="false">
      <c r="A771" s="12" t="s">
        <v>704</v>
      </c>
      <c r="B771" s="12" t="n">
        <f aca="false">COUNTIFS(Cleaned!$D$2:$D$125,1,Cleaned!AN$2:AN$125,1)</f>
        <v>4</v>
      </c>
      <c r="C771" s="13" t="n">
        <f aca="false">IFERROR(B771/$D771,"")</f>
        <v>1</v>
      </c>
      <c r="D771" s="12" t="n">
        <f aca="false">B771</f>
        <v>4</v>
      </c>
    </row>
    <row r="772" customFormat="false" ht="15" hidden="false" customHeight="false" outlineLevel="0" collapsed="false">
      <c r="A772" s="12" t="s">
        <v>705</v>
      </c>
      <c r="B772" s="12" t="n">
        <f aca="false">COUNTIFS(Cleaned!$D$2:$D$125,2,Cleaned!AN$2:AN$125,1)</f>
        <v>5</v>
      </c>
      <c r="C772" s="13" t="n">
        <f aca="false">IFERROR(B772/$D772,"")</f>
        <v>1</v>
      </c>
      <c r="D772" s="12" t="n">
        <f aca="false">B772</f>
        <v>5</v>
      </c>
    </row>
    <row r="773" customFormat="false" ht="15" hidden="false" customHeight="false" outlineLevel="0" collapsed="false">
      <c r="A773" s="12" t="s">
        <v>706</v>
      </c>
      <c r="B773" s="12" t="n">
        <f aca="false">COUNTIFS(Cleaned!$D$2:$D$125,3,Cleaned!AN$2:AN$125,1)</f>
        <v>2</v>
      </c>
      <c r="C773" s="13" t="n">
        <f aca="false">IFERROR(B773/$D773,"")</f>
        <v>1</v>
      </c>
      <c r="D773" s="12" t="n">
        <f aca="false">B773</f>
        <v>2</v>
      </c>
    </row>
    <row r="774" customFormat="false" ht="15" hidden="false" customHeight="false" outlineLevel="0" collapsed="false">
      <c r="A774" s="12" t="s">
        <v>707</v>
      </c>
      <c r="B774" s="12" t="n">
        <f aca="false">COUNTIFS(Cleaned!$D$2:$D$125,4,Cleaned!AN$2:AN$125,1)</f>
        <v>3</v>
      </c>
      <c r="C774" s="13" t="n">
        <f aca="false">IFERROR(B774/$D774,"")</f>
        <v>1</v>
      </c>
      <c r="D774" s="12" t="n">
        <f aca="false">B774</f>
        <v>3</v>
      </c>
    </row>
    <row r="775" customFormat="false" ht="15" hidden="false" customHeight="false" outlineLevel="0" collapsed="false">
      <c r="A775" s="12" t="s">
        <v>708</v>
      </c>
      <c r="B775" s="12" t="n">
        <f aca="false">COUNTIFS(Cleaned!$D$2:$D$125,5,Cleaned!AN$2:AN$125,1)</f>
        <v>0</v>
      </c>
      <c r="C775" s="13" t="str">
        <f aca="false">IFERROR(B775/$D775,"")</f>
        <v/>
      </c>
      <c r="D775" s="12" t="n">
        <f aca="false">B775</f>
        <v>0</v>
      </c>
    </row>
    <row r="776" customFormat="false" ht="15" hidden="false" customHeight="false" outlineLevel="0" collapsed="false">
      <c r="A776" s="12" t="s">
        <v>709</v>
      </c>
      <c r="B776" s="12" t="n">
        <f aca="false">COUNTIFS(Cleaned!$D$2:$D$125,6,Cleaned!AN$2:AN$125,1)</f>
        <v>1</v>
      </c>
      <c r="C776" s="13" t="n">
        <f aca="false">IFERROR(B776/$D776,"")</f>
        <v>1</v>
      </c>
      <c r="D776" s="12" t="n">
        <f aca="false">B776</f>
        <v>1</v>
      </c>
    </row>
    <row r="777" customFormat="false" ht="15" hidden="false" customHeight="false" outlineLevel="0" collapsed="false">
      <c r="A777" s="12" t="s">
        <v>710</v>
      </c>
      <c r="B777" s="12" t="n">
        <f aca="false">COUNTIFS(Cleaned!$D$2:$D$125,7,Cleaned!AN$2:AN$125,1)</f>
        <v>1</v>
      </c>
      <c r="C777" s="13" t="n">
        <f aca="false">IFERROR(B777/$D777,"")</f>
        <v>1</v>
      </c>
      <c r="D777" s="12" t="n">
        <f aca="false">B777</f>
        <v>1</v>
      </c>
    </row>
    <row r="778" customFormat="false" ht="15" hidden="false" customHeight="false" outlineLevel="0" collapsed="false">
      <c r="A778" s="12" t="s">
        <v>711</v>
      </c>
      <c r="B778" s="12" t="n">
        <f aca="false">COUNTIFS(Cleaned!$D$2:$D$125,8,Cleaned!AN$2:AN$125,1)</f>
        <v>1</v>
      </c>
      <c r="C778" s="13" t="n">
        <f aca="false">IFERROR(B778/$D778,"")</f>
        <v>1</v>
      </c>
      <c r="D778" s="12" t="n">
        <f aca="false">B778</f>
        <v>1</v>
      </c>
    </row>
    <row r="779" customFormat="false" ht="15" hidden="false" customHeight="false" outlineLevel="0" collapsed="false">
      <c r="A779" s="12" t="s">
        <v>712</v>
      </c>
      <c r="B779" s="12" t="n">
        <f aca="false">COUNTIFS(Cleaned!$D$2:$D$125,9,Cleaned!AN$2:AN$125,1)</f>
        <v>1</v>
      </c>
      <c r="C779" s="13" t="n">
        <f aca="false">IFERROR(B779/$D779,"")</f>
        <v>1</v>
      </c>
      <c r="D779" s="12" t="n">
        <f aca="false">B779</f>
        <v>1</v>
      </c>
    </row>
    <row r="780" customFormat="false" ht="15" hidden="false" customHeight="false" outlineLevel="0" collapsed="false">
      <c r="A780" s="12" t="s">
        <v>713</v>
      </c>
      <c r="B780" s="12" t="n">
        <f aca="false">COUNTIFS(Cleaned!$D$2:$D$125,10,Cleaned!AN$2:AN$125,1)</f>
        <v>0</v>
      </c>
      <c r="C780" s="13" t="str">
        <f aca="false">IFERROR(B780/$D780,"")</f>
        <v/>
      </c>
      <c r="D780" s="12" t="n">
        <f aca="false">B780</f>
        <v>0</v>
      </c>
    </row>
    <row r="781" customFormat="false" ht="15" hidden="false" customHeight="false" outlineLevel="0" collapsed="false">
      <c r="A781" s="12" t="s">
        <v>714</v>
      </c>
      <c r="B781" s="12" t="n">
        <f aca="false">COUNTIFS(Cleaned!$D$2:$D$125,11,Cleaned!AN$2:AN$125,1)</f>
        <v>2</v>
      </c>
      <c r="C781" s="13" t="n">
        <f aca="false">IFERROR(B781/$D781,"")</f>
        <v>1</v>
      </c>
      <c r="D781" s="12" t="n">
        <f aca="false">B781</f>
        <v>2</v>
      </c>
    </row>
    <row r="782" customFormat="false" ht="15" hidden="false" customHeight="false" outlineLevel="0" collapsed="false">
      <c r="A782" s="12" t="s">
        <v>715</v>
      </c>
      <c r="B782" s="12" t="n">
        <f aca="false">COUNTIFS(Cleaned!$D$2:$D$125,12,Cleaned!AN$2:AN$125,1)</f>
        <v>2</v>
      </c>
      <c r="C782" s="13" t="n">
        <f aca="false">IFERROR(B782/$D782,"")</f>
        <v>1</v>
      </c>
      <c r="D782" s="12" t="n">
        <f aca="false">B782</f>
        <v>2</v>
      </c>
    </row>
    <row r="783" customFormat="false" ht="15" hidden="false" customHeight="false" outlineLevel="0" collapsed="false">
      <c r="A783" s="11" t="s">
        <v>716</v>
      </c>
      <c r="B783" s="11" t="n">
        <f aca="false">SUM(B771:B782)</f>
        <v>22</v>
      </c>
      <c r="C783" s="14" t="n">
        <f aca="false">IFERROR(B783/$D783,"")</f>
        <v>1</v>
      </c>
      <c r="D783" s="11" t="n">
        <f aca="false">SUM(D771:D782)</f>
        <v>22</v>
      </c>
    </row>
    <row r="786" customFormat="false" ht="15" hidden="false" customHeight="false" outlineLevel="0" collapsed="false">
      <c r="A786" s="6" t="s">
        <v>40</v>
      </c>
      <c r="B786" s="7" t="s">
        <v>762</v>
      </c>
    </row>
    <row r="787" customFormat="false" ht="15" hidden="false" customHeight="false" outlineLevel="0" collapsed="false">
      <c r="A787" s="8"/>
      <c r="B787" s="9" t="s">
        <v>250</v>
      </c>
      <c r="C787" s="8"/>
      <c r="D787" s="9" t="s">
        <v>694</v>
      </c>
    </row>
    <row r="788" customFormat="false" ht="15" hidden="false" customHeight="false" outlineLevel="0" collapsed="false">
      <c r="B788" s="10" t="s">
        <v>695</v>
      </c>
      <c r="C788" s="10" t="s">
        <v>696</v>
      </c>
    </row>
    <row r="789" customFormat="false" ht="15" hidden="false" customHeight="false" outlineLevel="0" collapsed="false">
      <c r="A789" s="11" t="s">
        <v>697</v>
      </c>
    </row>
    <row r="790" customFormat="false" ht="15" hidden="false" customHeight="false" outlineLevel="0" collapsed="false">
      <c r="A790" s="12" t="s">
        <v>698</v>
      </c>
      <c r="B790" s="12" t="n">
        <f aca="false">COUNTIFS(Cleaned!$C$2:$C$125,1,Cleaned!AO$2:AO$125,1)</f>
        <v>8</v>
      </c>
      <c r="C790" s="13" t="n">
        <f aca="false">IFERROR(B790/$D790,"")</f>
        <v>1</v>
      </c>
      <c r="D790" s="12" t="n">
        <f aca="false">B790</f>
        <v>8</v>
      </c>
    </row>
    <row r="791" customFormat="false" ht="15" hidden="false" customHeight="false" outlineLevel="0" collapsed="false">
      <c r="A791" s="12" t="s">
        <v>699</v>
      </c>
      <c r="B791" s="12" t="n">
        <f aca="false">COUNTIFS(Cleaned!$C$2:$C$125,2,Cleaned!AO$2:AO$125,1)</f>
        <v>5</v>
      </c>
      <c r="C791" s="13" t="n">
        <f aca="false">IFERROR(B791/$D791,"")</f>
        <v>1</v>
      </c>
      <c r="D791" s="12" t="n">
        <f aca="false">B791</f>
        <v>5</v>
      </c>
    </row>
    <row r="792" customFormat="false" ht="15" hidden="false" customHeight="false" outlineLevel="0" collapsed="false">
      <c r="A792" s="12" t="s">
        <v>700</v>
      </c>
      <c r="B792" s="12" t="n">
        <f aca="false">COUNTIFS(Cleaned!$C$2:$C$125,3,Cleaned!AO$2:AO$125,1)</f>
        <v>9</v>
      </c>
      <c r="C792" s="13" t="n">
        <f aca="false">IFERROR(B792/$D792,"")</f>
        <v>1</v>
      </c>
      <c r="D792" s="12" t="n">
        <f aca="false">B792</f>
        <v>9</v>
      </c>
    </row>
    <row r="793" customFormat="false" ht="15" hidden="false" customHeight="false" outlineLevel="0" collapsed="false">
      <c r="A793" s="12" t="s">
        <v>701</v>
      </c>
      <c r="B793" s="12" t="n">
        <f aca="false">COUNTIFS(Cleaned!$C$2:$C$125,4,Cleaned!AO$2:AO$125,1)</f>
        <v>6</v>
      </c>
      <c r="C793" s="13" t="n">
        <f aca="false">IFERROR(B793/$D793,"")</f>
        <v>1</v>
      </c>
      <c r="D793" s="12" t="n">
        <f aca="false">B793</f>
        <v>6</v>
      </c>
    </row>
    <row r="794" customFormat="false" ht="15" hidden="false" customHeight="false" outlineLevel="0" collapsed="false">
      <c r="A794" s="12" t="s">
        <v>702</v>
      </c>
      <c r="B794" s="12" t="n">
        <f aca="false">COUNTIFS(Cleaned!$C$2:$C$125,5,Cleaned!AO$2:AO$125,1)</f>
        <v>8</v>
      </c>
      <c r="C794" s="13" t="n">
        <f aca="false">IFERROR(B794/$D794,"")</f>
        <v>1</v>
      </c>
      <c r="D794" s="12" t="n">
        <f aca="false">B794</f>
        <v>8</v>
      </c>
    </row>
    <row r="795" customFormat="false" ht="15" hidden="false" customHeight="false" outlineLevel="0" collapsed="false">
      <c r="A795" s="11" t="s">
        <v>703</v>
      </c>
      <c r="B795" s="11" t="n">
        <f aca="false">SUM(B790:B794)</f>
        <v>36</v>
      </c>
      <c r="C795" s="14" t="n">
        <f aca="false">IFERROR(B795/$D795,"")</f>
        <v>1</v>
      </c>
      <c r="D795" s="11" t="n">
        <f aca="false">SUM(D790:D794)</f>
        <v>36</v>
      </c>
    </row>
    <row r="796" customFormat="false" ht="15" hidden="false" customHeight="false" outlineLevel="0" collapsed="false">
      <c r="A796" s="11" t="s">
        <v>3</v>
      </c>
    </row>
    <row r="797" customFormat="false" ht="15" hidden="false" customHeight="false" outlineLevel="0" collapsed="false">
      <c r="A797" s="12" t="s">
        <v>704</v>
      </c>
      <c r="B797" s="12" t="n">
        <f aca="false">COUNTIFS(Cleaned!$D$2:$D$125,1,Cleaned!AO$2:AO$125,1)</f>
        <v>8</v>
      </c>
      <c r="C797" s="13" t="n">
        <f aca="false">IFERROR(B797/$D797,"")</f>
        <v>1</v>
      </c>
      <c r="D797" s="12" t="n">
        <f aca="false">B797</f>
        <v>8</v>
      </c>
    </row>
    <row r="798" customFormat="false" ht="15" hidden="false" customHeight="false" outlineLevel="0" collapsed="false">
      <c r="A798" s="12" t="s">
        <v>705</v>
      </c>
      <c r="B798" s="12" t="n">
        <f aca="false">COUNTIFS(Cleaned!$D$2:$D$125,2,Cleaned!AO$2:AO$125,1)</f>
        <v>6</v>
      </c>
      <c r="C798" s="13" t="n">
        <f aca="false">IFERROR(B798/$D798,"")</f>
        <v>1</v>
      </c>
      <c r="D798" s="12" t="n">
        <f aca="false">B798</f>
        <v>6</v>
      </c>
    </row>
    <row r="799" customFormat="false" ht="15" hidden="false" customHeight="false" outlineLevel="0" collapsed="false">
      <c r="A799" s="12" t="s">
        <v>706</v>
      </c>
      <c r="B799" s="12" t="n">
        <f aca="false">COUNTIFS(Cleaned!$D$2:$D$125,3,Cleaned!AO$2:AO$125,1)</f>
        <v>4</v>
      </c>
      <c r="C799" s="13" t="n">
        <f aca="false">IFERROR(B799/$D799,"")</f>
        <v>1</v>
      </c>
      <c r="D799" s="12" t="n">
        <f aca="false">B799</f>
        <v>4</v>
      </c>
    </row>
    <row r="800" customFormat="false" ht="15" hidden="false" customHeight="false" outlineLevel="0" collapsed="false">
      <c r="A800" s="12" t="s">
        <v>707</v>
      </c>
      <c r="B800" s="12" t="n">
        <f aca="false">COUNTIFS(Cleaned!$D$2:$D$125,4,Cleaned!AO$2:AO$125,1)</f>
        <v>5</v>
      </c>
      <c r="C800" s="13" t="n">
        <f aca="false">IFERROR(B800/$D800,"")</f>
        <v>1</v>
      </c>
      <c r="D800" s="12" t="n">
        <f aca="false">B800</f>
        <v>5</v>
      </c>
    </row>
    <row r="801" customFormat="false" ht="15" hidden="false" customHeight="false" outlineLevel="0" collapsed="false">
      <c r="A801" s="12" t="s">
        <v>708</v>
      </c>
      <c r="B801" s="12" t="n">
        <f aca="false">COUNTIFS(Cleaned!$D$2:$D$125,5,Cleaned!AO$2:AO$125,1)</f>
        <v>0</v>
      </c>
      <c r="C801" s="13" t="str">
        <f aca="false">IFERROR(B801/$D801,"")</f>
        <v/>
      </c>
      <c r="D801" s="12" t="n">
        <f aca="false">B801</f>
        <v>0</v>
      </c>
    </row>
    <row r="802" customFormat="false" ht="15" hidden="false" customHeight="false" outlineLevel="0" collapsed="false">
      <c r="A802" s="12" t="s">
        <v>709</v>
      </c>
      <c r="B802" s="12" t="n">
        <f aca="false">COUNTIFS(Cleaned!$D$2:$D$125,6,Cleaned!AO$2:AO$125,1)</f>
        <v>2</v>
      </c>
      <c r="C802" s="13" t="n">
        <f aca="false">IFERROR(B802/$D802,"")</f>
        <v>1</v>
      </c>
      <c r="D802" s="12" t="n">
        <f aca="false">B802</f>
        <v>2</v>
      </c>
    </row>
    <row r="803" customFormat="false" ht="15" hidden="false" customHeight="false" outlineLevel="0" collapsed="false">
      <c r="A803" s="12" t="s">
        <v>710</v>
      </c>
      <c r="B803" s="12" t="n">
        <f aca="false">COUNTIFS(Cleaned!$D$2:$D$125,7,Cleaned!AO$2:AO$125,1)</f>
        <v>3</v>
      </c>
      <c r="C803" s="13" t="n">
        <f aca="false">IFERROR(B803/$D803,"")</f>
        <v>1</v>
      </c>
      <c r="D803" s="12" t="n">
        <f aca="false">B803</f>
        <v>3</v>
      </c>
    </row>
    <row r="804" customFormat="false" ht="15" hidden="false" customHeight="false" outlineLevel="0" collapsed="false">
      <c r="A804" s="12" t="s">
        <v>711</v>
      </c>
      <c r="B804" s="12" t="n">
        <f aca="false">COUNTIFS(Cleaned!$D$2:$D$125,8,Cleaned!AO$2:AO$125,1)</f>
        <v>1</v>
      </c>
      <c r="C804" s="13" t="n">
        <f aca="false">IFERROR(B804/$D804,"")</f>
        <v>1</v>
      </c>
      <c r="D804" s="12" t="n">
        <f aca="false">B804</f>
        <v>1</v>
      </c>
    </row>
    <row r="805" customFormat="false" ht="15" hidden="false" customHeight="false" outlineLevel="0" collapsed="false">
      <c r="A805" s="12" t="s">
        <v>712</v>
      </c>
      <c r="B805" s="12" t="n">
        <f aca="false">COUNTIFS(Cleaned!$D$2:$D$125,9,Cleaned!AO$2:AO$125,1)</f>
        <v>1</v>
      </c>
      <c r="C805" s="13" t="n">
        <f aca="false">IFERROR(B805/$D805,"")</f>
        <v>1</v>
      </c>
      <c r="D805" s="12" t="n">
        <f aca="false">B805</f>
        <v>1</v>
      </c>
    </row>
    <row r="806" customFormat="false" ht="15" hidden="false" customHeight="false" outlineLevel="0" collapsed="false">
      <c r="A806" s="12" t="s">
        <v>713</v>
      </c>
      <c r="B806" s="12" t="n">
        <f aca="false">COUNTIFS(Cleaned!$D$2:$D$125,10,Cleaned!AO$2:AO$125,1)</f>
        <v>0</v>
      </c>
      <c r="C806" s="13" t="str">
        <f aca="false">IFERROR(B806/$D806,"")</f>
        <v/>
      </c>
      <c r="D806" s="12" t="n">
        <f aca="false">B806</f>
        <v>0</v>
      </c>
    </row>
    <row r="807" customFormat="false" ht="15" hidden="false" customHeight="false" outlineLevel="0" collapsed="false">
      <c r="A807" s="12" t="s">
        <v>714</v>
      </c>
      <c r="B807" s="12" t="n">
        <f aca="false">COUNTIFS(Cleaned!$D$2:$D$125,11,Cleaned!AO$2:AO$125,1)</f>
        <v>3</v>
      </c>
      <c r="C807" s="13" t="n">
        <f aca="false">IFERROR(B807/$D807,"")</f>
        <v>1</v>
      </c>
      <c r="D807" s="12" t="n">
        <f aca="false">B807</f>
        <v>3</v>
      </c>
    </row>
    <row r="808" customFormat="false" ht="15" hidden="false" customHeight="false" outlineLevel="0" collapsed="false">
      <c r="A808" s="12" t="s">
        <v>715</v>
      </c>
      <c r="B808" s="12" t="n">
        <f aca="false">COUNTIFS(Cleaned!$D$2:$D$125,12,Cleaned!AO$2:AO$125,1)</f>
        <v>3</v>
      </c>
      <c r="C808" s="13" t="n">
        <f aca="false">IFERROR(B808/$D808,"")</f>
        <v>1</v>
      </c>
      <c r="D808" s="12" t="n">
        <f aca="false">B808</f>
        <v>3</v>
      </c>
    </row>
    <row r="809" customFormat="false" ht="15" hidden="false" customHeight="false" outlineLevel="0" collapsed="false">
      <c r="A809" s="11" t="s">
        <v>716</v>
      </c>
      <c r="B809" s="11" t="n">
        <f aca="false">SUM(B797:B808)</f>
        <v>36</v>
      </c>
      <c r="C809" s="14" t="n">
        <f aca="false">IFERROR(B809/$D809,"")</f>
        <v>1</v>
      </c>
      <c r="D809" s="11" t="n">
        <f aca="false">SUM(D797:D808)</f>
        <v>36</v>
      </c>
    </row>
    <row r="812" customFormat="false" ht="15" hidden="false" customHeight="false" outlineLevel="0" collapsed="false">
      <c r="A812" s="6" t="s">
        <v>41</v>
      </c>
      <c r="B812" s="7" t="s">
        <v>763</v>
      </c>
    </row>
    <row r="813" customFormat="false" ht="15" hidden="false" customHeight="false" outlineLevel="0" collapsed="false">
      <c r="A813" s="8"/>
      <c r="B813" s="9" t="s">
        <v>726</v>
      </c>
      <c r="C813" s="8"/>
      <c r="D813" s="9" t="s">
        <v>362</v>
      </c>
      <c r="E813" s="8"/>
      <c r="F813" s="9" t="s">
        <v>694</v>
      </c>
    </row>
    <row r="814" customFormat="false" ht="15" hidden="false" customHeight="false" outlineLevel="0" collapsed="false">
      <c r="B814" s="10" t="s">
        <v>695</v>
      </c>
      <c r="C814" s="10" t="s">
        <v>696</v>
      </c>
      <c r="D814" s="10" t="s">
        <v>695</v>
      </c>
      <c r="E814" s="10" t="s">
        <v>696</v>
      </c>
    </row>
    <row r="815" customFormat="false" ht="15" hidden="false" customHeight="false" outlineLevel="0" collapsed="false">
      <c r="A815" s="11" t="s">
        <v>697</v>
      </c>
    </row>
    <row r="816" customFormat="false" ht="15" hidden="false" customHeight="false" outlineLevel="0" collapsed="false">
      <c r="A816" s="12" t="s">
        <v>698</v>
      </c>
      <c r="B816" s="12" t="n">
        <f aca="false">COUNTIFS(Cleaned!$C$2:$C$125,1,Cleaned!AP$2:AP$125,1)</f>
        <v>7</v>
      </c>
      <c r="C816" s="13" t="n">
        <f aca="false">IFERROR(B816/$F816,"")</f>
        <v>0.777777777777778</v>
      </c>
      <c r="D816" s="12" t="n">
        <f aca="false">COUNTIFS(Cleaned!$C$2:$C$125,1,Cleaned!AP$2:AP$125,2)</f>
        <v>2</v>
      </c>
      <c r="E816" s="13" t="n">
        <f aca="false">IFERROR(D816/$F816,"")</f>
        <v>0.222222222222222</v>
      </c>
      <c r="F816" s="12" t="n">
        <f aca="false">B816+D816</f>
        <v>9</v>
      </c>
    </row>
    <row r="817" customFormat="false" ht="15" hidden="false" customHeight="false" outlineLevel="0" collapsed="false">
      <c r="A817" s="12" t="s">
        <v>699</v>
      </c>
      <c r="B817" s="12" t="n">
        <f aca="false">COUNTIFS(Cleaned!$C$2:$C$125,2,Cleaned!AP$2:AP$125,1)</f>
        <v>5</v>
      </c>
      <c r="C817" s="13" t="n">
        <f aca="false">IFERROR(B817/$F817,"")</f>
        <v>0.625</v>
      </c>
      <c r="D817" s="12" t="n">
        <f aca="false">COUNTIFS(Cleaned!$C$2:$C$125,2,Cleaned!AP$2:AP$125,2)</f>
        <v>3</v>
      </c>
      <c r="E817" s="13" t="n">
        <f aca="false">IFERROR(D817/$F817,"")</f>
        <v>0.375</v>
      </c>
      <c r="F817" s="12" t="n">
        <f aca="false">B817+D817</f>
        <v>8</v>
      </c>
    </row>
    <row r="818" customFormat="false" ht="15" hidden="false" customHeight="false" outlineLevel="0" collapsed="false">
      <c r="A818" s="12" t="s">
        <v>700</v>
      </c>
      <c r="B818" s="12" t="n">
        <f aca="false">COUNTIFS(Cleaned!$C$2:$C$125,3,Cleaned!AP$2:AP$125,1)</f>
        <v>5</v>
      </c>
      <c r="C818" s="13" t="n">
        <f aca="false">IFERROR(B818/$F818,"")</f>
        <v>0.416666666666667</v>
      </c>
      <c r="D818" s="12" t="n">
        <f aca="false">COUNTIFS(Cleaned!$C$2:$C$125,3,Cleaned!AP$2:AP$125,2)</f>
        <v>7</v>
      </c>
      <c r="E818" s="13" t="n">
        <f aca="false">IFERROR(D818/$F818,"")</f>
        <v>0.583333333333333</v>
      </c>
      <c r="F818" s="12" t="n">
        <f aca="false">B818+D818</f>
        <v>12</v>
      </c>
    </row>
    <row r="819" customFormat="false" ht="15" hidden="false" customHeight="false" outlineLevel="0" collapsed="false">
      <c r="A819" s="12" t="s">
        <v>701</v>
      </c>
      <c r="B819" s="12" t="n">
        <f aca="false">COUNTIFS(Cleaned!$C$2:$C$125,4,Cleaned!AP$2:AP$125,1)</f>
        <v>7</v>
      </c>
      <c r="C819" s="13" t="n">
        <f aca="false">IFERROR(B819/$F819,"")</f>
        <v>0.777777777777778</v>
      </c>
      <c r="D819" s="12" t="n">
        <f aca="false">COUNTIFS(Cleaned!$C$2:$C$125,4,Cleaned!AP$2:AP$125,2)</f>
        <v>2</v>
      </c>
      <c r="E819" s="13" t="n">
        <f aca="false">IFERROR(D819/$F819,"")</f>
        <v>0.222222222222222</v>
      </c>
      <c r="F819" s="12" t="n">
        <f aca="false">B819+D819</f>
        <v>9</v>
      </c>
    </row>
    <row r="820" customFormat="false" ht="15" hidden="false" customHeight="false" outlineLevel="0" collapsed="false">
      <c r="A820" s="12" t="s">
        <v>702</v>
      </c>
      <c r="B820" s="12" t="n">
        <f aca="false">COUNTIFS(Cleaned!$C$2:$C$125,5,Cleaned!AP$2:AP$125,1)</f>
        <v>16</v>
      </c>
      <c r="C820" s="13" t="n">
        <f aca="false">IFERROR(B820/$F820,"")</f>
        <v>0.888888888888889</v>
      </c>
      <c r="D820" s="12" t="n">
        <f aca="false">COUNTIFS(Cleaned!$C$2:$C$125,5,Cleaned!AP$2:AP$125,2)</f>
        <v>2</v>
      </c>
      <c r="E820" s="13" t="n">
        <f aca="false">IFERROR(D820/$F820,"")</f>
        <v>0.111111111111111</v>
      </c>
      <c r="F820" s="12" t="n">
        <f aca="false">B820+D820</f>
        <v>18</v>
      </c>
    </row>
    <row r="821" customFormat="false" ht="15" hidden="false" customHeight="false" outlineLevel="0" collapsed="false">
      <c r="A821" s="11" t="s">
        <v>703</v>
      </c>
      <c r="B821" s="11" t="n">
        <f aca="false">SUM(B816:B820)</f>
        <v>40</v>
      </c>
      <c r="C821" s="14" t="n">
        <f aca="false">IFERROR(B821/$F821,"")</f>
        <v>0.714285714285714</v>
      </c>
      <c r="D821" s="11" t="n">
        <f aca="false">SUM(D816:D820)</f>
        <v>16</v>
      </c>
      <c r="E821" s="14" t="n">
        <f aca="false">IFERROR(D821/$F821,"")</f>
        <v>0.285714285714286</v>
      </c>
      <c r="F821" s="11" t="n">
        <f aca="false">SUM(F816:F820)</f>
        <v>56</v>
      </c>
    </row>
    <row r="822" customFormat="false" ht="15" hidden="false" customHeight="false" outlineLevel="0" collapsed="false">
      <c r="A822" s="11" t="s">
        <v>3</v>
      </c>
    </row>
    <row r="823" customFormat="false" ht="15" hidden="false" customHeight="false" outlineLevel="0" collapsed="false">
      <c r="A823" s="12" t="s">
        <v>704</v>
      </c>
      <c r="B823" s="12" t="n">
        <f aca="false">COUNTIFS(Cleaned!$D$2:$D$125,1,Cleaned!AP$2:AP$125,1)</f>
        <v>5</v>
      </c>
      <c r="C823" s="13" t="n">
        <f aca="false">IFERROR(B823/$F823,"")</f>
        <v>0.714285714285714</v>
      </c>
      <c r="D823" s="12" t="n">
        <f aca="false">COUNTIFS(Cleaned!$D$2:$D$125,1,Cleaned!AP$2:AP$125,2)</f>
        <v>2</v>
      </c>
      <c r="E823" s="13" t="n">
        <f aca="false">IFERROR(D823/$F823,"")</f>
        <v>0.285714285714286</v>
      </c>
      <c r="F823" s="12" t="n">
        <f aca="false">B823+D823</f>
        <v>7</v>
      </c>
    </row>
    <row r="824" customFormat="false" ht="15" hidden="false" customHeight="false" outlineLevel="0" collapsed="false">
      <c r="A824" s="12" t="s">
        <v>705</v>
      </c>
      <c r="B824" s="12" t="n">
        <f aca="false">COUNTIFS(Cleaned!$D$2:$D$125,2,Cleaned!AP$2:AP$125,1)</f>
        <v>9</v>
      </c>
      <c r="C824" s="13" t="n">
        <f aca="false">IFERROR(B824/$F824,"")</f>
        <v>0.75</v>
      </c>
      <c r="D824" s="12" t="n">
        <f aca="false">COUNTIFS(Cleaned!$D$2:$D$125,2,Cleaned!AP$2:AP$125,2)</f>
        <v>3</v>
      </c>
      <c r="E824" s="13" t="n">
        <f aca="false">IFERROR(D824/$F824,"")</f>
        <v>0.25</v>
      </c>
      <c r="F824" s="12" t="n">
        <f aca="false">B824+D824</f>
        <v>12</v>
      </c>
    </row>
    <row r="825" customFormat="false" ht="15" hidden="false" customHeight="false" outlineLevel="0" collapsed="false">
      <c r="A825" s="12" t="s">
        <v>706</v>
      </c>
      <c r="B825" s="12" t="n">
        <f aca="false">COUNTIFS(Cleaned!$D$2:$D$125,3,Cleaned!AP$2:AP$125,1)</f>
        <v>5</v>
      </c>
      <c r="C825" s="13" t="n">
        <f aca="false">IFERROR(B825/$F825,"")</f>
        <v>0.555555555555556</v>
      </c>
      <c r="D825" s="12" t="n">
        <f aca="false">COUNTIFS(Cleaned!$D$2:$D$125,3,Cleaned!AP$2:AP$125,2)</f>
        <v>4</v>
      </c>
      <c r="E825" s="13" t="n">
        <f aca="false">IFERROR(D825/$F825,"")</f>
        <v>0.444444444444444</v>
      </c>
      <c r="F825" s="12" t="n">
        <f aca="false">B825+D825</f>
        <v>9</v>
      </c>
    </row>
    <row r="826" customFormat="false" ht="15" hidden="false" customHeight="false" outlineLevel="0" collapsed="false">
      <c r="A826" s="12" t="s">
        <v>707</v>
      </c>
      <c r="B826" s="12" t="n">
        <f aca="false">COUNTIFS(Cleaned!$D$2:$D$125,4,Cleaned!AP$2:AP$125,1)</f>
        <v>5</v>
      </c>
      <c r="C826" s="13" t="n">
        <f aca="false">IFERROR(B826/$F826,"")</f>
        <v>0.833333333333333</v>
      </c>
      <c r="D826" s="12" t="n">
        <f aca="false">COUNTIFS(Cleaned!$D$2:$D$125,4,Cleaned!AP$2:AP$125,2)</f>
        <v>1</v>
      </c>
      <c r="E826" s="13" t="n">
        <f aca="false">IFERROR(D826/$F826,"")</f>
        <v>0.166666666666667</v>
      </c>
      <c r="F826" s="12" t="n">
        <f aca="false">B826+D826</f>
        <v>6</v>
      </c>
    </row>
    <row r="827" customFormat="false" ht="15" hidden="false" customHeight="false" outlineLevel="0" collapsed="false">
      <c r="A827" s="12" t="s">
        <v>708</v>
      </c>
      <c r="B827" s="12" t="n">
        <f aca="false">COUNTIFS(Cleaned!$D$2:$D$125,5,Cleaned!AP$2:AP$125,1)</f>
        <v>1</v>
      </c>
      <c r="C827" s="13" t="n">
        <f aca="false">IFERROR(B827/$F827,"")</f>
        <v>1</v>
      </c>
      <c r="D827" s="12" t="n">
        <f aca="false">COUNTIFS(Cleaned!$D$2:$D$125,5,Cleaned!AP$2:AP$125,2)</f>
        <v>0</v>
      </c>
      <c r="E827" s="13" t="n">
        <f aca="false">IFERROR(D827/$F827,"")</f>
        <v>0</v>
      </c>
      <c r="F827" s="12" t="n">
        <f aca="false">B827+D827</f>
        <v>1</v>
      </c>
    </row>
    <row r="828" customFormat="false" ht="15" hidden="false" customHeight="false" outlineLevel="0" collapsed="false">
      <c r="A828" s="12" t="s">
        <v>709</v>
      </c>
      <c r="B828" s="12" t="n">
        <f aca="false">COUNTIFS(Cleaned!$D$2:$D$125,6,Cleaned!AP$2:AP$125,1)</f>
        <v>1</v>
      </c>
      <c r="C828" s="13" t="n">
        <f aca="false">IFERROR(B828/$F828,"")</f>
        <v>1</v>
      </c>
      <c r="D828" s="12" t="n">
        <f aca="false">COUNTIFS(Cleaned!$D$2:$D$125,6,Cleaned!AP$2:AP$125,2)</f>
        <v>0</v>
      </c>
      <c r="E828" s="13" t="n">
        <f aca="false">IFERROR(D828/$F828,"")</f>
        <v>0</v>
      </c>
      <c r="F828" s="12" t="n">
        <f aca="false">B828+D828</f>
        <v>1</v>
      </c>
    </row>
    <row r="829" customFormat="false" ht="15" hidden="false" customHeight="false" outlineLevel="0" collapsed="false">
      <c r="A829" s="12" t="s">
        <v>710</v>
      </c>
      <c r="B829" s="12" t="n">
        <f aca="false">COUNTIFS(Cleaned!$D$2:$D$125,7,Cleaned!AP$2:AP$125,1)</f>
        <v>5</v>
      </c>
      <c r="C829" s="13" t="n">
        <f aca="false">IFERROR(B829/$F829,"")</f>
        <v>0.625</v>
      </c>
      <c r="D829" s="12" t="n">
        <f aca="false">COUNTIFS(Cleaned!$D$2:$D$125,7,Cleaned!AP$2:AP$125,2)</f>
        <v>3</v>
      </c>
      <c r="E829" s="13" t="n">
        <f aca="false">IFERROR(D829/$F829,"")</f>
        <v>0.375</v>
      </c>
      <c r="F829" s="12" t="n">
        <f aca="false">B829+D829</f>
        <v>8</v>
      </c>
    </row>
    <row r="830" customFormat="false" ht="15" hidden="false" customHeight="false" outlineLevel="0" collapsed="false">
      <c r="A830" s="12" t="s">
        <v>711</v>
      </c>
      <c r="B830" s="12" t="n">
        <f aca="false">COUNTIFS(Cleaned!$D$2:$D$125,8,Cleaned!AP$2:AP$125,1)</f>
        <v>2</v>
      </c>
      <c r="C830" s="13" t="n">
        <f aca="false">IFERROR(B830/$F830,"")</f>
        <v>0.666666666666667</v>
      </c>
      <c r="D830" s="12" t="n">
        <f aca="false">COUNTIFS(Cleaned!$D$2:$D$125,8,Cleaned!AP$2:AP$125,2)</f>
        <v>1</v>
      </c>
      <c r="E830" s="13" t="n">
        <f aca="false">IFERROR(D830/$F830,"")</f>
        <v>0.333333333333333</v>
      </c>
      <c r="F830" s="12" t="n">
        <f aca="false">B830+D830</f>
        <v>3</v>
      </c>
    </row>
    <row r="831" customFormat="false" ht="15" hidden="false" customHeight="false" outlineLevel="0" collapsed="false">
      <c r="A831" s="12" t="s">
        <v>712</v>
      </c>
      <c r="B831" s="12" t="n">
        <f aca="false">COUNTIFS(Cleaned!$D$2:$D$125,9,Cleaned!AP$2:AP$125,1)</f>
        <v>1</v>
      </c>
      <c r="C831" s="13" t="n">
        <f aca="false">IFERROR(B831/$F831,"")</f>
        <v>1</v>
      </c>
      <c r="D831" s="12" t="n">
        <f aca="false">COUNTIFS(Cleaned!$D$2:$D$125,9,Cleaned!AP$2:AP$125,2)</f>
        <v>0</v>
      </c>
      <c r="E831" s="13" t="n">
        <f aca="false">IFERROR(D831/$F831,"")</f>
        <v>0</v>
      </c>
      <c r="F831" s="12" t="n">
        <f aca="false">B831+D831</f>
        <v>1</v>
      </c>
    </row>
    <row r="832" customFormat="false" ht="15" hidden="false" customHeight="false" outlineLevel="0" collapsed="false">
      <c r="A832" s="12" t="s">
        <v>713</v>
      </c>
      <c r="B832" s="12" t="n">
        <f aca="false">COUNTIFS(Cleaned!$D$2:$D$125,10,Cleaned!AP$2:AP$125,1)</f>
        <v>0</v>
      </c>
      <c r="C832" s="13" t="str">
        <f aca="false">IFERROR(B832/$F832,"")</f>
        <v/>
      </c>
      <c r="D832" s="12" t="n">
        <f aca="false">COUNTIFS(Cleaned!$D$2:$D$125,10,Cleaned!AP$2:AP$125,2)</f>
        <v>0</v>
      </c>
      <c r="E832" s="13" t="str">
        <f aca="false">IFERROR(D832/$F832,"")</f>
        <v/>
      </c>
      <c r="F832" s="12" t="n">
        <f aca="false">B832+D832</f>
        <v>0</v>
      </c>
    </row>
    <row r="833" customFormat="false" ht="15" hidden="false" customHeight="false" outlineLevel="0" collapsed="false">
      <c r="A833" s="12" t="s">
        <v>714</v>
      </c>
      <c r="B833" s="12" t="n">
        <f aca="false">COUNTIFS(Cleaned!$D$2:$D$125,11,Cleaned!AP$2:AP$125,1)</f>
        <v>5</v>
      </c>
      <c r="C833" s="13" t="n">
        <f aca="false">IFERROR(B833/$F833,"")</f>
        <v>0.833333333333333</v>
      </c>
      <c r="D833" s="12" t="n">
        <f aca="false">COUNTIFS(Cleaned!$D$2:$D$125,11,Cleaned!AP$2:AP$125,2)</f>
        <v>1</v>
      </c>
      <c r="E833" s="13" t="n">
        <f aca="false">IFERROR(D833/$F833,"")</f>
        <v>0.166666666666667</v>
      </c>
      <c r="F833" s="12" t="n">
        <f aca="false">B833+D833</f>
        <v>6</v>
      </c>
    </row>
    <row r="834" customFormat="false" ht="15" hidden="false" customHeight="false" outlineLevel="0" collapsed="false">
      <c r="A834" s="12" t="s">
        <v>715</v>
      </c>
      <c r="B834" s="12" t="n">
        <f aca="false">COUNTIFS(Cleaned!$D$2:$D$125,12,Cleaned!AP$2:AP$125,1)</f>
        <v>1</v>
      </c>
      <c r="C834" s="13" t="n">
        <f aca="false">IFERROR(B834/$F834,"")</f>
        <v>0.5</v>
      </c>
      <c r="D834" s="12" t="n">
        <f aca="false">COUNTIFS(Cleaned!$D$2:$D$125,12,Cleaned!AP$2:AP$125,2)</f>
        <v>1</v>
      </c>
      <c r="E834" s="13" t="n">
        <f aca="false">IFERROR(D834/$F834,"")</f>
        <v>0.5</v>
      </c>
      <c r="F834" s="12" t="n">
        <f aca="false">B834+D834</f>
        <v>2</v>
      </c>
    </row>
    <row r="835" customFormat="false" ht="15" hidden="false" customHeight="false" outlineLevel="0" collapsed="false">
      <c r="A835" s="11" t="s">
        <v>716</v>
      </c>
      <c r="B835" s="11" t="n">
        <f aca="false">SUM(B823:B834)</f>
        <v>40</v>
      </c>
      <c r="C835" s="14" t="n">
        <f aca="false">IFERROR(B835/$F835,"")</f>
        <v>0.714285714285714</v>
      </c>
      <c r="D835" s="11" t="n">
        <f aca="false">SUM(D823:D834)</f>
        <v>16</v>
      </c>
      <c r="E835" s="14" t="n">
        <f aca="false">IFERROR(D835/$F835,"")</f>
        <v>0.285714285714286</v>
      </c>
      <c r="F835" s="11" t="n">
        <f aca="false">SUM(F823:F834)</f>
        <v>56</v>
      </c>
    </row>
    <row r="838" customFormat="false" ht="15" hidden="false" customHeight="false" outlineLevel="0" collapsed="false">
      <c r="A838" s="6" t="s">
        <v>42</v>
      </c>
      <c r="B838" s="7" t="s">
        <v>764</v>
      </c>
    </row>
    <row r="839" customFormat="false" ht="15" hidden="false" customHeight="false" outlineLevel="0" collapsed="false">
      <c r="A839" s="8"/>
      <c r="B839" s="9" t="s">
        <v>726</v>
      </c>
      <c r="C839" s="8"/>
      <c r="D839" s="9" t="s">
        <v>362</v>
      </c>
      <c r="E839" s="8"/>
      <c r="F839" s="9" t="s">
        <v>694</v>
      </c>
    </row>
    <row r="840" customFormat="false" ht="15" hidden="false" customHeight="false" outlineLevel="0" collapsed="false">
      <c r="B840" s="10" t="s">
        <v>695</v>
      </c>
      <c r="C840" s="10" t="s">
        <v>696</v>
      </c>
      <c r="D840" s="10" t="s">
        <v>695</v>
      </c>
      <c r="E840" s="10" t="s">
        <v>696</v>
      </c>
    </row>
    <row r="841" customFormat="false" ht="15" hidden="false" customHeight="false" outlineLevel="0" collapsed="false">
      <c r="A841" s="11" t="s">
        <v>697</v>
      </c>
    </row>
    <row r="842" customFormat="false" ht="15" hidden="false" customHeight="false" outlineLevel="0" collapsed="false">
      <c r="A842" s="12" t="s">
        <v>698</v>
      </c>
      <c r="B842" s="12" t="n">
        <f aca="false">COUNTIFS(Cleaned!$C$2:$C$125,1,Cleaned!AQ$2:AQ$125,1)</f>
        <v>2</v>
      </c>
      <c r="C842" s="13" t="n">
        <f aca="false">IFERROR(B842/$F842,"")</f>
        <v>1</v>
      </c>
      <c r="D842" s="12" t="n">
        <f aca="false">COUNTIFS(Cleaned!$C$2:$C$125,1,Cleaned!AQ$2:AQ$125,2)</f>
        <v>0</v>
      </c>
      <c r="E842" s="13" t="n">
        <f aca="false">IFERROR(D842/$F842,"")</f>
        <v>0</v>
      </c>
      <c r="F842" s="12" t="n">
        <f aca="false">B842+D842</f>
        <v>2</v>
      </c>
    </row>
    <row r="843" customFormat="false" ht="15" hidden="false" customHeight="false" outlineLevel="0" collapsed="false">
      <c r="A843" s="12" t="s">
        <v>699</v>
      </c>
      <c r="B843" s="12" t="n">
        <f aca="false">COUNTIFS(Cleaned!$C$2:$C$125,2,Cleaned!AQ$2:AQ$125,1)</f>
        <v>4</v>
      </c>
      <c r="C843" s="13" t="n">
        <f aca="false">IFERROR(B843/$F843,"")</f>
        <v>0.571428571428571</v>
      </c>
      <c r="D843" s="12" t="n">
        <f aca="false">COUNTIFS(Cleaned!$C$2:$C$125,2,Cleaned!AQ$2:AQ$125,2)</f>
        <v>3</v>
      </c>
      <c r="E843" s="13" t="n">
        <f aca="false">IFERROR(D843/$F843,"")</f>
        <v>0.428571428571429</v>
      </c>
      <c r="F843" s="12" t="n">
        <f aca="false">B843+D843</f>
        <v>7</v>
      </c>
    </row>
    <row r="844" customFormat="false" ht="15" hidden="false" customHeight="false" outlineLevel="0" collapsed="false">
      <c r="A844" s="12" t="s">
        <v>700</v>
      </c>
      <c r="B844" s="12" t="n">
        <f aca="false">COUNTIFS(Cleaned!$C$2:$C$125,3,Cleaned!AQ$2:AQ$125,1)</f>
        <v>5</v>
      </c>
      <c r="C844" s="13" t="n">
        <f aca="false">IFERROR(B844/$F844,"")</f>
        <v>0.416666666666667</v>
      </c>
      <c r="D844" s="12" t="n">
        <f aca="false">COUNTIFS(Cleaned!$C$2:$C$125,3,Cleaned!AQ$2:AQ$125,2)</f>
        <v>7</v>
      </c>
      <c r="E844" s="13" t="n">
        <f aca="false">IFERROR(D844/$F844,"")</f>
        <v>0.583333333333333</v>
      </c>
      <c r="F844" s="12" t="n">
        <f aca="false">B844+D844</f>
        <v>12</v>
      </c>
    </row>
    <row r="845" customFormat="false" ht="15" hidden="false" customHeight="false" outlineLevel="0" collapsed="false">
      <c r="A845" s="12" t="s">
        <v>701</v>
      </c>
      <c r="B845" s="12" t="n">
        <f aca="false">COUNTIFS(Cleaned!$C$2:$C$125,4,Cleaned!AQ$2:AQ$125,1)</f>
        <v>5</v>
      </c>
      <c r="C845" s="13" t="n">
        <f aca="false">IFERROR(B845/$F845,"")</f>
        <v>0.625</v>
      </c>
      <c r="D845" s="12" t="n">
        <f aca="false">COUNTIFS(Cleaned!$C$2:$C$125,4,Cleaned!AQ$2:AQ$125,2)</f>
        <v>3</v>
      </c>
      <c r="E845" s="13" t="n">
        <f aca="false">IFERROR(D845/$F845,"")</f>
        <v>0.375</v>
      </c>
      <c r="F845" s="12" t="n">
        <f aca="false">B845+D845</f>
        <v>8</v>
      </c>
    </row>
    <row r="846" customFormat="false" ht="15" hidden="false" customHeight="false" outlineLevel="0" collapsed="false">
      <c r="A846" s="12" t="s">
        <v>702</v>
      </c>
      <c r="B846" s="12" t="n">
        <f aca="false">COUNTIFS(Cleaned!$C$2:$C$125,5,Cleaned!AQ$2:AQ$125,1)</f>
        <v>15</v>
      </c>
      <c r="C846" s="13" t="n">
        <f aca="false">IFERROR(B846/$F846,"")</f>
        <v>0.882352941176471</v>
      </c>
      <c r="D846" s="12" t="n">
        <f aca="false">COUNTIFS(Cleaned!$C$2:$C$125,5,Cleaned!AQ$2:AQ$125,2)</f>
        <v>2</v>
      </c>
      <c r="E846" s="13" t="n">
        <f aca="false">IFERROR(D846/$F846,"")</f>
        <v>0.117647058823529</v>
      </c>
      <c r="F846" s="12" t="n">
        <f aca="false">B846+D846</f>
        <v>17</v>
      </c>
    </row>
    <row r="847" customFormat="false" ht="15" hidden="false" customHeight="false" outlineLevel="0" collapsed="false">
      <c r="A847" s="11" t="s">
        <v>703</v>
      </c>
      <c r="B847" s="11" t="n">
        <f aca="false">SUM(B842:B846)</f>
        <v>31</v>
      </c>
      <c r="C847" s="14" t="n">
        <f aca="false">IFERROR(B847/$F847,"")</f>
        <v>0.673913043478261</v>
      </c>
      <c r="D847" s="11" t="n">
        <f aca="false">SUM(D842:D846)</f>
        <v>15</v>
      </c>
      <c r="E847" s="14" t="n">
        <f aca="false">IFERROR(D847/$F847,"")</f>
        <v>0.326086956521739</v>
      </c>
      <c r="F847" s="11" t="n">
        <f aca="false">SUM(F842:F846)</f>
        <v>46</v>
      </c>
    </row>
    <row r="848" customFormat="false" ht="15" hidden="false" customHeight="false" outlineLevel="0" collapsed="false">
      <c r="A848" s="11" t="s">
        <v>3</v>
      </c>
    </row>
    <row r="849" customFormat="false" ht="15" hidden="false" customHeight="false" outlineLevel="0" collapsed="false">
      <c r="A849" s="12" t="s">
        <v>704</v>
      </c>
      <c r="B849" s="12" t="n">
        <f aca="false">COUNTIFS(Cleaned!$D$2:$D$125,1,Cleaned!AQ$2:AQ$125,1)</f>
        <v>4</v>
      </c>
      <c r="C849" s="13" t="n">
        <f aca="false">IFERROR(B849/$F849,"")</f>
        <v>0.8</v>
      </c>
      <c r="D849" s="12" t="n">
        <f aca="false">COUNTIFS(Cleaned!$D$2:$D$125,1,Cleaned!AQ$2:AQ$125,2)</f>
        <v>1</v>
      </c>
      <c r="E849" s="13" t="n">
        <f aca="false">IFERROR(D849/$F849,"")</f>
        <v>0.2</v>
      </c>
      <c r="F849" s="12" t="n">
        <f aca="false">B849+D849</f>
        <v>5</v>
      </c>
    </row>
    <row r="850" customFormat="false" ht="15" hidden="false" customHeight="false" outlineLevel="0" collapsed="false">
      <c r="A850" s="12" t="s">
        <v>705</v>
      </c>
      <c r="B850" s="12" t="n">
        <f aca="false">COUNTIFS(Cleaned!$D$2:$D$125,2,Cleaned!AQ$2:AQ$125,1)</f>
        <v>8</v>
      </c>
      <c r="C850" s="13" t="n">
        <f aca="false">IFERROR(B850/$F850,"")</f>
        <v>0.727272727272727</v>
      </c>
      <c r="D850" s="12" t="n">
        <f aca="false">COUNTIFS(Cleaned!$D$2:$D$125,2,Cleaned!AQ$2:AQ$125,2)</f>
        <v>3</v>
      </c>
      <c r="E850" s="13" t="n">
        <f aca="false">IFERROR(D850/$F850,"")</f>
        <v>0.272727272727273</v>
      </c>
      <c r="F850" s="12" t="n">
        <f aca="false">B850+D850</f>
        <v>11</v>
      </c>
    </row>
    <row r="851" customFormat="false" ht="15" hidden="false" customHeight="false" outlineLevel="0" collapsed="false">
      <c r="A851" s="12" t="s">
        <v>706</v>
      </c>
      <c r="B851" s="12" t="n">
        <f aca="false">COUNTIFS(Cleaned!$D$2:$D$125,3,Cleaned!AQ$2:AQ$125,1)</f>
        <v>4</v>
      </c>
      <c r="C851" s="13" t="n">
        <f aca="false">IFERROR(B851/$F851,"")</f>
        <v>0.571428571428571</v>
      </c>
      <c r="D851" s="12" t="n">
        <f aca="false">COUNTIFS(Cleaned!$D$2:$D$125,3,Cleaned!AQ$2:AQ$125,2)</f>
        <v>3</v>
      </c>
      <c r="E851" s="13" t="n">
        <f aca="false">IFERROR(D851/$F851,"")</f>
        <v>0.428571428571429</v>
      </c>
      <c r="F851" s="12" t="n">
        <f aca="false">B851+D851</f>
        <v>7</v>
      </c>
    </row>
    <row r="852" customFormat="false" ht="15" hidden="false" customHeight="false" outlineLevel="0" collapsed="false">
      <c r="A852" s="12" t="s">
        <v>707</v>
      </c>
      <c r="B852" s="12" t="n">
        <f aca="false">COUNTIFS(Cleaned!$D$2:$D$125,4,Cleaned!AQ$2:AQ$125,1)</f>
        <v>4</v>
      </c>
      <c r="C852" s="13" t="n">
        <f aca="false">IFERROR(B852/$F852,"")</f>
        <v>0.666666666666667</v>
      </c>
      <c r="D852" s="12" t="n">
        <f aca="false">COUNTIFS(Cleaned!$D$2:$D$125,4,Cleaned!AQ$2:AQ$125,2)</f>
        <v>2</v>
      </c>
      <c r="E852" s="13" t="n">
        <f aca="false">IFERROR(D852/$F852,"")</f>
        <v>0.333333333333333</v>
      </c>
      <c r="F852" s="12" t="n">
        <f aca="false">B852+D852</f>
        <v>6</v>
      </c>
    </row>
    <row r="853" customFormat="false" ht="15" hidden="false" customHeight="false" outlineLevel="0" collapsed="false">
      <c r="A853" s="12" t="s">
        <v>708</v>
      </c>
      <c r="B853" s="12" t="n">
        <f aca="false">COUNTIFS(Cleaned!$D$2:$D$125,5,Cleaned!AQ$2:AQ$125,1)</f>
        <v>1</v>
      </c>
      <c r="C853" s="13" t="n">
        <f aca="false">IFERROR(B853/$F853,"")</f>
        <v>1</v>
      </c>
      <c r="D853" s="12" t="n">
        <f aca="false">COUNTIFS(Cleaned!$D$2:$D$125,5,Cleaned!AQ$2:AQ$125,2)</f>
        <v>0</v>
      </c>
      <c r="E853" s="13" t="n">
        <f aca="false">IFERROR(D853/$F853,"")</f>
        <v>0</v>
      </c>
      <c r="F853" s="12" t="n">
        <f aca="false">B853+D853</f>
        <v>1</v>
      </c>
    </row>
    <row r="854" customFormat="false" ht="15" hidden="false" customHeight="false" outlineLevel="0" collapsed="false">
      <c r="A854" s="12" t="s">
        <v>709</v>
      </c>
      <c r="B854" s="12" t="n">
        <f aca="false">COUNTIFS(Cleaned!$D$2:$D$125,6,Cleaned!AQ$2:AQ$125,1)</f>
        <v>1</v>
      </c>
      <c r="C854" s="13" t="n">
        <f aca="false">IFERROR(B854/$F854,"")</f>
        <v>1</v>
      </c>
      <c r="D854" s="12" t="n">
        <f aca="false">COUNTIFS(Cleaned!$D$2:$D$125,6,Cleaned!AQ$2:AQ$125,2)</f>
        <v>0</v>
      </c>
      <c r="E854" s="13" t="n">
        <f aca="false">IFERROR(D854/$F854,"")</f>
        <v>0</v>
      </c>
      <c r="F854" s="12" t="n">
        <f aca="false">B854+D854</f>
        <v>1</v>
      </c>
    </row>
    <row r="855" customFormat="false" ht="15" hidden="false" customHeight="false" outlineLevel="0" collapsed="false">
      <c r="A855" s="12" t="s">
        <v>710</v>
      </c>
      <c r="B855" s="12" t="n">
        <f aca="false">COUNTIFS(Cleaned!$D$2:$D$125,7,Cleaned!AQ$2:AQ$125,1)</f>
        <v>4</v>
      </c>
      <c r="C855" s="13" t="n">
        <f aca="false">IFERROR(B855/$F855,"")</f>
        <v>0.571428571428571</v>
      </c>
      <c r="D855" s="12" t="n">
        <f aca="false">COUNTIFS(Cleaned!$D$2:$D$125,7,Cleaned!AQ$2:AQ$125,2)</f>
        <v>3</v>
      </c>
      <c r="E855" s="13" t="n">
        <f aca="false">IFERROR(D855/$F855,"")</f>
        <v>0.428571428571429</v>
      </c>
      <c r="F855" s="12" t="n">
        <f aca="false">B855+D855</f>
        <v>7</v>
      </c>
    </row>
    <row r="856" customFormat="false" ht="15" hidden="false" customHeight="false" outlineLevel="0" collapsed="false">
      <c r="A856" s="12" t="s">
        <v>711</v>
      </c>
      <c r="B856" s="12" t="n">
        <f aca="false">COUNTIFS(Cleaned!$D$2:$D$125,8,Cleaned!AQ$2:AQ$125,1)</f>
        <v>2</v>
      </c>
      <c r="C856" s="13" t="n">
        <f aca="false">IFERROR(B856/$F856,"")</f>
        <v>1</v>
      </c>
      <c r="D856" s="12" t="n">
        <f aca="false">COUNTIFS(Cleaned!$D$2:$D$125,8,Cleaned!AQ$2:AQ$125,2)</f>
        <v>0</v>
      </c>
      <c r="E856" s="13" t="n">
        <f aca="false">IFERROR(D856/$F856,"")</f>
        <v>0</v>
      </c>
      <c r="F856" s="12" t="n">
        <f aca="false">B856+D856</f>
        <v>2</v>
      </c>
    </row>
    <row r="857" customFormat="false" ht="15" hidden="false" customHeight="false" outlineLevel="0" collapsed="false">
      <c r="A857" s="12" t="s">
        <v>712</v>
      </c>
      <c r="B857" s="12" t="n">
        <f aca="false">COUNTIFS(Cleaned!$D$2:$D$125,9,Cleaned!AQ$2:AQ$125,1)</f>
        <v>1</v>
      </c>
      <c r="C857" s="13" t="n">
        <f aca="false">IFERROR(B857/$F857,"")</f>
        <v>1</v>
      </c>
      <c r="D857" s="12" t="n">
        <f aca="false">COUNTIFS(Cleaned!$D$2:$D$125,9,Cleaned!AQ$2:AQ$125,2)</f>
        <v>0</v>
      </c>
      <c r="E857" s="13" t="n">
        <f aca="false">IFERROR(D857/$F857,"")</f>
        <v>0</v>
      </c>
      <c r="F857" s="12" t="n">
        <f aca="false">B857+D857</f>
        <v>1</v>
      </c>
    </row>
    <row r="858" customFormat="false" ht="15" hidden="false" customHeight="false" outlineLevel="0" collapsed="false">
      <c r="A858" s="12" t="s">
        <v>713</v>
      </c>
      <c r="B858" s="12" t="n">
        <f aca="false">COUNTIFS(Cleaned!$D$2:$D$125,10,Cleaned!AQ$2:AQ$125,1)</f>
        <v>0</v>
      </c>
      <c r="C858" s="13" t="str">
        <f aca="false">IFERROR(B858/$F858,"")</f>
        <v/>
      </c>
      <c r="D858" s="12" t="n">
        <f aca="false">COUNTIFS(Cleaned!$D$2:$D$125,10,Cleaned!AQ$2:AQ$125,2)</f>
        <v>0</v>
      </c>
      <c r="E858" s="13" t="str">
        <f aca="false">IFERROR(D858/$F858,"")</f>
        <v/>
      </c>
      <c r="F858" s="12" t="n">
        <f aca="false">B858+D858</f>
        <v>0</v>
      </c>
    </row>
    <row r="859" customFormat="false" ht="15" hidden="false" customHeight="false" outlineLevel="0" collapsed="false">
      <c r="A859" s="12" t="s">
        <v>714</v>
      </c>
      <c r="B859" s="12" t="n">
        <f aca="false">COUNTIFS(Cleaned!$D$2:$D$125,11,Cleaned!AQ$2:AQ$125,1)</f>
        <v>1</v>
      </c>
      <c r="C859" s="13" t="n">
        <f aca="false">IFERROR(B859/$F859,"")</f>
        <v>0.333333333333333</v>
      </c>
      <c r="D859" s="12" t="n">
        <f aca="false">COUNTIFS(Cleaned!$D$2:$D$125,11,Cleaned!AQ$2:AQ$125,2)</f>
        <v>2</v>
      </c>
      <c r="E859" s="13" t="n">
        <f aca="false">IFERROR(D859/$F859,"")</f>
        <v>0.666666666666667</v>
      </c>
      <c r="F859" s="12" t="n">
        <f aca="false">B859+D859</f>
        <v>3</v>
      </c>
    </row>
    <row r="860" customFormat="false" ht="15" hidden="false" customHeight="false" outlineLevel="0" collapsed="false">
      <c r="A860" s="12" t="s">
        <v>715</v>
      </c>
      <c r="B860" s="12" t="n">
        <f aca="false">COUNTIFS(Cleaned!$D$2:$D$125,12,Cleaned!AQ$2:AQ$125,1)</f>
        <v>1</v>
      </c>
      <c r="C860" s="13" t="n">
        <f aca="false">IFERROR(B860/$F860,"")</f>
        <v>0.5</v>
      </c>
      <c r="D860" s="12" t="n">
        <f aca="false">COUNTIFS(Cleaned!$D$2:$D$125,12,Cleaned!AQ$2:AQ$125,2)</f>
        <v>1</v>
      </c>
      <c r="E860" s="13" t="n">
        <f aca="false">IFERROR(D860/$F860,"")</f>
        <v>0.5</v>
      </c>
      <c r="F860" s="12" t="n">
        <f aca="false">B860+D860</f>
        <v>2</v>
      </c>
    </row>
    <row r="861" customFormat="false" ht="15" hidden="false" customHeight="false" outlineLevel="0" collapsed="false">
      <c r="A861" s="11" t="s">
        <v>716</v>
      </c>
      <c r="B861" s="11" t="n">
        <f aca="false">SUM(B849:B860)</f>
        <v>31</v>
      </c>
      <c r="C861" s="14" t="n">
        <f aca="false">IFERROR(B861/$F861,"")</f>
        <v>0.673913043478261</v>
      </c>
      <c r="D861" s="11" t="n">
        <f aca="false">SUM(D849:D860)</f>
        <v>15</v>
      </c>
      <c r="E861" s="14" t="n">
        <f aca="false">IFERROR(D861/$F861,"")</f>
        <v>0.326086956521739</v>
      </c>
      <c r="F861" s="11" t="n">
        <f aca="false">SUM(F849:F860)</f>
        <v>46</v>
      </c>
    </row>
    <row r="864" customFormat="false" ht="15" hidden="false" customHeight="false" outlineLevel="0" collapsed="false">
      <c r="A864" s="6" t="s">
        <v>43</v>
      </c>
      <c r="B864" s="7" t="s">
        <v>765</v>
      </c>
    </row>
    <row r="865" customFormat="false" ht="15" hidden="false" customHeight="false" outlineLevel="0" collapsed="false">
      <c r="A865" s="8"/>
      <c r="B865" s="9" t="s">
        <v>726</v>
      </c>
      <c r="C865" s="8"/>
      <c r="D865" s="9" t="s">
        <v>362</v>
      </c>
      <c r="E865" s="8"/>
      <c r="F865" s="9" t="s">
        <v>694</v>
      </c>
    </row>
    <row r="866" customFormat="false" ht="15" hidden="false" customHeight="false" outlineLevel="0" collapsed="false">
      <c r="B866" s="10" t="s">
        <v>695</v>
      </c>
      <c r="C866" s="10" t="s">
        <v>696</v>
      </c>
      <c r="D866" s="10" t="s">
        <v>695</v>
      </c>
      <c r="E866" s="10" t="s">
        <v>696</v>
      </c>
    </row>
    <row r="867" customFormat="false" ht="15" hidden="false" customHeight="false" outlineLevel="0" collapsed="false">
      <c r="A867" s="11" t="s">
        <v>697</v>
      </c>
    </row>
    <row r="868" customFormat="false" ht="15" hidden="false" customHeight="false" outlineLevel="0" collapsed="false">
      <c r="A868" s="12" t="s">
        <v>698</v>
      </c>
      <c r="B868" s="12" t="n">
        <f aca="false">COUNTIFS(Cleaned!$C$2:$C$125,1,Cleaned!AR$2:AR$125,1)</f>
        <v>2</v>
      </c>
      <c r="C868" s="13" t="n">
        <f aca="false">IFERROR(B868/$F868,"")</f>
        <v>1</v>
      </c>
      <c r="D868" s="12" t="n">
        <f aca="false">COUNTIFS(Cleaned!$C$2:$C$125,1,Cleaned!AR$2:AR$125,2)</f>
        <v>0</v>
      </c>
      <c r="E868" s="13" t="n">
        <f aca="false">IFERROR(D868/$F868,"")</f>
        <v>0</v>
      </c>
      <c r="F868" s="12" t="n">
        <f aca="false">B868+D868</f>
        <v>2</v>
      </c>
    </row>
    <row r="869" customFormat="false" ht="15" hidden="false" customHeight="false" outlineLevel="0" collapsed="false">
      <c r="A869" s="12" t="s">
        <v>699</v>
      </c>
      <c r="B869" s="12" t="n">
        <f aca="false">COUNTIFS(Cleaned!$C$2:$C$125,2,Cleaned!AR$2:AR$125,1)</f>
        <v>1</v>
      </c>
      <c r="C869" s="13" t="n">
        <f aca="false">IFERROR(B869/$F869,"")</f>
        <v>0.25</v>
      </c>
      <c r="D869" s="12" t="n">
        <f aca="false">COUNTIFS(Cleaned!$C$2:$C$125,2,Cleaned!AR$2:AR$125,2)</f>
        <v>3</v>
      </c>
      <c r="E869" s="13" t="n">
        <f aca="false">IFERROR(D869/$F869,"")</f>
        <v>0.75</v>
      </c>
      <c r="F869" s="12" t="n">
        <f aca="false">B869+D869</f>
        <v>4</v>
      </c>
    </row>
    <row r="870" customFormat="false" ht="15" hidden="false" customHeight="false" outlineLevel="0" collapsed="false">
      <c r="A870" s="12" t="s">
        <v>700</v>
      </c>
      <c r="B870" s="12" t="n">
        <f aca="false">COUNTIFS(Cleaned!$C$2:$C$125,3,Cleaned!AR$2:AR$125,1)</f>
        <v>4</v>
      </c>
      <c r="C870" s="13" t="n">
        <f aca="false">IFERROR(B870/$F870,"")</f>
        <v>0.4</v>
      </c>
      <c r="D870" s="12" t="n">
        <f aca="false">COUNTIFS(Cleaned!$C$2:$C$125,3,Cleaned!AR$2:AR$125,2)</f>
        <v>6</v>
      </c>
      <c r="E870" s="13" t="n">
        <f aca="false">IFERROR(D870/$F870,"")</f>
        <v>0.6</v>
      </c>
      <c r="F870" s="12" t="n">
        <f aca="false">B870+D870</f>
        <v>10</v>
      </c>
    </row>
    <row r="871" customFormat="false" ht="15" hidden="false" customHeight="false" outlineLevel="0" collapsed="false">
      <c r="A871" s="12" t="s">
        <v>701</v>
      </c>
      <c r="B871" s="12" t="n">
        <f aca="false">COUNTIFS(Cleaned!$C$2:$C$125,4,Cleaned!AR$2:AR$125,1)</f>
        <v>4</v>
      </c>
      <c r="C871" s="13" t="n">
        <f aca="false">IFERROR(B871/$F871,"")</f>
        <v>0.666666666666667</v>
      </c>
      <c r="D871" s="12" t="n">
        <f aca="false">COUNTIFS(Cleaned!$C$2:$C$125,4,Cleaned!AR$2:AR$125,2)</f>
        <v>2</v>
      </c>
      <c r="E871" s="13" t="n">
        <f aca="false">IFERROR(D871/$F871,"")</f>
        <v>0.333333333333333</v>
      </c>
      <c r="F871" s="12" t="n">
        <f aca="false">B871+D871</f>
        <v>6</v>
      </c>
    </row>
    <row r="872" customFormat="false" ht="15" hidden="false" customHeight="false" outlineLevel="0" collapsed="false">
      <c r="A872" s="12" t="s">
        <v>702</v>
      </c>
      <c r="B872" s="12" t="n">
        <f aca="false">COUNTIFS(Cleaned!$C$2:$C$125,5,Cleaned!AR$2:AR$125,1)</f>
        <v>14</v>
      </c>
      <c r="C872" s="13" t="n">
        <f aca="false">IFERROR(B872/$F872,"")</f>
        <v>0.823529411764706</v>
      </c>
      <c r="D872" s="12" t="n">
        <f aca="false">COUNTIFS(Cleaned!$C$2:$C$125,5,Cleaned!AR$2:AR$125,2)</f>
        <v>3</v>
      </c>
      <c r="E872" s="13" t="n">
        <f aca="false">IFERROR(D872/$F872,"")</f>
        <v>0.176470588235294</v>
      </c>
      <c r="F872" s="12" t="n">
        <f aca="false">B872+D872</f>
        <v>17</v>
      </c>
    </row>
    <row r="873" customFormat="false" ht="15" hidden="false" customHeight="false" outlineLevel="0" collapsed="false">
      <c r="A873" s="11" t="s">
        <v>703</v>
      </c>
      <c r="B873" s="11" t="n">
        <f aca="false">SUM(B868:B872)</f>
        <v>25</v>
      </c>
      <c r="C873" s="14" t="n">
        <f aca="false">IFERROR(B873/$F873,"")</f>
        <v>0.641025641025641</v>
      </c>
      <c r="D873" s="11" t="n">
        <f aca="false">SUM(D868:D872)</f>
        <v>14</v>
      </c>
      <c r="E873" s="14" t="n">
        <f aca="false">IFERROR(D873/$F873,"")</f>
        <v>0.358974358974359</v>
      </c>
      <c r="F873" s="11" t="n">
        <f aca="false">SUM(F868:F872)</f>
        <v>39</v>
      </c>
    </row>
    <row r="874" customFormat="false" ht="15" hidden="false" customHeight="false" outlineLevel="0" collapsed="false">
      <c r="A874" s="11" t="s">
        <v>3</v>
      </c>
    </row>
    <row r="875" customFormat="false" ht="15" hidden="false" customHeight="false" outlineLevel="0" collapsed="false">
      <c r="A875" s="12" t="s">
        <v>704</v>
      </c>
      <c r="B875" s="12" t="n">
        <f aca="false">COUNTIFS(Cleaned!$D$2:$D$125,1,Cleaned!AR$2:AR$125,1)</f>
        <v>3</v>
      </c>
      <c r="C875" s="13" t="n">
        <f aca="false">IFERROR(B875/$F875,"")</f>
        <v>0.75</v>
      </c>
      <c r="D875" s="12" t="n">
        <f aca="false">COUNTIFS(Cleaned!$D$2:$D$125,1,Cleaned!AR$2:AR$125,2)</f>
        <v>1</v>
      </c>
      <c r="E875" s="13" t="n">
        <f aca="false">IFERROR(D875/$F875,"")</f>
        <v>0.25</v>
      </c>
      <c r="F875" s="12" t="n">
        <f aca="false">B875+D875</f>
        <v>4</v>
      </c>
    </row>
    <row r="876" customFormat="false" ht="15" hidden="false" customHeight="false" outlineLevel="0" collapsed="false">
      <c r="A876" s="12" t="s">
        <v>705</v>
      </c>
      <c r="B876" s="12" t="n">
        <f aca="false">COUNTIFS(Cleaned!$D$2:$D$125,2,Cleaned!AR$2:AR$125,1)</f>
        <v>6</v>
      </c>
      <c r="C876" s="13" t="n">
        <f aca="false">IFERROR(B876/$F876,"")</f>
        <v>0.6</v>
      </c>
      <c r="D876" s="12" t="n">
        <f aca="false">COUNTIFS(Cleaned!$D$2:$D$125,2,Cleaned!AR$2:AR$125,2)</f>
        <v>4</v>
      </c>
      <c r="E876" s="13" t="n">
        <f aca="false">IFERROR(D876/$F876,"")</f>
        <v>0.4</v>
      </c>
      <c r="F876" s="12" t="n">
        <f aca="false">B876+D876</f>
        <v>10</v>
      </c>
    </row>
    <row r="877" customFormat="false" ht="15" hidden="false" customHeight="false" outlineLevel="0" collapsed="false">
      <c r="A877" s="12" t="s">
        <v>706</v>
      </c>
      <c r="B877" s="12" t="n">
        <f aca="false">COUNTIFS(Cleaned!$D$2:$D$125,3,Cleaned!AR$2:AR$125,1)</f>
        <v>5</v>
      </c>
      <c r="C877" s="13" t="n">
        <f aca="false">IFERROR(B877/$F877,"")</f>
        <v>0.625</v>
      </c>
      <c r="D877" s="12" t="n">
        <f aca="false">COUNTIFS(Cleaned!$D$2:$D$125,3,Cleaned!AR$2:AR$125,2)</f>
        <v>3</v>
      </c>
      <c r="E877" s="13" t="n">
        <f aca="false">IFERROR(D877/$F877,"")</f>
        <v>0.375</v>
      </c>
      <c r="F877" s="12" t="n">
        <f aca="false">B877+D877</f>
        <v>8</v>
      </c>
    </row>
    <row r="878" customFormat="false" ht="15" hidden="false" customHeight="false" outlineLevel="0" collapsed="false">
      <c r="A878" s="12" t="s">
        <v>707</v>
      </c>
      <c r="B878" s="12" t="n">
        <f aca="false">COUNTIFS(Cleaned!$D$2:$D$125,4,Cleaned!AR$2:AR$125,1)</f>
        <v>3</v>
      </c>
      <c r="C878" s="13" t="n">
        <f aca="false">IFERROR(B878/$F878,"")</f>
        <v>0.6</v>
      </c>
      <c r="D878" s="12" t="n">
        <f aca="false">COUNTIFS(Cleaned!$D$2:$D$125,4,Cleaned!AR$2:AR$125,2)</f>
        <v>2</v>
      </c>
      <c r="E878" s="13" t="n">
        <f aca="false">IFERROR(D878/$F878,"")</f>
        <v>0.4</v>
      </c>
      <c r="F878" s="12" t="n">
        <f aca="false">B878+D878</f>
        <v>5</v>
      </c>
    </row>
    <row r="879" customFormat="false" ht="15" hidden="false" customHeight="false" outlineLevel="0" collapsed="false">
      <c r="A879" s="12" t="s">
        <v>708</v>
      </c>
      <c r="B879" s="12" t="n">
        <f aca="false">COUNTIFS(Cleaned!$D$2:$D$125,5,Cleaned!AR$2:AR$125,1)</f>
        <v>1</v>
      </c>
      <c r="C879" s="13" t="n">
        <f aca="false">IFERROR(B879/$F879,"")</f>
        <v>1</v>
      </c>
      <c r="D879" s="12" t="n">
        <f aca="false">COUNTIFS(Cleaned!$D$2:$D$125,5,Cleaned!AR$2:AR$125,2)</f>
        <v>0</v>
      </c>
      <c r="E879" s="13" t="n">
        <f aca="false">IFERROR(D879/$F879,"")</f>
        <v>0</v>
      </c>
      <c r="F879" s="12" t="n">
        <f aca="false">B879+D879</f>
        <v>1</v>
      </c>
    </row>
    <row r="880" customFormat="false" ht="15" hidden="false" customHeight="false" outlineLevel="0" collapsed="false">
      <c r="A880" s="12" t="s">
        <v>709</v>
      </c>
      <c r="B880" s="12" t="n">
        <f aca="false">COUNTIFS(Cleaned!$D$2:$D$125,6,Cleaned!AR$2:AR$125,1)</f>
        <v>1</v>
      </c>
      <c r="C880" s="13" t="n">
        <f aca="false">IFERROR(B880/$F880,"")</f>
        <v>1</v>
      </c>
      <c r="D880" s="12" t="n">
        <f aca="false">COUNTIFS(Cleaned!$D$2:$D$125,6,Cleaned!AR$2:AR$125,2)</f>
        <v>0</v>
      </c>
      <c r="E880" s="13" t="n">
        <f aca="false">IFERROR(D880/$F880,"")</f>
        <v>0</v>
      </c>
      <c r="F880" s="12" t="n">
        <f aca="false">B880+D880</f>
        <v>1</v>
      </c>
    </row>
    <row r="881" customFormat="false" ht="15" hidden="false" customHeight="false" outlineLevel="0" collapsed="false">
      <c r="A881" s="12" t="s">
        <v>710</v>
      </c>
      <c r="B881" s="12" t="n">
        <f aca="false">COUNTIFS(Cleaned!$D$2:$D$125,7,Cleaned!AR$2:AR$125,1)</f>
        <v>4</v>
      </c>
      <c r="C881" s="13" t="n">
        <f aca="false">IFERROR(B881/$F881,"")</f>
        <v>0.571428571428571</v>
      </c>
      <c r="D881" s="12" t="n">
        <f aca="false">COUNTIFS(Cleaned!$D$2:$D$125,7,Cleaned!AR$2:AR$125,2)</f>
        <v>3</v>
      </c>
      <c r="E881" s="13" t="n">
        <f aca="false">IFERROR(D881/$F881,"")</f>
        <v>0.428571428571429</v>
      </c>
      <c r="F881" s="12" t="n">
        <f aca="false">B881+D881</f>
        <v>7</v>
      </c>
    </row>
    <row r="882" customFormat="false" ht="15" hidden="false" customHeight="false" outlineLevel="0" collapsed="false">
      <c r="A882" s="12" t="s">
        <v>711</v>
      </c>
      <c r="B882" s="12" t="n">
        <f aca="false">COUNTIFS(Cleaned!$D$2:$D$125,8,Cleaned!AR$2:AR$125,1)</f>
        <v>1</v>
      </c>
      <c r="C882" s="13" t="n">
        <f aca="false">IFERROR(B882/$F882,"")</f>
        <v>1</v>
      </c>
      <c r="D882" s="12" t="n">
        <f aca="false">COUNTIFS(Cleaned!$D$2:$D$125,8,Cleaned!AR$2:AR$125,2)</f>
        <v>0</v>
      </c>
      <c r="E882" s="13" t="n">
        <f aca="false">IFERROR(D882/$F882,"")</f>
        <v>0</v>
      </c>
      <c r="F882" s="12" t="n">
        <f aca="false">B882+D882</f>
        <v>1</v>
      </c>
    </row>
    <row r="883" customFormat="false" ht="15" hidden="false" customHeight="false" outlineLevel="0" collapsed="false">
      <c r="A883" s="12" t="s">
        <v>712</v>
      </c>
      <c r="B883" s="12" t="n">
        <f aca="false">COUNTIFS(Cleaned!$D$2:$D$125,9,Cleaned!AR$2:AR$125,1)</f>
        <v>1</v>
      </c>
      <c r="C883" s="13" t="n">
        <f aca="false">IFERROR(B883/$F883,"")</f>
        <v>1</v>
      </c>
      <c r="D883" s="12" t="n">
        <f aca="false">COUNTIFS(Cleaned!$D$2:$D$125,9,Cleaned!AR$2:AR$125,2)</f>
        <v>0</v>
      </c>
      <c r="E883" s="13" t="n">
        <f aca="false">IFERROR(D883/$F883,"")</f>
        <v>0</v>
      </c>
      <c r="F883" s="12" t="n">
        <f aca="false">B883+D883</f>
        <v>1</v>
      </c>
    </row>
    <row r="884" customFormat="false" ht="15" hidden="false" customHeight="false" outlineLevel="0" collapsed="false">
      <c r="A884" s="12" t="s">
        <v>713</v>
      </c>
      <c r="B884" s="12" t="n">
        <f aca="false">COUNTIFS(Cleaned!$D$2:$D$125,10,Cleaned!AR$2:AR$125,1)</f>
        <v>0</v>
      </c>
      <c r="C884" s="13" t="str">
        <f aca="false">IFERROR(B884/$F884,"")</f>
        <v/>
      </c>
      <c r="D884" s="12" t="n">
        <f aca="false">COUNTIFS(Cleaned!$D$2:$D$125,10,Cleaned!AR$2:AR$125,2)</f>
        <v>0</v>
      </c>
      <c r="E884" s="13" t="str">
        <f aca="false">IFERROR(D884/$F884,"")</f>
        <v/>
      </c>
      <c r="F884" s="12" t="n">
        <f aca="false">B884+D884</f>
        <v>0</v>
      </c>
    </row>
    <row r="885" customFormat="false" ht="15" hidden="false" customHeight="false" outlineLevel="0" collapsed="false">
      <c r="A885" s="12" t="s">
        <v>714</v>
      </c>
      <c r="B885" s="12" t="n">
        <f aca="false">COUNTIFS(Cleaned!$D$2:$D$125,11,Cleaned!AR$2:AR$125,1)</f>
        <v>0</v>
      </c>
      <c r="C885" s="13" t="n">
        <f aca="false">IFERROR(B885/$F885,"")</f>
        <v>0</v>
      </c>
      <c r="D885" s="12" t="n">
        <f aca="false">COUNTIFS(Cleaned!$D$2:$D$125,11,Cleaned!AR$2:AR$125,2)</f>
        <v>1</v>
      </c>
      <c r="E885" s="13" t="n">
        <f aca="false">IFERROR(D885/$F885,"")</f>
        <v>1</v>
      </c>
      <c r="F885" s="12" t="n">
        <f aca="false">B885+D885</f>
        <v>1</v>
      </c>
    </row>
    <row r="886" customFormat="false" ht="15" hidden="false" customHeight="false" outlineLevel="0" collapsed="false">
      <c r="A886" s="12" t="s">
        <v>715</v>
      </c>
      <c r="B886" s="12" t="n">
        <f aca="false">COUNTIFS(Cleaned!$D$2:$D$125,12,Cleaned!AR$2:AR$125,1)</f>
        <v>0</v>
      </c>
      <c r="C886" s="13" t="str">
        <f aca="false">IFERROR(B886/$F886,"")</f>
        <v/>
      </c>
      <c r="D886" s="12" t="n">
        <f aca="false">COUNTIFS(Cleaned!$D$2:$D$125,12,Cleaned!AR$2:AR$125,2)</f>
        <v>0</v>
      </c>
      <c r="E886" s="13" t="str">
        <f aca="false">IFERROR(D886/$F886,"")</f>
        <v/>
      </c>
      <c r="F886" s="12" t="n">
        <f aca="false">B886+D886</f>
        <v>0</v>
      </c>
    </row>
    <row r="887" customFormat="false" ht="15" hidden="false" customHeight="false" outlineLevel="0" collapsed="false">
      <c r="A887" s="11" t="s">
        <v>716</v>
      </c>
      <c r="B887" s="11" t="n">
        <f aca="false">SUM(B875:B886)</f>
        <v>25</v>
      </c>
      <c r="C887" s="14" t="n">
        <f aca="false">IFERROR(B887/$F887,"")</f>
        <v>0.641025641025641</v>
      </c>
      <c r="D887" s="11" t="n">
        <f aca="false">SUM(D875:D886)</f>
        <v>14</v>
      </c>
      <c r="E887" s="14" t="n">
        <f aca="false">IFERROR(D887/$F887,"")</f>
        <v>0.358974358974359</v>
      </c>
      <c r="F887" s="11" t="n">
        <f aca="false">SUM(F875:F886)</f>
        <v>39</v>
      </c>
    </row>
    <row r="890" customFormat="false" ht="15" hidden="false" customHeight="false" outlineLevel="0" collapsed="false">
      <c r="A890" s="6" t="s">
        <v>44</v>
      </c>
      <c r="B890" s="7" t="s">
        <v>766</v>
      </c>
    </row>
    <row r="891" customFormat="false" ht="15" hidden="false" customHeight="false" outlineLevel="0" collapsed="false">
      <c r="A891" s="11" t="s">
        <v>734</v>
      </c>
      <c r="B891" s="9" t="s">
        <v>694</v>
      </c>
      <c r="C891" s="9" t="s">
        <v>735</v>
      </c>
      <c r="D891" s="9" t="s">
        <v>736</v>
      </c>
      <c r="E891" s="9" t="s">
        <v>737</v>
      </c>
      <c r="F891" s="9" t="s">
        <v>738</v>
      </c>
    </row>
    <row r="892" customFormat="false" ht="15" hidden="false" customHeight="false" outlineLevel="0" collapsed="false">
      <c r="B892" s="12" t="n">
        <f aca="false">COUNT(Cleaned!$AS$2:$AS$125)</f>
        <v>45</v>
      </c>
      <c r="C892" s="12" t="n">
        <f aca="false">IFERROR(AVERAGE(Cleaned!$AS$2:$AS$125),"")</f>
        <v>1974.95555555556</v>
      </c>
      <c r="D892" s="12" t="n">
        <f aca="false">IFERROR(MEDIAN(Cleaned!$AS$2:$AS$125),"")</f>
        <v>2021</v>
      </c>
      <c r="E892" s="12" t="n">
        <f aca="false">IFERROR(MIN(Cleaned!$AS$2:$AS$125),"")</f>
        <v>10</v>
      </c>
      <c r="F892" s="12" t="n">
        <f aca="false">IFERROR(MAX(Cleaned!$AS$2:$AS$125),"")</f>
        <v>2025</v>
      </c>
    </row>
    <row r="893" customFormat="false" ht="15" hidden="false" customHeight="false" outlineLevel="0" collapsed="false">
      <c r="A893" s="11" t="s">
        <v>697</v>
      </c>
      <c r="B893" s="9" t="s">
        <v>739</v>
      </c>
      <c r="C893" s="9" t="s">
        <v>735</v>
      </c>
    </row>
    <row r="894" customFormat="false" ht="15" hidden="false" customHeight="false" outlineLevel="0" collapsed="false">
      <c r="A894" s="12" t="s">
        <v>698</v>
      </c>
      <c r="B894" s="12" t="n">
        <f aca="false">COUNTIFS(Cleaned!$C$2:$C$125,1,Cleaned!AS$2:AS$125,"&lt;&gt;")</f>
        <v>6</v>
      </c>
      <c r="C894" s="15" t="n">
        <f aca="false">IF(B894=0,"",AVERAGEIF(Cleaned!$C$2:$C$125,1,Cleaned!AS$2:AS$125))</f>
        <v>2021</v>
      </c>
    </row>
    <row r="895" customFormat="false" ht="15" hidden="false" customHeight="false" outlineLevel="0" collapsed="false">
      <c r="A895" s="12" t="s">
        <v>699</v>
      </c>
      <c r="B895" s="12" t="n">
        <f aca="false">COUNTIFS(Cleaned!$C$2:$C$125,2,Cleaned!AS$2:AS$125,"&lt;&gt;")</f>
        <v>2</v>
      </c>
      <c r="C895" s="15" t="n">
        <f aca="false">IF(B895=0,"",AVERAGEIF(Cleaned!$C$2:$C$125,2,Cleaned!AS$2:AS$125))</f>
        <v>2017.5</v>
      </c>
    </row>
    <row r="896" customFormat="false" ht="15" hidden="false" customHeight="false" outlineLevel="0" collapsed="false">
      <c r="A896" s="12" t="s">
        <v>700</v>
      </c>
      <c r="B896" s="12" t="n">
        <f aca="false">COUNTIFS(Cleaned!$C$2:$C$125,3,Cleaned!AS$2:AS$125,"&lt;&gt;")</f>
        <v>9</v>
      </c>
      <c r="C896" s="15" t="n">
        <f aca="false">IF(B896=0,"",AVERAGEIF(Cleaned!$C$2:$C$125,3,Cleaned!AS$2:AS$125))</f>
        <v>2018.33333333333</v>
      </c>
    </row>
    <row r="897" customFormat="false" ht="15" hidden="false" customHeight="false" outlineLevel="0" collapsed="false">
      <c r="A897" s="12" t="s">
        <v>701</v>
      </c>
      <c r="B897" s="12" t="n">
        <f aca="false">COUNTIFS(Cleaned!$C$2:$C$125,4,Cleaned!AS$2:AS$125,"&lt;&gt;")</f>
        <v>9</v>
      </c>
      <c r="C897" s="15" t="n">
        <f aca="false">IF(B897=0,"",AVERAGEIF(Cleaned!$C$2:$C$125,4,Cleaned!AS$2:AS$125))</f>
        <v>2018.77777777778</v>
      </c>
    </row>
    <row r="898" customFormat="false" ht="15" hidden="false" customHeight="false" outlineLevel="0" collapsed="false">
      <c r="A898" s="12" t="s">
        <v>702</v>
      </c>
      <c r="B898" s="12" t="n">
        <f aca="false">COUNTIFS(Cleaned!$C$2:$C$125,5,Cleaned!AS$2:AS$125,"&lt;&gt;")</f>
        <v>19</v>
      </c>
      <c r="C898" s="15" t="n">
        <f aca="false">IF(B898=0,"",AVERAGEIF(Cleaned!$C$2:$C$125,5,Cleaned!AS$2:AS$125))</f>
        <v>1914.63157894737</v>
      </c>
    </row>
    <row r="899" customFormat="false" ht="15" hidden="false" customHeight="false" outlineLevel="0" collapsed="false">
      <c r="A899" s="11" t="s">
        <v>3</v>
      </c>
      <c r="B899" s="9" t="s">
        <v>739</v>
      </c>
      <c r="C899" s="9" t="s">
        <v>735</v>
      </c>
    </row>
    <row r="900" customFormat="false" ht="15" hidden="false" customHeight="false" outlineLevel="0" collapsed="false">
      <c r="A900" s="12" t="s">
        <v>704</v>
      </c>
      <c r="B900" s="12" t="n">
        <f aca="false">COUNTIFS(Cleaned!$D$2:$D$125,1,Cleaned!AS$2:AS$125,"&lt;&gt;")</f>
        <v>6</v>
      </c>
      <c r="C900" s="15" t="n">
        <f aca="false">IF(B900=0,"",AVERAGEIF(Cleaned!$D$2:$D$125,1,Cleaned!AS$2:AS$125))</f>
        <v>2020</v>
      </c>
    </row>
    <row r="901" customFormat="false" ht="15" hidden="false" customHeight="false" outlineLevel="0" collapsed="false">
      <c r="A901" s="12" t="s">
        <v>705</v>
      </c>
      <c r="B901" s="12" t="n">
        <f aca="false">COUNTIFS(Cleaned!$D$2:$D$125,2,Cleaned!AS$2:AS$125,"&lt;&gt;")</f>
        <v>12</v>
      </c>
      <c r="C901" s="15" t="n">
        <f aca="false">IF(B901=0,"",AVERAGEIF(Cleaned!$D$2:$D$125,2,Cleaned!AS$2:AS$125))</f>
        <v>1852.66666666667</v>
      </c>
    </row>
    <row r="902" customFormat="false" ht="15" hidden="false" customHeight="false" outlineLevel="0" collapsed="false">
      <c r="A902" s="12" t="s">
        <v>706</v>
      </c>
      <c r="B902" s="12" t="n">
        <f aca="false">COUNTIFS(Cleaned!$D$2:$D$125,3,Cleaned!AS$2:AS$125,"&lt;&gt;")</f>
        <v>8</v>
      </c>
      <c r="C902" s="15" t="n">
        <f aca="false">IF(B902=0,"",AVERAGEIF(Cleaned!$D$2:$D$125,3,Cleaned!AS$2:AS$125))</f>
        <v>2020.375</v>
      </c>
    </row>
    <row r="903" customFormat="false" ht="15" hidden="false" customHeight="false" outlineLevel="0" collapsed="false">
      <c r="A903" s="12" t="s">
        <v>707</v>
      </c>
      <c r="B903" s="12" t="n">
        <f aca="false">COUNTIFS(Cleaned!$D$2:$D$125,4,Cleaned!AS$2:AS$125,"&lt;&gt;")</f>
        <v>3</v>
      </c>
      <c r="C903" s="15" t="n">
        <f aca="false">IF(B903=0,"",AVERAGEIF(Cleaned!$D$2:$D$125,4,Cleaned!AS$2:AS$125))</f>
        <v>2022</v>
      </c>
    </row>
    <row r="904" customFormat="false" ht="15" hidden="false" customHeight="false" outlineLevel="0" collapsed="false">
      <c r="A904" s="12" t="s">
        <v>708</v>
      </c>
      <c r="B904" s="12" t="n">
        <f aca="false">COUNTIFS(Cleaned!$D$2:$D$125,5,Cleaned!AS$2:AS$125,"&lt;&gt;")</f>
        <v>1</v>
      </c>
      <c r="C904" s="15" t="n">
        <f aca="false">IF(B904=0,"",AVERAGEIF(Cleaned!$D$2:$D$125,5,Cleaned!AS$2:AS$125))</f>
        <v>2017</v>
      </c>
    </row>
    <row r="905" customFormat="false" ht="15" hidden="false" customHeight="false" outlineLevel="0" collapsed="false">
      <c r="A905" s="12" t="s">
        <v>709</v>
      </c>
      <c r="B905" s="12" t="n">
        <f aca="false">COUNTIFS(Cleaned!$D$2:$D$125,6,Cleaned!AS$2:AS$125,"&lt;&gt;")</f>
        <v>1</v>
      </c>
      <c r="C905" s="15" t="n">
        <f aca="false">IF(B905=0,"",AVERAGEIF(Cleaned!$D$2:$D$125,6,Cleaned!AS$2:AS$125))</f>
        <v>2010</v>
      </c>
    </row>
    <row r="906" customFormat="false" ht="15" hidden="false" customHeight="false" outlineLevel="0" collapsed="false">
      <c r="A906" s="12" t="s">
        <v>710</v>
      </c>
      <c r="B906" s="12" t="n">
        <f aca="false">COUNTIFS(Cleaned!$D$2:$D$125,7,Cleaned!AS$2:AS$125,"&lt;&gt;")</f>
        <v>6</v>
      </c>
      <c r="C906" s="15" t="n">
        <f aca="false">IF(B906=0,"",AVERAGEIF(Cleaned!$D$2:$D$125,7,Cleaned!AS$2:AS$125))</f>
        <v>2020.66666666667</v>
      </c>
    </row>
    <row r="907" customFormat="false" ht="15" hidden="false" customHeight="false" outlineLevel="0" collapsed="false">
      <c r="A907" s="12" t="s">
        <v>711</v>
      </c>
      <c r="B907" s="12" t="n">
        <f aca="false">COUNTIFS(Cleaned!$D$2:$D$125,8,Cleaned!AS$2:AS$125,"&lt;&gt;")</f>
        <v>1</v>
      </c>
      <c r="C907" s="15" t="n">
        <f aca="false">IF(B907=0,"",AVERAGEIF(Cleaned!$D$2:$D$125,8,Cleaned!AS$2:AS$125))</f>
        <v>2021</v>
      </c>
    </row>
    <row r="908" customFormat="false" ht="15" hidden="false" customHeight="false" outlineLevel="0" collapsed="false">
      <c r="A908" s="12" t="s">
        <v>712</v>
      </c>
      <c r="B908" s="12" t="n">
        <f aca="false">COUNTIFS(Cleaned!$D$2:$D$125,9,Cleaned!AS$2:AS$125,"&lt;&gt;")</f>
        <v>1</v>
      </c>
      <c r="C908" s="15" t="n">
        <f aca="false">IF(B908=0,"",AVERAGEIF(Cleaned!$D$2:$D$125,9,Cleaned!AS$2:AS$125))</f>
        <v>2025</v>
      </c>
    </row>
    <row r="909" customFormat="false" ht="15" hidden="false" customHeight="false" outlineLevel="0" collapsed="false">
      <c r="A909" s="12" t="s">
        <v>713</v>
      </c>
      <c r="B909" s="12" t="n">
        <f aca="false">COUNTIFS(Cleaned!$D$2:$D$125,10,Cleaned!AS$2:AS$125,"&lt;&gt;")</f>
        <v>0</v>
      </c>
      <c r="C909" s="15" t="str">
        <f aca="false">IF(B909=0,"",AVERAGEIF(Cleaned!$D$2:$D$125,10,Cleaned!AS$2:AS$125))</f>
        <v/>
      </c>
    </row>
    <row r="910" customFormat="false" ht="15" hidden="false" customHeight="false" outlineLevel="0" collapsed="false">
      <c r="A910" s="12" t="s">
        <v>714</v>
      </c>
      <c r="B910" s="12" t="n">
        <f aca="false">COUNTIFS(Cleaned!$D$2:$D$125,11,Cleaned!AS$2:AS$125,"&lt;&gt;")</f>
        <v>4</v>
      </c>
      <c r="C910" s="15" t="n">
        <f aca="false">IF(B910=0,"",AVERAGEIF(Cleaned!$D$2:$D$125,11,Cleaned!AS$2:AS$125))</f>
        <v>2012.5</v>
      </c>
    </row>
    <row r="911" customFormat="false" ht="15" hidden="false" customHeight="false" outlineLevel="0" collapsed="false">
      <c r="A911" s="12" t="s">
        <v>715</v>
      </c>
      <c r="B911" s="12" t="n">
        <f aca="false">COUNTIFS(Cleaned!$D$2:$D$125,12,Cleaned!AS$2:AS$125,"&lt;&gt;")</f>
        <v>2</v>
      </c>
      <c r="C911" s="15" t="n">
        <f aca="false">IF(B911=0,"",AVERAGEIF(Cleaned!$D$2:$D$125,12,Cleaned!AS$2:AS$125))</f>
        <v>2022.5</v>
      </c>
    </row>
    <row r="914" customFormat="false" ht="15" hidden="false" customHeight="false" outlineLevel="0" collapsed="false">
      <c r="A914" s="6" t="s">
        <v>47</v>
      </c>
      <c r="B914" s="7" t="s">
        <v>767</v>
      </c>
    </row>
    <row r="915" customFormat="false" ht="15" hidden="false" customHeight="false" outlineLevel="0" collapsed="false">
      <c r="A915" s="11" t="s">
        <v>734</v>
      </c>
      <c r="B915" s="9" t="s">
        <v>694</v>
      </c>
      <c r="C915" s="9" t="s">
        <v>735</v>
      </c>
      <c r="D915" s="9" t="s">
        <v>736</v>
      </c>
      <c r="E915" s="9" t="s">
        <v>737</v>
      </c>
      <c r="F915" s="9" t="s">
        <v>738</v>
      </c>
    </row>
    <row r="916" customFormat="false" ht="15" hidden="false" customHeight="false" outlineLevel="0" collapsed="false">
      <c r="B916" s="12" t="n">
        <f aca="false">COUNT(Cleaned!$AV$2:$AV$125)</f>
        <v>38</v>
      </c>
      <c r="C916" s="12" t="n">
        <f aca="false">IFERROR(AVERAGE(Cleaned!$AV$2:$AV$125),"")</f>
        <v>1965.55263157895</v>
      </c>
      <c r="D916" s="12" t="n">
        <f aca="false">IFERROR(MEDIAN(Cleaned!$AV$2:$AV$125),"")</f>
        <v>2019.5</v>
      </c>
      <c r="E916" s="12" t="n">
        <f aca="false">IFERROR(MIN(Cleaned!$AV$2:$AV$125),"")</f>
        <v>10</v>
      </c>
      <c r="F916" s="12" t="n">
        <f aca="false">IFERROR(MAX(Cleaned!$AV$2:$AV$125),"")</f>
        <v>2025</v>
      </c>
    </row>
    <row r="917" customFormat="false" ht="15" hidden="false" customHeight="false" outlineLevel="0" collapsed="false">
      <c r="A917" s="11" t="s">
        <v>697</v>
      </c>
      <c r="B917" s="9" t="s">
        <v>739</v>
      </c>
      <c r="C917" s="9" t="s">
        <v>735</v>
      </c>
    </row>
    <row r="918" customFormat="false" ht="15" hidden="false" customHeight="false" outlineLevel="0" collapsed="false">
      <c r="A918" s="12" t="s">
        <v>698</v>
      </c>
      <c r="B918" s="12" t="n">
        <f aca="false">COUNTIFS(Cleaned!$C$2:$C$125,1,Cleaned!AV$2:AV$125,"&lt;&gt;")</f>
        <v>4</v>
      </c>
      <c r="C918" s="15" t="n">
        <f aca="false">IF(B918=0,"",AVERAGEIF(Cleaned!$C$2:$C$125,1,Cleaned!AV$2:AV$125))</f>
        <v>2021.25</v>
      </c>
    </row>
    <row r="919" customFormat="false" ht="15" hidden="false" customHeight="false" outlineLevel="0" collapsed="false">
      <c r="A919" s="12" t="s">
        <v>699</v>
      </c>
      <c r="B919" s="12" t="n">
        <f aca="false">COUNTIFS(Cleaned!$C$2:$C$125,2,Cleaned!AV$2:AV$125,"&lt;&gt;")</f>
        <v>3</v>
      </c>
      <c r="C919" s="15" t="n">
        <f aca="false">IF(B919=0,"",AVERAGEIF(Cleaned!$C$2:$C$125,2,Cleaned!AV$2:AV$125))</f>
        <v>2023</v>
      </c>
    </row>
    <row r="920" customFormat="false" ht="15" hidden="false" customHeight="false" outlineLevel="0" collapsed="false">
      <c r="A920" s="12" t="s">
        <v>700</v>
      </c>
      <c r="B920" s="12" t="n">
        <f aca="false">COUNTIFS(Cleaned!$C$2:$C$125,3,Cleaned!AV$2:AV$125,"&lt;&gt;")</f>
        <v>9</v>
      </c>
      <c r="C920" s="15" t="n">
        <f aca="false">IF(B920=0,"",AVERAGEIF(Cleaned!$C$2:$C$125,3,Cleaned!AV$2:AV$125))</f>
        <v>2016.88888888889</v>
      </c>
    </row>
    <row r="921" customFormat="false" ht="15" hidden="false" customHeight="false" outlineLevel="0" collapsed="false">
      <c r="A921" s="12" t="s">
        <v>701</v>
      </c>
      <c r="B921" s="12" t="n">
        <f aca="false">COUNTIFS(Cleaned!$C$2:$C$125,4,Cleaned!AV$2:AV$125,"&lt;&gt;")</f>
        <v>8</v>
      </c>
      <c r="C921" s="15" t="n">
        <f aca="false">IF(B921=0,"",AVERAGEIF(Cleaned!$C$2:$C$125,4,Cleaned!AV$2:AV$125))</f>
        <v>2017.25</v>
      </c>
    </row>
    <row r="922" customFormat="false" ht="15" hidden="false" customHeight="false" outlineLevel="0" collapsed="false">
      <c r="A922" s="12" t="s">
        <v>702</v>
      </c>
      <c r="B922" s="12" t="n">
        <f aca="false">COUNTIFS(Cleaned!$C$2:$C$125,5,Cleaned!AV$2:AV$125,"&lt;&gt;")</f>
        <v>14</v>
      </c>
      <c r="C922" s="15" t="n">
        <f aca="false">IF(B922=0,"",AVERAGEIF(Cleaned!$C$2:$C$125,5,Cleaned!AV$2:AV$125))</f>
        <v>1874.78571428571</v>
      </c>
    </row>
    <row r="923" customFormat="false" ht="15" hidden="false" customHeight="false" outlineLevel="0" collapsed="false">
      <c r="A923" s="11" t="s">
        <v>3</v>
      </c>
      <c r="B923" s="9" t="s">
        <v>739</v>
      </c>
      <c r="C923" s="9" t="s">
        <v>735</v>
      </c>
    </row>
    <row r="924" customFormat="false" ht="15" hidden="false" customHeight="false" outlineLevel="0" collapsed="false">
      <c r="A924" s="12" t="s">
        <v>704</v>
      </c>
      <c r="B924" s="12" t="n">
        <f aca="false">COUNTIFS(Cleaned!$D$2:$D$125,1,Cleaned!AV$2:AV$125,"&lt;&gt;")</f>
        <v>5</v>
      </c>
      <c r="C924" s="15" t="n">
        <f aca="false">IF(B924=0,"",AVERAGEIF(Cleaned!$D$2:$D$125,1,Cleaned!AV$2:AV$125))</f>
        <v>2022.2</v>
      </c>
    </row>
    <row r="925" customFormat="false" ht="15" hidden="false" customHeight="false" outlineLevel="0" collapsed="false">
      <c r="A925" s="12" t="s">
        <v>705</v>
      </c>
      <c r="B925" s="12" t="n">
        <f aca="false">COUNTIFS(Cleaned!$D$2:$D$125,2,Cleaned!AV$2:AV$125,"&lt;&gt;")</f>
        <v>10</v>
      </c>
      <c r="C925" s="15" t="n">
        <f aca="false">IF(B925=0,"",AVERAGEIF(Cleaned!$D$2:$D$125,2,Cleaned!AV$2:AV$125))</f>
        <v>1819</v>
      </c>
    </row>
    <row r="926" customFormat="false" ht="15" hidden="false" customHeight="false" outlineLevel="0" collapsed="false">
      <c r="A926" s="12" t="s">
        <v>706</v>
      </c>
      <c r="B926" s="12" t="n">
        <f aca="false">COUNTIFS(Cleaned!$D$2:$D$125,3,Cleaned!AV$2:AV$125,"&lt;&gt;")</f>
        <v>5</v>
      </c>
      <c r="C926" s="15" t="n">
        <f aca="false">IF(B926=0,"",AVERAGEIF(Cleaned!$D$2:$D$125,3,Cleaned!AV$2:AV$125))</f>
        <v>2021.4</v>
      </c>
    </row>
    <row r="927" customFormat="false" ht="15" hidden="false" customHeight="false" outlineLevel="0" collapsed="false">
      <c r="A927" s="12" t="s">
        <v>707</v>
      </c>
      <c r="B927" s="12" t="n">
        <f aca="false">COUNTIFS(Cleaned!$D$2:$D$125,4,Cleaned!AV$2:AV$125,"&lt;&gt;")</f>
        <v>4</v>
      </c>
      <c r="C927" s="15" t="n">
        <f aca="false">IF(B927=0,"",AVERAGEIF(Cleaned!$D$2:$D$125,4,Cleaned!AV$2:AV$125))</f>
        <v>2019.5</v>
      </c>
    </row>
    <row r="928" customFormat="false" ht="15" hidden="false" customHeight="false" outlineLevel="0" collapsed="false">
      <c r="A928" s="12" t="s">
        <v>708</v>
      </c>
      <c r="B928" s="12" t="n">
        <f aca="false">COUNTIFS(Cleaned!$D$2:$D$125,5,Cleaned!AV$2:AV$125,"&lt;&gt;")</f>
        <v>1</v>
      </c>
      <c r="C928" s="15" t="n">
        <f aca="false">IF(B928=0,"",AVERAGEIF(Cleaned!$D$2:$D$125,5,Cleaned!AV$2:AV$125))</f>
        <v>2017</v>
      </c>
    </row>
    <row r="929" customFormat="false" ht="15" hidden="false" customHeight="false" outlineLevel="0" collapsed="false">
      <c r="A929" s="12" t="s">
        <v>709</v>
      </c>
      <c r="B929" s="12" t="n">
        <f aca="false">COUNTIFS(Cleaned!$D$2:$D$125,6,Cleaned!AV$2:AV$125,"&lt;&gt;")</f>
        <v>1</v>
      </c>
      <c r="C929" s="15" t="n">
        <f aca="false">IF(B929=0,"",AVERAGEIF(Cleaned!$D$2:$D$125,6,Cleaned!AV$2:AV$125))</f>
        <v>2007</v>
      </c>
    </row>
    <row r="930" customFormat="false" ht="15" hidden="false" customHeight="false" outlineLevel="0" collapsed="false">
      <c r="A930" s="12" t="s">
        <v>710</v>
      </c>
      <c r="B930" s="12" t="n">
        <f aca="false">COUNTIFS(Cleaned!$D$2:$D$125,7,Cleaned!AV$2:AV$125,"&lt;&gt;")</f>
        <v>6</v>
      </c>
      <c r="C930" s="15" t="n">
        <f aca="false">IF(B930=0,"",AVERAGEIF(Cleaned!$D$2:$D$125,7,Cleaned!AV$2:AV$125))</f>
        <v>2013.83333333333</v>
      </c>
    </row>
    <row r="931" customFormat="false" ht="15" hidden="false" customHeight="false" outlineLevel="0" collapsed="false">
      <c r="A931" s="12" t="s">
        <v>711</v>
      </c>
      <c r="B931" s="12" t="n">
        <f aca="false">COUNTIFS(Cleaned!$D$2:$D$125,8,Cleaned!AV$2:AV$125,"&lt;&gt;")</f>
        <v>1</v>
      </c>
      <c r="C931" s="15" t="n">
        <f aca="false">IF(B931=0,"",AVERAGEIF(Cleaned!$D$2:$D$125,8,Cleaned!AV$2:AV$125))</f>
        <v>2021</v>
      </c>
    </row>
    <row r="932" customFormat="false" ht="15" hidden="false" customHeight="false" outlineLevel="0" collapsed="false">
      <c r="A932" s="12" t="s">
        <v>712</v>
      </c>
      <c r="B932" s="12" t="n">
        <f aca="false">COUNTIFS(Cleaned!$D$2:$D$125,9,Cleaned!AV$2:AV$125,"&lt;&gt;")</f>
        <v>0</v>
      </c>
      <c r="C932" s="15" t="str">
        <f aca="false">IF(B932=0,"",AVERAGEIF(Cleaned!$D$2:$D$125,9,Cleaned!AV$2:AV$125))</f>
        <v/>
      </c>
    </row>
    <row r="933" customFormat="false" ht="15" hidden="false" customHeight="false" outlineLevel="0" collapsed="false">
      <c r="A933" s="12" t="s">
        <v>713</v>
      </c>
      <c r="B933" s="12" t="n">
        <f aca="false">COUNTIFS(Cleaned!$D$2:$D$125,10,Cleaned!AV$2:AV$125,"&lt;&gt;")</f>
        <v>0</v>
      </c>
      <c r="C933" s="15" t="str">
        <f aca="false">IF(B933=0,"",AVERAGEIF(Cleaned!$D$2:$D$125,10,Cleaned!AV$2:AV$125))</f>
        <v/>
      </c>
    </row>
    <row r="934" customFormat="false" ht="15" hidden="false" customHeight="false" outlineLevel="0" collapsed="false">
      <c r="A934" s="12" t="s">
        <v>714</v>
      </c>
      <c r="B934" s="12" t="n">
        <f aca="false">COUNTIFS(Cleaned!$D$2:$D$125,11,Cleaned!AV$2:AV$125,"&lt;&gt;")</f>
        <v>5</v>
      </c>
      <c r="C934" s="15" t="n">
        <f aca="false">IF(B934=0,"",AVERAGEIF(Cleaned!$D$2:$D$125,11,Cleaned!AV$2:AV$125))</f>
        <v>2015.4</v>
      </c>
    </row>
    <row r="935" customFormat="false" ht="15" hidden="false" customHeight="false" outlineLevel="0" collapsed="false">
      <c r="A935" s="12" t="s">
        <v>715</v>
      </c>
      <c r="B935" s="12" t="n">
        <f aca="false">COUNTIFS(Cleaned!$D$2:$D$125,12,Cleaned!AV$2:AV$125,"&lt;&gt;")</f>
        <v>0</v>
      </c>
      <c r="C935" s="15" t="str">
        <f aca="false">IF(B935=0,"",AVERAGEIF(Cleaned!$D$2:$D$125,12,Cleaned!AV$2:AV$125))</f>
        <v/>
      </c>
    </row>
    <row r="938" customFormat="false" ht="15" hidden="false" customHeight="false" outlineLevel="0" collapsed="false">
      <c r="A938" s="6" t="s">
        <v>50</v>
      </c>
      <c r="B938" s="7" t="s">
        <v>768</v>
      </c>
    </row>
    <row r="939" customFormat="false" ht="15" hidden="false" customHeight="false" outlineLevel="0" collapsed="false">
      <c r="A939" s="8"/>
      <c r="B939" s="9" t="s">
        <v>726</v>
      </c>
      <c r="C939" s="8"/>
      <c r="D939" s="9" t="s">
        <v>362</v>
      </c>
      <c r="E939" s="8"/>
      <c r="F939" s="9" t="s">
        <v>694</v>
      </c>
    </row>
    <row r="940" customFormat="false" ht="15" hidden="false" customHeight="false" outlineLevel="0" collapsed="false">
      <c r="B940" s="10" t="s">
        <v>695</v>
      </c>
      <c r="C940" s="10" t="s">
        <v>696</v>
      </c>
      <c r="D940" s="10" t="s">
        <v>695</v>
      </c>
      <c r="E940" s="10" t="s">
        <v>696</v>
      </c>
    </row>
    <row r="941" customFormat="false" ht="15" hidden="false" customHeight="false" outlineLevel="0" collapsed="false">
      <c r="A941" s="11" t="s">
        <v>697</v>
      </c>
    </row>
    <row r="942" customFormat="false" ht="15" hidden="false" customHeight="false" outlineLevel="0" collapsed="false">
      <c r="A942" s="12" t="s">
        <v>698</v>
      </c>
      <c r="B942" s="12" t="n">
        <f aca="false">COUNTIFS(Cleaned!$C$2:$C$125,1,Cleaned!AY$2:AY$125,1)</f>
        <v>1</v>
      </c>
      <c r="C942" s="13" t="n">
        <f aca="false">IFERROR(B942/$F942,"")</f>
        <v>0.0909090909090909</v>
      </c>
      <c r="D942" s="12" t="n">
        <f aca="false">COUNTIFS(Cleaned!$C$2:$C$125,1,Cleaned!AY$2:AY$125,2)</f>
        <v>10</v>
      </c>
      <c r="E942" s="13" t="n">
        <f aca="false">IFERROR(D942/$F942,"")</f>
        <v>0.909090909090909</v>
      </c>
      <c r="F942" s="12" t="n">
        <f aca="false">B942+D942</f>
        <v>11</v>
      </c>
    </row>
    <row r="943" customFormat="false" ht="15" hidden="false" customHeight="false" outlineLevel="0" collapsed="false">
      <c r="A943" s="12" t="s">
        <v>699</v>
      </c>
      <c r="B943" s="12" t="n">
        <f aca="false">COUNTIFS(Cleaned!$C$2:$C$125,2,Cleaned!AY$2:AY$125,1)</f>
        <v>1</v>
      </c>
      <c r="C943" s="13" t="n">
        <f aca="false">IFERROR(B943/$F943,"")</f>
        <v>0.111111111111111</v>
      </c>
      <c r="D943" s="12" t="n">
        <f aca="false">COUNTIFS(Cleaned!$C$2:$C$125,2,Cleaned!AY$2:AY$125,2)</f>
        <v>8</v>
      </c>
      <c r="E943" s="13" t="n">
        <f aca="false">IFERROR(D943/$F943,"")</f>
        <v>0.888888888888889</v>
      </c>
      <c r="F943" s="12" t="n">
        <f aca="false">B943+D943</f>
        <v>9</v>
      </c>
    </row>
    <row r="944" customFormat="false" ht="15" hidden="false" customHeight="false" outlineLevel="0" collapsed="false">
      <c r="A944" s="12" t="s">
        <v>700</v>
      </c>
      <c r="B944" s="12" t="n">
        <f aca="false">COUNTIFS(Cleaned!$C$2:$C$125,3,Cleaned!AY$2:AY$125,1)</f>
        <v>3</v>
      </c>
      <c r="C944" s="13" t="n">
        <f aca="false">IFERROR(B944/$F944,"")</f>
        <v>0.230769230769231</v>
      </c>
      <c r="D944" s="12" t="n">
        <f aca="false">COUNTIFS(Cleaned!$C$2:$C$125,3,Cleaned!AY$2:AY$125,2)</f>
        <v>10</v>
      </c>
      <c r="E944" s="13" t="n">
        <f aca="false">IFERROR(D944/$F944,"")</f>
        <v>0.769230769230769</v>
      </c>
      <c r="F944" s="12" t="n">
        <f aca="false">B944+D944</f>
        <v>13</v>
      </c>
    </row>
    <row r="945" customFormat="false" ht="15" hidden="false" customHeight="false" outlineLevel="0" collapsed="false">
      <c r="A945" s="12" t="s">
        <v>701</v>
      </c>
      <c r="B945" s="12" t="n">
        <f aca="false">COUNTIFS(Cleaned!$C$2:$C$125,4,Cleaned!AY$2:AY$125,1)</f>
        <v>3</v>
      </c>
      <c r="C945" s="13" t="n">
        <f aca="false">IFERROR(B945/$F945,"")</f>
        <v>0.272727272727273</v>
      </c>
      <c r="D945" s="12" t="n">
        <f aca="false">COUNTIFS(Cleaned!$C$2:$C$125,4,Cleaned!AY$2:AY$125,2)</f>
        <v>8</v>
      </c>
      <c r="E945" s="13" t="n">
        <f aca="false">IFERROR(D945/$F945,"")</f>
        <v>0.727272727272727</v>
      </c>
      <c r="F945" s="12" t="n">
        <f aca="false">B945+D945</f>
        <v>11</v>
      </c>
    </row>
    <row r="946" customFormat="false" ht="15" hidden="false" customHeight="false" outlineLevel="0" collapsed="false">
      <c r="A946" s="12" t="s">
        <v>702</v>
      </c>
      <c r="B946" s="12" t="n">
        <f aca="false">COUNTIFS(Cleaned!$C$2:$C$125,5,Cleaned!AY$2:AY$125,1)</f>
        <v>4</v>
      </c>
      <c r="C946" s="13" t="n">
        <f aca="false">IFERROR(B946/$F946,"")</f>
        <v>0.2</v>
      </c>
      <c r="D946" s="12" t="n">
        <f aca="false">COUNTIFS(Cleaned!$C$2:$C$125,5,Cleaned!AY$2:AY$125,2)</f>
        <v>16</v>
      </c>
      <c r="E946" s="13" t="n">
        <f aca="false">IFERROR(D946/$F946,"")</f>
        <v>0.8</v>
      </c>
      <c r="F946" s="12" t="n">
        <f aca="false">B946+D946</f>
        <v>20</v>
      </c>
    </row>
    <row r="947" customFormat="false" ht="15" hidden="false" customHeight="false" outlineLevel="0" collapsed="false">
      <c r="A947" s="11" t="s">
        <v>703</v>
      </c>
      <c r="B947" s="11" t="n">
        <f aca="false">SUM(B942:B946)</f>
        <v>12</v>
      </c>
      <c r="C947" s="14" t="n">
        <f aca="false">IFERROR(B947/$F947,"")</f>
        <v>0.1875</v>
      </c>
      <c r="D947" s="11" t="n">
        <f aca="false">SUM(D942:D946)</f>
        <v>52</v>
      </c>
      <c r="E947" s="14" t="n">
        <f aca="false">IFERROR(D947/$F947,"")</f>
        <v>0.8125</v>
      </c>
      <c r="F947" s="11" t="n">
        <f aca="false">SUM(F942:F946)</f>
        <v>64</v>
      </c>
    </row>
    <row r="948" customFormat="false" ht="15" hidden="false" customHeight="false" outlineLevel="0" collapsed="false">
      <c r="A948" s="11" t="s">
        <v>3</v>
      </c>
    </row>
    <row r="949" customFormat="false" ht="15" hidden="false" customHeight="false" outlineLevel="0" collapsed="false">
      <c r="A949" s="12" t="s">
        <v>704</v>
      </c>
      <c r="B949" s="12" t="n">
        <f aca="false">COUNTIFS(Cleaned!$D$2:$D$125,1,Cleaned!AY$2:AY$125,1)</f>
        <v>2</v>
      </c>
      <c r="C949" s="13" t="n">
        <f aca="false">IFERROR(B949/$F949,"")</f>
        <v>0.222222222222222</v>
      </c>
      <c r="D949" s="12" t="n">
        <f aca="false">COUNTIFS(Cleaned!$D$2:$D$125,1,Cleaned!AY$2:AY$125,2)</f>
        <v>7</v>
      </c>
      <c r="E949" s="13" t="n">
        <f aca="false">IFERROR(D949/$F949,"")</f>
        <v>0.777777777777778</v>
      </c>
      <c r="F949" s="12" t="n">
        <f aca="false">B949+D949</f>
        <v>9</v>
      </c>
    </row>
    <row r="950" customFormat="false" ht="15" hidden="false" customHeight="false" outlineLevel="0" collapsed="false">
      <c r="A950" s="12" t="s">
        <v>705</v>
      </c>
      <c r="B950" s="12" t="n">
        <f aca="false">COUNTIFS(Cleaned!$D$2:$D$125,2,Cleaned!AY$2:AY$125,1)</f>
        <v>4</v>
      </c>
      <c r="C950" s="13" t="n">
        <f aca="false">IFERROR(B950/$F950,"")</f>
        <v>0.307692307692308</v>
      </c>
      <c r="D950" s="12" t="n">
        <f aca="false">COUNTIFS(Cleaned!$D$2:$D$125,2,Cleaned!AY$2:AY$125,2)</f>
        <v>9</v>
      </c>
      <c r="E950" s="13" t="n">
        <f aca="false">IFERROR(D950/$F950,"")</f>
        <v>0.692307692307692</v>
      </c>
      <c r="F950" s="12" t="n">
        <f aca="false">B950+D950</f>
        <v>13</v>
      </c>
    </row>
    <row r="951" customFormat="false" ht="15" hidden="false" customHeight="false" outlineLevel="0" collapsed="false">
      <c r="A951" s="12" t="s">
        <v>706</v>
      </c>
      <c r="B951" s="12" t="n">
        <f aca="false">COUNTIFS(Cleaned!$D$2:$D$125,3,Cleaned!AY$2:AY$125,1)</f>
        <v>2</v>
      </c>
      <c r="C951" s="13" t="n">
        <f aca="false">IFERROR(B951/$F951,"")</f>
        <v>0.222222222222222</v>
      </c>
      <c r="D951" s="12" t="n">
        <f aca="false">COUNTIFS(Cleaned!$D$2:$D$125,3,Cleaned!AY$2:AY$125,2)</f>
        <v>7</v>
      </c>
      <c r="E951" s="13" t="n">
        <f aca="false">IFERROR(D951/$F951,"")</f>
        <v>0.777777777777778</v>
      </c>
      <c r="F951" s="12" t="n">
        <f aca="false">B951+D951</f>
        <v>9</v>
      </c>
    </row>
    <row r="952" customFormat="false" ht="15" hidden="false" customHeight="false" outlineLevel="0" collapsed="false">
      <c r="A952" s="12" t="s">
        <v>707</v>
      </c>
      <c r="B952" s="12" t="n">
        <f aca="false">COUNTIFS(Cleaned!$D$2:$D$125,4,Cleaned!AY$2:AY$125,1)</f>
        <v>1</v>
      </c>
      <c r="C952" s="13" t="n">
        <f aca="false">IFERROR(B952/$F952,"")</f>
        <v>0.166666666666667</v>
      </c>
      <c r="D952" s="12" t="n">
        <f aca="false">COUNTIFS(Cleaned!$D$2:$D$125,4,Cleaned!AY$2:AY$125,2)</f>
        <v>5</v>
      </c>
      <c r="E952" s="13" t="n">
        <f aca="false">IFERROR(D952/$F952,"")</f>
        <v>0.833333333333333</v>
      </c>
      <c r="F952" s="12" t="n">
        <f aca="false">B952+D952</f>
        <v>6</v>
      </c>
    </row>
    <row r="953" customFormat="false" ht="15" hidden="false" customHeight="false" outlineLevel="0" collapsed="false">
      <c r="A953" s="12" t="s">
        <v>708</v>
      </c>
      <c r="B953" s="12" t="n">
        <f aca="false">COUNTIFS(Cleaned!$D$2:$D$125,5,Cleaned!AY$2:AY$125,1)</f>
        <v>0</v>
      </c>
      <c r="C953" s="13" t="n">
        <f aca="false">IFERROR(B953/$F953,"")</f>
        <v>0</v>
      </c>
      <c r="D953" s="12" t="n">
        <f aca="false">COUNTIFS(Cleaned!$D$2:$D$125,5,Cleaned!AY$2:AY$125,2)</f>
        <v>1</v>
      </c>
      <c r="E953" s="13" t="n">
        <f aca="false">IFERROR(D953/$F953,"")</f>
        <v>1</v>
      </c>
      <c r="F953" s="12" t="n">
        <f aca="false">B953+D953</f>
        <v>1</v>
      </c>
    </row>
    <row r="954" customFormat="false" ht="15" hidden="false" customHeight="false" outlineLevel="0" collapsed="false">
      <c r="A954" s="12" t="s">
        <v>709</v>
      </c>
      <c r="B954" s="12" t="n">
        <f aca="false">COUNTIFS(Cleaned!$D$2:$D$125,6,Cleaned!AY$2:AY$125,1)</f>
        <v>0</v>
      </c>
      <c r="C954" s="13" t="n">
        <f aca="false">IFERROR(B954/$F954,"")</f>
        <v>0</v>
      </c>
      <c r="D954" s="12" t="n">
        <f aca="false">COUNTIFS(Cleaned!$D$2:$D$125,6,Cleaned!AY$2:AY$125,2)</f>
        <v>2</v>
      </c>
      <c r="E954" s="13" t="n">
        <f aca="false">IFERROR(D954/$F954,"")</f>
        <v>1</v>
      </c>
      <c r="F954" s="12" t="n">
        <f aca="false">B954+D954</f>
        <v>2</v>
      </c>
    </row>
    <row r="955" customFormat="false" ht="15" hidden="false" customHeight="false" outlineLevel="0" collapsed="false">
      <c r="A955" s="12" t="s">
        <v>710</v>
      </c>
      <c r="B955" s="12" t="n">
        <f aca="false">COUNTIFS(Cleaned!$D$2:$D$125,7,Cleaned!AY$2:AY$125,1)</f>
        <v>0</v>
      </c>
      <c r="C955" s="13" t="n">
        <f aca="false">IFERROR(B955/$F955,"")</f>
        <v>0</v>
      </c>
      <c r="D955" s="12" t="n">
        <f aca="false">COUNTIFS(Cleaned!$D$2:$D$125,7,Cleaned!AY$2:AY$125,2)</f>
        <v>8</v>
      </c>
      <c r="E955" s="13" t="n">
        <f aca="false">IFERROR(D955/$F955,"")</f>
        <v>1</v>
      </c>
      <c r="F955" s="12" t="n">
        <f aca="false">B955+D955</f>
        <v>8</v>
      </c>
    </row>
    <row r="956" customFormat="false" ht="15" hidden="false" customHeight="false" outlineLevel="0" collapsed="false">
      <c r="A956" s="12" t="s">
        <v>711</v>
      </c>
      <c r="B956" s="12" t="n">
        <f aca="false">COUNTIFS(Cleaned!$D$2:$D$125,8,Cleaned!AY$2:AY$125,1)</f>
        <v>0</v>
      </c>
      <c r="C956" s="13" t="n">
        <f aca="false">IFERROR(B956/$F956,"")</f>
        <v>0</v>
      </c>
      <c r="D956" s="12" t="n">
        <f aca="false">COUNTIFS(Cleaned!$D$2:$D$125,8,Cleaned!AY$2:AY$125,2)</f>
        <v>4</v>
      </c>
      <c r="E956" s="13" t="n">
        <f aca="false">IFERROR(D956/$F956,"")</f>
        <v>1</v>
      </c>
      <c r="F956" s="12" t="n">
        <f aca="false">B956+D956</f>
        <v>4</v>
      </c>
    </row>
    <row r="957" customFormat="false" ht="15" hidden="false" customHeight="false" outlineLevel="0" collapsed="false">
      <c r="A957" s="12" t="s">
        <v>712</v>
      </c>
      <c r="B957" s="12" t="n">
        <f aca="false">COUNTIFS(Cleaned!$D$2:$D$125,9,Cleaned!AY$2:AY$125,1)</f>
        <v>2</v>
      </c>
      <c r="C957" s="13" t="n">
        <f aca="false">IFERROR(B957/$F957,"")</f>
        <v>1</v>
      </c>
      <c r="D957" s="12" t="n">
        <f aca="false">COUNTIFS(Cleaned!$D$2:$D$125,9,Cleaned!AY$2:AY$125,2)</f>
        <v>0</v>
      </c>
      <c r="E957" s="13" t="n">
        <f aca="false">IFERROR(D957/$F957,"")</f>
        <v>0</v>
      </c>
      <c r="F957" s="12" t="n">
        <f aca="false">B957+D957</f>
        <v>2</v>
      </c>
    </row>
    <row r="958" customFormat="false" ht="15" hidden="false" customHeight="false" outlineLevel="0" collapsed="false">
      <c r="A958" s="12" t="s">
        <v>713</v>
      </c>
      <c r="B958" s="12" t="n">
        <f aca="false">COUNTIFS(Cleaned!$D$2:$D$125,10,Cleaned!AY$2:AY$125,1)</f>
        <v>0</v>
      </c>
      <c r="C958" s="13" t="str">
        <f aca="false">IFERROR(B958/$F958,"")</f>
        <v/>
      </c>
      <c r="D958" s="12" t="n">
        <f aca="false">COUNTIFS(Cleaned!$D$2:$D$125,10,Cleaned!AY$2:AY$125,2)</f>
        <v>0</v>
      </c>
      <c r="E958" s="13" t="str">
        <f aca="false">IFERROR(D958/$F958,"")</f>
        <v/>
      </c>
      <c r="F958" s="12" t="n">
        <f aca="false">B958+D958</f>
        <v>0</v>
      </c>
    </row>
    <row r="959" customFormat="false" ht="15" hidden="false" customHeight="false" outlineLevel="0" collapsed="false">
      <c r="A959" s="12" t="s">
        <v>714</v>
      </c>
      <c r="B959" s="12" t="n">
        <f aca="false">COUNTIFS(Cleaned!$D$2:$D$125,11,Cleaned!AY$2:AY$125,1)</f>
        <v>1</v>
      </c>
      <c r="C959" s="13" t="n">
        <f aca="false">IFERROR(B959/$F959,"")</f>
        <v>0.166666666666667</v>
      </c>
      <c r="D959" s="12" t="n">
        <f aca="false">COUNTIFS(Cleaned!$D$2:$D$125,11,Cleaned!AY$2:AY$125,2)</f>
        <v>5</v>
      </c>
      <c r="E959" s="13" t="n">
        <f aca="false">IFERROR(D959/$F959,"")</f>
        <v>0.833333333333333</v>
      </c>
      <c r="F959" s="12" t="n">
        <f aca="false">B959+D959</f>
        <v>6</v>
      </c>
    </row>
    <row r="960" customFormat="false" ht="15" hidden="false" customHeight="false" outlineLevel="0" collapsed="false">
      <c r="A960" s="12" t="s">
        <v>715</v>
      </c>
      <c r="B960" s="12" t="n">
        <f aca="false">COUNTIFS(Cleaned!$D$2:$D$125,12,Cleaned!AY$2:AY$125,1)</f>
        <v>0</v>
      </c>
      <c r="C960" s="13" t="n">
        <f aca="false">IFERROR(B960/$F960,"")</f>
        <v>0</v>
      </c>
      <c r="D960" s="12" t="n">
        <f aca="false">COUNTIFS(Cleaned!$D$2:$D$125,12,Cleaned!AY$2:AY$125,2)</f>
        <v>4</v>
      </c>
      <c r="E960" s="13" t="n">
        <f aca="false">IFERROR(D960/$F960,"")</f>
        <v>1</v>
      </c>
      <c r="F960" s="12" t="n">
        <f aca="false">B960+D960</f>
        <v>4</v>
      </c>
    </row>
    <row r="961" customFormat="false" ht="15" hidden="false" customHeight="false" outlineLevel="0" collapsed="false">
      <c r="A961" s="11" t="s">
        <v>716</v>
      </c>
      <c r="B961" s="11" t="n">
        <f aca="false">SUM(B949:B960)</f>
        <v>12</v>
      </c>
      <c r="C961" s="14" t="n">
        <f aca="false">IFERROR(B961/$F961,"")</f>
        <v>0.1875</v>
      </c>
      <c r="D961" s="11" t="n">
        <f aca="false">SUM(D949:D960)</f>
        <v>52</v>
      </c>
      <c r="E961" s="14" t="n">
        <f aca="false">IFERROR(D961/$F961,"")</f>
        <v>0.8125</v>
      </c>
      <c r="F961" s="11" t="n">
        <f aca="false">SUM(F949:F960)</f>
        <v>64</v>
      </c>
    </row>
    <row r="964" customFormat="false" ht="15" hidden="false" customHeight="false" outlineLevel="0" collapsed="false">
      <c r="A964" s="6" t="s">
        <v>51</v>
      </c>
      <c r="B964" s="7" t="s">
        <v>769</v>
      </c>
    </row>
    <row r="965" customFormat="false" ht="15" hidden="false" customHeight="false" outlineLevel="0" collapsed="false">
      <c r="A965" s="8"/>
      <c r="B965" s="9" t="s">
        <v>770</v>
      </c>
      <c r="C965" s="8"/>
      <c r="D965" s="9" t="s">
        <v>771</v>
      </c>
      <c r="E965" s="8"/>
      <c r="F965" s="9" t="s">
        <v>772</v>
      </c>
      <c r="G965" s="8"/>
      <c r="H965" s="9" t="s">
        <v>693</v>
      </c>
      <c r="I965" s="8"/>
      <c r="J965" s="9" t="s">
        <v>694</v>
      </c>
    </row>
    <row r="966" customFormat="false" ht="15" hidden="false" customHeight="false" outlineLevel="0" collapsed="false">
      <c r="B966" s="10" t="s">
        <v>695</v>
      </c>
      <c r="C966" s="10" t="s">
        <v>696</v>
      </c>
      <c r="D966" s="10" t="s">
        <v>695</v>
      </c>
      <c r="E966" s="10" t="s">
        <v>696</v>
      </c>
      <c r="F966" s="10" t="s">
        <v>695</v>
      </c>
      <c r="G966" s="10" t="s">
        <v>696</v>
      </c>
      <c r="H966" s="10" t="s">
        <v>695</v>
      </c>
      <c r="I966" s="10" t="s">
        <v>696</v>
      </c>
    </row>
    <row r="967" customFormat="false" ht="15" hidden="false" customHeight="false" outlineLevel="0" collapsed="false">
      <c r="A967" s="11" t="s">
        <v>697</v>
      </c>
    </row>
    <row r="968" customFormat="false" ht="15" hidden="false" customHeight="false" outlineLevel="0" collapsed="false">
      <c r="A968" s="12" t="s">
        <v>698</v>
      </c>
      <c r="B968" s="12" t="n">
        <f aca="false">COUNTIFS(Cleaned!$C$2:$C$125,1,Cleaned!AZ$2:AZ$125,1)</f>
        <v>0</v>
      </c>
      <c r="C968" s="13" t="n">
        <f aca="false">IFERROR(B968/$J968,"")</f>
        <v>0</v>
      </c>
      <c r="D968" s="12" t="n">
        <f aca="false">COUNTIFS(Cleaned!$C$2:$C$125,1,Cleaned!AZ$2:AZ$125,2)</f>
        <v>6</v>
      </c>
      <c r="E968" s="13" t="n">
        <f aca="false">IFERROR(D968/$J968,"")</f>
        <v>0.5</v>
      </c>
      <c r="F968" s="12" t="n">
        <f aca="false">COUNTIFS(Cleaned!$C$2:$C$125,1,Cleaned!AZ$2:AZ$125,3)</f>
        <v>2</v>
      </c>
      <c r="G968" s="13" t="n">
        <f aca="false">IFERROR(F968/$J968,"")</f>
        <v>0.166666666666667</v>
      </c>
      <c r="H968" s="12" t="n">
        <f aca="false">COUNTIFS(Cleaned!$C$2:$C$125,1,Cleaned!AZ$2:AZ$125,4)</f>
        <v>4</v>
      </c>
      <c r="I968" s="13" t="n">
        <f aca="false">IFERROR(H968/$J968,"")</f>
        <v>0.333333333333333</v>
      </c>
      <c r="J968" s="12" t="n">
        <f aca="false">B968+D968+F968+H968</f>
        <v>12</v>
      </c>
    </row>
    <row r="969" customFormat="false" ht="15" hidden="false" customHeight="false" outlineLevel="0" collapsed="false">
      <c r="A969" s="12" t="s">
        <v>699</v>
      </c>
      <c r="B969" s="12" t="n">
        <f aca="false">COUNTIFS(Cleaned!$C$2:$C$125,2,Cleaned!AZ$2:AZ$125,1)</f>
        <v>3</v>
      </c>
      <c r="C969" s="13" t="n">
        <f aca="false">IFERROR(B969/$J969,"")</f>
        <v>0.333333333333333</v>
      </c>
      <c r="D969" s="12" t="n">
        <f aca="false">COUNTIFS(Cleaned!$C$2:$C$125,2,Cleaned!AZ$2:AZ$125,2)</f>
        <v>3</v>
      </c>
      <c r="E969" s="13" t="n">
        <f aca="false">IFERROR(D969/$J969,"")</f>
        <v>0.333333333333333</v>
      </c>
      <c r="F969" s="12" t="n">
        <f aca="false">COUNTIFS(Cleaned!$C$2:$C$125,2,Cleaned!AZ$2:AZ$125,3)</f>
        <v>0</v>
      </c>
      <c r="G969" s="13" t="n">
        <f aca="false">IFERROR(F969/$J969,"")</f>
        <v>0</v>
      </c>
      <c r="H969" s="12" t="n">
        <f aca="false">COUNTIFS(Cleaned!$C$2:$C$125,2,Cleaned!AZ$2:AZ$125,4)</f>
        <v>3</v>
      </c>
      <c r="I969" s="13" t="n">
        <f aca="false">IFERROR(H969/$J969,"")</f>
        <v>0.333333333333333</v>
      </c>
      <c r="J969" s="12" t="n">
        <f aca="false">B969+D969+F969+H969</f>
        <v>9</v>
      </c>
    </row>
    <row r="970" customFormat="false" ht="15" hidden="false" customHeight="false" outlineLevel="0" collapsed="false">
      <c r="A970" s="12" t="s">
        <v>700</v>
      </c>
      <c r="B970" s="12" t="n">
        <f aca="false">COUNTIFS(Cleaned!$C$2:$C$125,3,Cleaned!AZ$2:AZ$125,1)</f>
        <v>0</v>
      </c>
      <c r="C970" s="13" t="n">
        <f aca="false">IFERROR(B970/$J970,"")</f>
        <v>0</v>
      </c>
      <c r="D970" s="12" t="n">
        <f aca="false">COUNTIFS(Cleaned!$C$2:$C$125,3,Cleaned!AZ$2:AZ$125,2)</f>
        <v>2</v>
      </c>
      <c r="E970" s="13" t="n">
        <f aca="false">IFERROR(D970/$J970,"")</f>
        <v>0.153846153846154</v>
      </c>
      <c r="F970" s="12" t="n">
        <f aca="false">COUNTIFS(Cleaned!$C$2:$C$125,3,Cleaned!AZ$2:AZ$125,3)</f>
        <v>0</v>
      </c>
      <c r="G970" s="13" t="n">
        <f aca="false">IFERROR(F970/$J970,"")</f>
        <v>0</v>
      </c>
      <c r="H970" s="12" t="n">
        <f aca="false">COUNTIFS(Cleaned!$C$2:$C$125,3,Cleaned!AZ$2:AZ$125,4)</f>
        <v>11</v>
      </c>
      <c r="I970" s="13" t="n">
        <f aca="false">IFERROR(H970/$J970,"")</f>
        <v>0.846153846153846</v>
      </c>
      <c r="J970" s="12" t="n">
        <f aca="false">B970+D970+F970+H970</f>
        <v>13</v>
      </c>
    </row>
    <row r="971" customFormat="false" ht="15" hidden="false" customHeight="false" outlineLevel="0" collapsed="false">
      <c r="A971" s="12" t="s">
        <v>701</v>
      </c>
      <c r="B971" s="12" t="n">
        <f aca="false">COUNTIFS(Cleaned!$C$2:$C$125,4,Cleaned!AZ$2:AZ$125,1)</f>
        <v>1</v>
      </c>
      <c r="C971" s="13" t="n">
        <f aca="false">IFERROR(B971/$J971,"")</f>
        <v>0.1</v>
      </c>
      <c r="D971" s="12" t="n">
        <f aca="false">COUNTIFS(Cleaned!$C$2:$C$125,4,Cleaned!AZ$2:AZ$125,2)</f>
        <v>6</v>
      </c>
      <c r="E971" s="13" t="n">
        <f aca="false">IFERROR(D971/$J971,"")</f>
        <v>0.6</v>
      </c>
      <c r="F971" s="12" t="n">
        <f aca="false">COUNTIFS(Cleaned!$C$2:$C$125,4,Cleaned!AZ$2:AZ$125,3)</f>
        <v>0</v>
      </c>
      <c r="G971" s="13" t="n">
        <f aca="false">IFERROR(F971/$J971,"")</f>
        <v>0</v>
      </c>
      <c r="H971" s="12" t="n">
        <f aca="false">COUNTIFS(Cleaned!$C$2:$C$125,4,Cleaned!AZ$2:AZ$125,4)</f>
        <v>3</v>
      </c>
      <c r="I971" s="13" t="n">
        <f aca="false">IFERROR(H971/$J971,"")</f>
        <v>0.3</v>
      </c>
      <c r="J971" s="12" t="n">
        <f aca="false">B971+D971+F971+H971</f>
        <v>10</v>
      </c>
    </row>
    <row r="972" customFormat="false" ht="15" hidden="false" customHeight="false" outlineLevel="0" collapsed="false">
      <c r="A972" s="12" t="s">
        <v>702</v>
      </c>
      <c r="B972" s="12" t="n">
        <f aca="false">COUNTIFS(Cleaned!$C$2:$C$125,5,Cleaned!AZ$2:AZ$125,1)</f>
        <v>4</v>
      </c>
      <c r="C972" s="13" t="n">
        <f aca="false">IFERROR(B972/$J972,"")</f>
        <v>0.19047619047619</v>
      </c>
      <c r="D972" s="12" t="n">
        <f aca="false">COUNTIFS(Cleaned!$C$2:$C$125,5,Cleaned!AZ$2:AZ$125,2)</f>
        <v>8</v>
      </c>
      <c r="E972" s="13" t="n">
        <f aca="false">IFERROR(D972/$J972,"")</f>
        <v>0.380952380952381</v>
      </c>
      <c r="F972" s="12" t="n">
        <f aca="false">COUNTIFS(Cleaned!$C$2:$C$125,5,Cleaned!AZ$2:AZ$125,3)</f>
        <v>0</v>
      </c>
      <c r="G972" s="13" t="n">
        <f aca="false">IFERROR(F972/$J972,"")</f>
        <v>0</v>
      </c>
      <c r="H972" s="12" t="n">
        <f aca="false">COUNTIFS(Cleaned!$C$2:$C$125,5,Cleaned!AZ$2:AZ$125,4)</f>
        <v>9</v>
      </c>
      <c r="I972" s="13" t="n">
        <f aca="false">IFERROR(H972/$J972,"")</f>
        <v>0.428571428571429</v>
      </c>
      <c r="J972" s="12" t="n">
        <f aca="false">B972+D972+F972+H972</f>
        <v>21</v>
      </c>
    </row>
    <row r="973" customFormat="false" ht="15" hidden="false" customHeight="false" outlineLevel="0" collapsed="false">
      <c r="A973" s="11" t="s">
        <v>703</v>
      </c>
      <c r="B973" s="11" t="n">
        <f aca="false">SUM(B968:B972)</f>
        <v>8</v>
      </c>
      <c r="C973" s="14" t="n">
        <f aca="false">IFERROR(B973/$J973,"")</f>
        <v>0.123076923076923</v>
      </c>
      <c r="D973" s="11" t="n">
        <f aca="false">SUM(D968:D972)</f>
        <v>25</v>
      </c>
      <c r="E973" s="14" t="n">
        <f aca="false">IFERROR(D973/$J973,"")</f>
        <v>0.384615384615385</v>
      </c>
      <c r="F973" s="11" t="n">
        <f aca="false">SUM(F968:F972)</f>
        <v>2</v>
      </c>
      <c r="G973" s="14" t="n">
        <f aca="false">IFERROR(F973/$J973,"")</f>
        <v>0.0307692307692308</v>
      </c>
      <c r="H973" s="11" t="n">
        <f aca="false">SUM(H968:H972)</f>
        <v>30</v>
      </c>
      <c r="I973" s="14" t="n">
        <f aca="false">IFERROR(H973/$J973,"")</f>
        <v>0.461538461538462</v>
      </c>
      <c r="J973" s="11" t="n">
        <f aca="false">SUM(J968:J972)</f>
        <v>65</v>
      </c>
    </row>
    <row r="974" customFormat="false" ht="15" hidden="false" customHeight="false" outlineLevel="0" collapsed="false">
      <c r="A974" s="11" t="s">
        <v>3</v>
      </c>
    </row>
    <row r="975" customFormat="false" ht="15" hidden="false" customHeight="false" outlineLevel="0" collapsed="false">
      <c r="A975" s="12" t="s">
        <v>704</v>
      </c>
      <c r="B975" s="12" t="n">
        <f aca="false">COUNTIFS(Cleaned!$D$2:$D$125,1,Cleaned!AZ$2:AZ$125,1)</f>
        <v>0</v>
      </c>
      <c r="C975" s="13" t="n">
        <f aca="false">IFERROR(B975/$J975,"")</f>
        <v>0</v>
      </c>
      <c r="D975" s="12" t="n">
        <f aca="false">COUNTIFS(Cleaned!$D$2:$D$125,1,Cleaned!AZ$2:AZ$125,2)</f>
        <v>0</v>
      </c>
      <c r="E975" s="13" t="n">
        <f aca="false">IFERROR(D975/$J975,"")</f>
        <v>0</v>
      </c>
      <c r="F975" s="12" t="n">
        <f aca="false">COUNTIFS(Cleaned!$D$2:$D$125,1,Cleaned!AZ$2:AZ$125,3)</f>
        <v>1</v>
      </c>
      <c r="G975" s="13" t="n">
        <f aca="false">IFERROR(F975/$J975,"")</f>
        <v>0.111111111111111</v>
      </c>
      <c r="H975" s="12" t="n">
        <f aca="false">COUNTIFS(Cleaned!$D$2:$D$125,1,Cleaned!AZ$2:AZ$125,4)</f>
        <v>8</v>
      </c>
      <c r="I975" s="13" t="n">
        <f aca="false">IFERROR(H975/$J975,"")</f>
        <v>0.888888888888889</v>
      </c>
      <c r="J975" s="12" t="n">
        <f aca="false">B975+D975+F975+H975</f>
        <v>9</v>
      </c>
    </row>
    <row r="976" customFormat="false" ht="15" hidden="false" customHeight="false" outlineLevel="0" collapsed="false">
      <c r="A976" s="12" t="s">
        <v>705</v>
      </c>
      <c r="B976" s="12" t="n">
        <f aca="false">COUNTIFS(Cleaned!$D$2:$D$125,2,Cleaned!AZ$2:AZ$125,1)</f>
        <v>2</v>
      </c>
      <c r="C976" s="13" t="n">
        <f aca="false">IFERROR(B976/$J976,"")</f>
        <v>0.153846153846154</v>
      </c>
      <c r="D976" s="12" t="n">
        <f aca="false">COUNTIFS(Cleaned!$D$2:$D$125,2,Cleaned!AZ$2:AZ$125,2)</f>
        <v>5</v>
      </c>
      <c r="E976" s="13" t="n">
        <f aca="false">IFERROR(D976/$J976,"")</f>
        <v>0.384615384615385</v>
      </c>
      <c r="F976" s="12" t="n">
        <f aca="false">COUNTIFS(Cleaned!$D$2:$D$125,2,Cleaned!AZ$2:AZ$125,3)</f>
        <v>0</v>
      </c>
      <c r="G976" s="13" t="n">
        <f aca="false">IFERROR(F976/$J976,"")</f>
        <v>0</v>
      </c>
      <c r="H976" s="12" t="n">
        <f aca="false">COUNTIFS(Cleaned!$D$2:$D$125,2,Cleaned!AZ$2:AZ$125,4)</f>
        <v>6</v>
      </c>
      <c r="I976" s="13" t="n">
        <f aca="false">IFERROR(H976/$J976,"")</f>
        <v>0.461538461538462</v>
      </c>
      <c r="J976" s="12" t="n">
        <f aca="false">B976+D976+F976+H976</f>
        <v>13</v>
      </c>
    </row>
    <row r="977" customFormat="false" ht="15" hidden="false" customHeight="false" outlineLevel="0" collapsed="false">
      <c r="A977" s="12" t="s">
        <v>706</v>
      </c>
      <c r="B977" s="12" t="n">
        <f aca="false">COUNTIFS(Cleaned!$D$2:$D$125,3,Cleaned!AZ$2:AZ$125,1)</f>
        <v>3</v>
      </c>
      <c r="C977" s="13" t="n">
        <f aca="false">IFERROR(B977/$J977,"")</f>
        <v>0.333333333333333</v>
      </c>
      <c r="D977" s="12" t="n">
        <f aca="false">COUNTIFS(Cleaned!$D$2:$D$125,3,Cleaned!AZ$2:AZ$125,2)</f>
        <v>5</v>
      </c>
      <c r="E977" s="13" t="n">
        <f aca="false">IFERROR(D977/$J977,"")</f>
        <v>0.555555555555556</v>
      </c>
      <c r="F977" s="12" t="n">
        <f aca="false">COUNTIFS(Cleaned!$D$2:$D$125,3,Cleaned!AZ$2:AZ$125,3)</f>
        <v>0</v>
      </c>
      <c r="G977" s="13" t="n">
        <f aca="false">IFERROR(F977/$J977,"")</f>
        <v>0</v>
      </c>
      <c r="H977" s="12" t="n">
        <f aca="false">COUNTIFS(Cleaned!$D$2:$D$125,3,Cleaned!AZ$2:AZ$125,4)</f>
        <v>1</v>
      </c>
      <c r="I977" s="13" t="n">
        <f aca="false">IFERROR(H977/$J977,"")</f>
        <v>0.111111111111111</v>
      </c>
      <c r="J977" s="12" t="n">
        <f aca="false">B977+D977+F977+H977</f>
        <v>9</v>
      </c>
    </row>
    <row r="978" customFormat="false" ht="15" hidden="false" customHeight="false" outlineLevel="0" collapsed="false">
      <c r="A978" s="12" t="s">
        <v>707</v>
      </c>
      <c r="B978" s="12" t="n">
        <f aca="false">COUNTIFS(Cleaned!$D$2:$D$125,4,Cleaned!AZ$2:AZ$125,1)</f>
        <v>1</v>
      </c>
      <c r="C978" s="13" t="n">
        <f aca="false">IFERROR(B978/$J978,"")</f>
        <v>0.166666666666667</v>
      </c>
      <c r="D978" s="12" t="n">
        <f aca="false">COUNTIFS(Cleaned!$D$2:$D$125,4,Cleaned!AZ$2:AZ$125,2)</f>
        <v>4</v>
      </c>
      <c r="E978" s="13" t="n">
        <f aca="false">IFERROR(D978/$J978,"")</f>
        <v>0.666666666666667</v>
      </c>
      <c r="F978" s="12" t="n">
        <f aca="false">COUNTIFS(Cleaned!$D$2:$D$125,4,Cleaned!AZ$2:AZ$125,3)</f>
        <v>0</v>
      </c>
      <c r="G978" s="13" t="n">
        <f aca="false">IFERROR(F978/$J978,"")</f>
        <v>0</v>
      </c>
      <c r="H978" s="12" t="n">
        <f aca="false">COUNTIFS(Cleaned!$D$2:$D$125,4,Cleaned!AZ$2:AZ$125,4)</f>
        <v>1</v>
      </c>
      <c r="I978" s="13" t="n">
        <f aca="false">IFERROR(H978/$J978,"")</f>
        <v>0.166666666666667</v>
      </c>
      <c r="J978" s="12" t="n">
        <f aca="false">B978+D978+F978+H978</f>
        <v>6</v>
      </c>
    </row>
    <row r="979" customFormat="false" ht="15" hidden="false" customHeight="false" outlineLevel="0" collapsed="false">
      <c r="A979" s="12" t="s">
        <v>708</v>
      </c>
      <c r="B979" s="12" t="n">
        <f aca="false">COUNTIFS(Cleaned!$D$2:$D$125,5,Cleaned!AZ$2:AZ$125,1)</f>
        <v>0</v>
      </c>
      <c r="C979" s="13" t="n">
        <f aca="false">IFERROR(B979/$J979,"")</f>
        <v>0</v>
      </c>
      <c r="D979" s="12" t="n">
        <f aca="false">COUNTIFS(Cleaned!$D$2:$D$125,5,Cleaned!AZ$2:AZ$125,2)</f>
        <v>1</v>
      </c>
      <c r="E979" s="13" t="n">
        <f aca="false">IFERROR(D979/$J979,"")</f>
        <v>1</v>
      </c>
      <c r="F979" s="12" t="n">
        <f aca="false">COUNTIFS(Cleaned!$D$2:$D$125,5,Cleaned!AZ$2:AZ$125,3)</f>
        <v>0</v>
      </c>
      <c r="G979" s="13" t="n">
        <f aca="false">IFERROR(F979/$J979,"")</f>
        <v>0</v>
      </c>
      <c r="H979" s="12" t="n">
        <f aca="false">COUNTIFS(Cleaned!$D$2:$D$125,5,Cleaned!AZ$2:AZ$125,4)</f>
        <v>0</v>
      </c>
      <c r="I979" s="13" t="n">
        <f aca="false">IFERROR(H979/$J979,"")</f>
        <v>0</v>
      </c>
      <c r="J979" s="12" t="n">
        <f aca="false">B979+D979+F979+H979</f>
        <v>1</v>
      </c>
    </row>
    <row r="980" customFormat="false" ht="15" hidden="false" customHeight="false" outlineLevel="0" collapsed="false">
      <c r="A980" s="12" t="s">
        <v>709</v>
      </c>
      <c r="B980" s="12" t="n">
        <f aca="false">COUNTIFS(Cleaned!$D$2:$D$125,6,Cleaned!AZ$2:AZ$125,1)</f>
        <v>1</v>
      </c>
      <c r="C980" s="13" t="n">
        <f aca="false">IFERROR(B980/$J980,"")</f>
        <v>0.5</v>
      </c>
      <c r="D980" s="12" t="n">
        <f aca="false">COUNTIFS(Cleaned!$D$2:$D$125,6,Cleaned!AZ$2:AZ$125,2)</f>
        <v>1</v>
      </c>
      <c r="E980" s="13" t="n">
        <f aca="false">IFERROR(D980/$J980,"")</f>
        <v>0.5</v>
      </c>
      <c r="F980" s="12" t="n">
        <f aca="false">COUNTIFS(Cleaned!$D$2:$D$125,6,Cleaned!AZ$2:AZ$125,3)</f>
        <v>0</v>
      </c>
      <c r="G980" s="13" t="n">
        <f aca="false">IFERROR(F980/$J980,"")</f>
        <v>0</v>
      </c>
      <c r="H980" s="12" t="n">
        <f aca="false">COUNTIFS(Cleaned!$D$2:$D$125,6,Cleaned!AZ$2:AZ$125,4)</f>
        <v>0</v>
      </c>
      <c r="I980" s="13" t="n">
        <f aca="false">IFERROR(H980/$J980,"")</f>
        <v>0</v>
      </c>
      <c r="J980" s="12" t="n">
        <f aca="false">B980+D980+F980+H980</f>
        <v>2</v>
      </c>
    </row>
    <row r="981" customFormat="false" ht="15" hidden="false" customHeight="false" outlineLevel="0" collapsed="false">
      <c r="A981" s="12" t="s">
        <v>710</v>
      </c>
      <c r="B981" s="12" t="n">
        <f aca="false">COUNTIFS(Cleaned!$D$2:$D$125,7,Cleaned!AZ$2:AZ$125,1)</f>
        <v>0</v>
      </c>
      <c r="C981" s="13" t="n">
        <f aca="false">IFERROR(B981/$J981,"")</f>
        <v>0</v>
      </c>
      <c r="D981" s="12" t="n">
        <f aca="false">COUNTIFS(Cleaned!$D$2:$D$125,7,Cleaned!AZ$2:AZ$125,2)</f>
        <v>3</v>
      </c>
      <c r="E981" s="13" t="n">
        <f aca="false">IFERROR(D981/$J981,"")</f>
        <v>0.375</v>
      </c>
      <c r="F981" s="12" t="n">
        <f aca="false">COUNTIFS(Cleaned!$D$2:$D$125,7,Cleaned!AZ$2:AZ$125,3)</f>
        <v>0</v>
      </c>
      <c r="G981" s="13" t="n">
        <f aca="false">IFERROR(F981/$J981,"")</f>
        <v>0</v>
      </c>
      <c r="H981" s="12" t="n">
        <f aca="false">COUNTIFS(Cleaned!$D$2:$D$125,7,Cleaned!AZ$2:AZ$125,4)</f>
        <v>5</v>
      </c>
      <c r="I981" s="13" t="n">
        <f aca="false">IFERROR(H981/$J981,"")</f>
        <v>0.625</v>
      </c>
      <c r="J981" s="12" t="n">
        <f aca="false">B981+D981+F981+H981</f>
        <v>8</v>
      </c>
    </row>
    <row r="982" customFormat="false" ht="15" hidden="false" customHeight="false" outlineLevel="0" collapsed="false">
      <c r="A982" s="12" t="s">
        <v>711</v>
      </c>
      <c r="B982" s="12" t="n">
        <f aca="false">COUNTIFS(Cleaned!$D$2:$D$125,8,Cleaned!AZ$2:AZ$125,1)</f>
        <v>1</v>
      </c>
      <c r="C982" s="13" t="n">
        <f aca="false">IFERROR(B982/$J982,"")</f>
        <v>0.25</v>
      </c>
      <c r="D982" s="12" t="n">
        <f aca="false">COUNTIFS(Cleaned!$D$2:$D$125,8,Cleaned!AZ$2:AZ$125,2)</f>
        <v>1</v>
      </c>
      <c r="E982" s="13" t="n">
        <f aca="false">IFERROR(D982/$J982,"")</f>
        <v>0.25</v>
      </c>
      <c r="F982" s="12" t="n">
        <f aca="false">COUNTIFS(Cleaned!$D$2:$D$125,8,Cleaned!AZ$2:AZ$125,3)</f>
        <v>0</v>
      </c>
      <c r="G982" s="13" t="n">
        <f aca="false">IFERROR(F982/$J982,"")</f>
        <v>0</v>
      </c>
      <c r="H982" s="12" t="n">
        <f aca="false">COUNTIFS(Cleaned!$D$2:$D$125,8,Cleaned!AZ$2:AZ$125,4)</f>
        <v>2</v>
      </c>
      <c r="I982" s="13" t="n">
        <f aca="false">IFERROR(H982/$J982,"")</f>
        <v>0.5</v>
      </c>
      <c r="J982" s="12" t="n">
        <f aca="false">B982+D982+F982+H982</f>
        <v>4</v>
      </c>
    </row>
    <row r="983" customFormat="false" ht="15" hidden="false" customHeight="false" outlineLevel="0" collapsed="false">
      <c r="A983" s="12" t="s">
        <v>712</v>
      </c>
      <c r="B983" s="12" t="n">
        <f aca="false">COUNTIFS(Cleaned!$D$2:$D$125,9,Cleaned!AZ$2:AZ$125,1)</f>
        <v>0</v>
      </c>
      <c r="C983" s="13" t="n">
        <f aca="false">IFERROR(B983/$J983,"")</f>
        <v>0</v>
      </c>
      <c r="D983" s="12" t="n">
        <f aca="false">COUNTIFS(Cleaned!$D$2:$D$125,9,Cleaned!AZ$2:AZ$125,2)</f>
        <v>0</v>
      </c>
      <c r="E983" s="13" t="n">
        <f aca="false">IFERROR(D983/$J983,"")</f>
        <v>0</v>
      </c>
      <c r="F983" s="12" t="n">
        <f aca="false">COUNTIFS(Cleaned!$D$2:$D$125,9,Cleaned!AZ$2:AZ$125,3)</f>
        <v>0</v>
      </c>
      <c r="G983" s="13" t="n">
        <f aca="false">IFERROR(F983/$J983,"")</f>
        <v>0</v>
      </c>
      <c r="H983" s="12" t="n">
        <f aca="false">COUNTIFS(Cleaned!$D$2:$D$125,9,Cleaned!AZ$2:AZ$125,4)</f>
        <v>2</v>
      </c>
      <c r="I983" s="13" t="n">
        <f aca="false">IFERROR(H983/$J983,"")</f>
        <v>1</v>
      </c>
      <c r="J983" s="12" t="n">
        <f aca="false">B983+D983+F983+H983</f>
        <v>2</v>
      </c>
    </row>
    <row r="984" customFormat="false" ht="15" hidden="false" customHeight="false" outlineLevel="0" collapsed="false">
      <c r="A984" s="12" t="s">
        <v>713</v>
      </c>
      <c r="B984" s="12" t="n">
        <f aca="false">COUNTIFS(Cleaned!$D$2:$D$125,10,Cleaned!AZ$2:AZ$125,1)</f>
        <v>0</v>
      </c>
      <c r="C984" s="13" t="str">
        <f aca="false">IFERROR(B984/$J984,"")</f>
        <v/>
      </c>
      <c r="D984" s="12" t="n">
        <f aca="false">COUNTIFS(Cleaned!$D$2:$D$125,10,Cleaned!AZ$2:AZ$125,2)</f>
        <v>0</v>
      </c>
      <c r="E984" s="13" t="str">
        <f aca="false">IFERROR(D984/$J984,"")</f>
        <v/>
      </c>
      <c r="F984" s="12" t="n">
        <f aca="false">COUNTIFS(Cleaned!$D$2:$D$125,10,Cleaned!AZ$2:AZ$125,3)</f>
        <v>0</v>
      </c>
      <c r="G984" s="13" t="str">
        <f aca="false">IFERROR(F984/$J984,"")</f>
        <v/>
      </c>
      <c r="H984" s="12" t="n">
        <f aca="false">COUNTIFS(Cleaned!$D$2:$D$125,10,Cleaned!AZ$2:AZ$125,4)</f>
        <v>0</v>
      </c>
      <c r="I984" s="13" t="str">
        <f aca="false">IFERROR(H984/$J984,"")</f>
        <v/>
      </c>
      <c r="J984" s="12" t="n">
        <f aca="false">B984+D984+F984+H984</f>
        <v>0</v>
      </c>
    </row>
    <row r="985" customFormat="false" ht="15" hidden="false" customHeight="false" outlineLevel="0" collapsed="false">
      <c r="A985" s="12" t="s">
        <v>714</v>
      </c>
      <c r="B985" s="12" t="n">
        <f aca="false">COUNTIFS(Cleaned!$D$2:$D$125,11,Cleaned!AZ$2:AZ$125,1)</f>
        <v>0</v>
      </c>
      <c r="C985" s="13" t="n">
        <f aca="false">IFERROR(B985/$J985,"")</f>
        <v>0</v>
      </c>
      <c r="D985" s="12" t="n">
        <f aca="false">COUNTIFS(Cleaned!$D$2:$D$125,11,Cleaned!AZ$2:AZ$125,2)</f>
        <v>2</v>
      </c>
      <c r="E985" s="13" t="n">
        <f aca="false">IFERROR(D985/$J985,"")</f>
        <v>0.285714285714286</v>
      </c>
      <c r="F985" s="12" t="n">
        <f aca="false">COUNTIFS(Cleaned!$D$2:$D$125,11,Cleaned!AZ$2:AZ$125,3)</f>
        <v>1</v>
      </c>
      <c r="G985" s="13" t="n">
        <f aca="false">IFERROR(F985/$J985,"")</f>
        <v>0.142857142857143</v>
      </c>
      <c r="H985" s="12" t="n">
        <f aca="false">COUNTIFS(Cleaned!$D$2:$D$125,11,Cleaned!AZ$2:AZ$125,4)</f>
        <v>4</v>
      </c>
      <c r="I985" s="13" t="n">
        <f aca="false">IFERROR(H985/$J985,"")</f>
        <v>0.571428571428571</v>
      </c>
      <c r="J985" s="12" t="n">
        <f aca="false">B985+D985+F985+H985</f>
        <v>7</v>
      </c>
    </row>
    <row r="986" customFormat="false" ht="15" hidden="false" customHeight="false" outlineLevel="0" collapsed="false">
      <c r="A986" s="12" t="s">
        <v>715</v>
      </c>
      <c r="B986" s="12" t="n">
        <f aca="false">COUNTIFS(Cleaned!$D$2:$D$125,12,Cleaned!AZ$2:AZ$125,1)</f>
        <v>0</v>
      </c>
      <c r="C986" s="13" t="n">
        <f aca="false">IFERROR(B986/$J986,"")</f>
        <v>0</v>
      </c>
      <c r="D986" s="12" t="n">
        <f aca="false">COUNTIFS(Cleaned!$D$2:$D$125,12,Cleaned!AZ$2:AZ$125,2)</f>
        <v>3</v>
      </c>
      <c r="E986" s="13" t="n">
        <f aca="false">IFERROR(D986/$J986,"")</f>
        <v>0.75</v>
      </c>
      <c r="F986" s="12" t="n">
        <f aca="false">COUNTIFS(Cleaned!$D$2:$D$125,12,Cleaned!AZ$2:AZ$125,3)</f>
        <v>0</v>
      </c>
      <c r="G986" s="13" t="n">
        <f aca="false">IFERROR(F986/$J986,"")</f>
        <v>0</v>
      </c>
      <c r="H986" s="12" t="n">
        <f aca="false">COUNTIFS(Cleaned!$D$2:$D$125,12,Cleaned!AZ$2:AZ$125,4)</f>
        <v>1</v>
      </c>
      <c r="I986" s="13" t="n">
        <f aca="false">IFERROR(H986/$J986,"")</f>
        <v>0.25</v>
      </c>
      <c r="J986" s="12" t="n">
        <f aca="false">B986+D986+F986+H986</f>
        <v>4</v>
      </c>
    </row>
    <row r="987" customFormat="false" ht="15" hidden="false" customHeight="false" outlineLevel="0" collapsed="false">
      <c r="A987" s="11" t="s">
        <v>716</v>
      </c>
      <c r="B987" s="11" t="n">
        <f aca="false">SUM(B975:B986)</f>
        <v>8</v>
      </c>
      <c r="C987" s="14" t="n">
        <f aca="false">IFERROR(B987/$J987,"")</f>
        <v>0.123076923076923</v>
      </c>
      <c r="D987" s="11" t="n">
        <f aca="false">SUM(D975:D986)</f>
        <v>25</v>
      </c>
      <c r="E987" s="14" t="n">
        <f aca="false">IFERROR(D987/$J987,"")</f>
        <v>0.384615384615385</v>
      </c>
      <c r="F987" s="11" t="n">
        <f aca="false">SUM(F975:F986)</f>
        <v>2</v>
      </c>
      <c r="G987" s="14" t="n">
        <f aca="false">IFERROR(F987/$J987,"")</f>
        <v>0.0307692307692308</v>
      </c>
      <c r="H987" s="11" t="n">
        <f aca="false">SUM(H975:H986)</f>
        <v>30</v>
      </c>
      <c r="I987" s="14" t="n">
        <f aca="false">IFERROR(H987/$J987,"")</f>
        <v>0.461538461538462</v>
      </c>
      <c r="J987" s="11" t="n">
        <f aca="false">SUM(J975:J986)</f>
        <v>65</v>
      </c>
    </row>
    <row r="990" customFormat="false" ht="15" hidden="false" customHeight="false" outlineLevel="0" collapsed="false">
      <c r="A990" s="6" t="s">
        <v>54</v>
      </c>
      <c r="B990" s="7" t="s">
        <v>773</v>
      </c>
    </row>
    <row r="991" customFormat="false" ht="15" hidden="false" customHeight="false" outlineLevel="0" collapsed="false">
      <c r="A991" s="8"/>
      <c r="B991" s="9" t="s">
        <v>718</v>
      </c>
      <c r="C991" s="8"/>
      <c r="D991" s="9" t="s">
        <v>719</v>
      </c>
      <c r="E991" s="8"/>
      <c r="F991" s="9" t="s">
        <v>694</v>
      </c>
    </row>
    <row r="992" customFormat="false" ht="15" hidden="false" customHeight="false" outlineLevel="0" collapsed="false">
      <c r="B992" s="10" t="s">
        <v>695</v>
      </c>
      <c r="C992" s="10" t="s">
        <v>696</v>
      </c>
      <c r="D992" s="10" t="s">
        <v>695</v>
      </c>
      <c r="E992" s="10" t="s">
        <v>696</v>
      </c>
    </row>
    <row r="993" customFormat="false" ht="15" hidden="false" customHeight="false" outlineLevel="0" collapsed="false">
      <c r="A993" s="11" t="s">
        <v>697</v>
      </c>
    </row>
    <row r="994" customFormat="false" ht="15" hidden="false" customHeight="false" outlineLevel="0" collapsed="false">
      <c r="A994" s="12" t="s">
        <v>698</v>
      </c>
      <c r="B994" s="12" t="n">
        <f aca="false">COUNTIFS(Cleaned!$C$2:$C$125,1,Cleaned!BC$2:BC$125,0)</f>
        <v>9</v>
      </c>
      <c r="C994" s="13" t="n">
        <f aca="false">IFERROR(B994/$F994,"")</f>
        <v>0.818181818181818</v>
      </c>
      <c r="D994" s="12" t="n">
        <f aca="false">COUNTIFS(Cleaned!$C$2:$C$125,1,Cleaned!BC$2:BC$125,1)</f>
        <v>2</v>
      </c>
      <c r="E994" s="13" t="n">
        <f aca="false">IFERROR(D994/$F994,"")</f>
        <v>0.181818181818182</v>
      </c>
      <c r="F994" s="12" t="n">
        <f aca="false">B994+D994</f>
        <v>11</v>
      </c>
    </row>
    <row r="995" customFormat="false" ht="15" hidden="false" customHeight="false" outlineLevel="0" collapsed="false">
      <c r="A995" s="12" t="s">
        <v>699</v>
      </c>
      <c r="B995" s="12" t="n">
        <f aca="false">COUNTIFS(Cleaned!$C$2:$C$125,2,Cleaned!BC$2:BC$125,0)</f>
        <v>4</v>
      </c>
      <c r="C995" s="13" t="n">
        <f aca="false">IFERROR(B995/$F995,"")</f>
        <v>0.5</v>
      </c>
      <c r="D995" s="12" t="n">
        <f aca="false">COUNTIFS(Cleaned!$C$2:$C$125,2,Cleaned!BC$2:BC$125,1)</f>
        <v>4</v>
      </c>
      <c r="E995" s="13" t="n">
        <f aca="false">IFERROR(D995/$F995,"")</f>
        <v>0.5</v>
      </c>
      <c r="F995" s="12" t="n">
        <f aca="false">B995+D995</f>
        <v>8</v>
      </c>
    </row>
    <row r="996" customFormat="false" ht="15" hidden="false" customHeight="false" outlineLevel="0" collapsed="false">
      <c r="A996" s="12" t="s">
        <v>700</v>
      </c>
      <c r="B996" s="12" t="n">
        <f aca="false">COUNTIFS(Cleaned!$C$2:$C$125,3,Cleaned!BC$2:BC$125,0)</f>
        <v>13</v>
      </c>
      <c r="C996" s="13" t="n">
        <f aca="false">IFERROR(B996/$F996,"")</f>
        <v>1</v>
      </c>
      <c r="D996" s="12" t="n">
        <f aca="false">COUNTIFS(Cleaned!$C$2:$C$125,3,Cleaned!BC$2:BC$125,1)</f>
        <v>0</v>
      </c>
      <c r="E996" s="13" t="n">
        <f aca="false">IFERROR(D996/$F996,"")</f>
        <v>0</v>
      </c>
      <c r="F996" s="12" t="n">
        <f aca="false">B996+D996</f>
        <v>13</v>
      </c>
    </row>
    <row r="997" customFormat="false" ht="15" hidden="false" customHeight="false" outlineLevel="0" collapsed="false">
      <c r="A997" s="12" t="s">
        <v>701</v>
      </c>
      <c r="B997" s="12" t="n">
        <f aca="false">COUNTIFS(Cleaned!$C$2:$C$125,4,Cleaned!BC$2:BC$125,0)</f>
        <v>9</v>
      </c>
      <c r="C997" s="13" t="n">
        <f aca="false">IFERROR(B997/$F997,"")</f>
        <v>0.818181818181818</v>
      </c>
      <c r="D997" s="12" t="n">
        <f aca="false">COUNTIFS(Cleaned!$C$2:$C$125,4,Cleaned!BC$2:BC$125,1)</f>
        <v>2</v>
      </c>
      <c r="E997" s="13" t="n">
        <f aca="false">IFERROR(D997/$F997,"")</f>
        <v>0.181818181818182</v>
      </c>
      <c r="F997" s="12" t="n">
        <f aca="false">B997+D997</f>
        <v>11</v>
      </c>
    </row>
    <row r="998" customFormat="false" ht="15" hidden="false" customHeight="false" outlineLevel="0" collapsed="false">
      <c r="A998" s="12" t="s">
        <v>702</v>
      </c>
      <c r="B998" s="12" t="n">
        <f aca="false">COUNTIFS(Cleaned!$C$2:$C$125,5,Cleaned!BC$2:BC$125,0)</f>
        <v>14</v>
      </c>
      <c r="C998" s="13" t="n">
        <f aca="false">IFERROR(B998/$F998,"")</f>
        <v>0.666666666666667</v>
      </c>
      <c r="D998" s="12" t="n">
        <f aca="false">COUNTIFS(Cleaned!$C$2:$C$125,5,Cleaned!BC$2:BC$125,1)</f>
        <v>7</v>
      </c>
      <c r="E998" s="13" t="n">
        <f aca="false">IFERROR(D998/$F998,"")</f>
        <v>0.333333333333333</v>
      </c>
      <c r="F998" s="12" t="n">
        <f aca="false">B998+D998</f>
        <v>21</v>
      </c>
    </row>
    <row r="999" customFormat="false" ht="15" hidden="false" customHeight="false" outlineLevel="0" collapsed="false">
      <c r="A999" s="11" t="s">
        <v>703</v>
      </c>
      <c r="B999" s="11" t="n">
        <f aca="false">SUM(B994:B998)</f>
        <v>49</v>
      </c>
      <c r="C999" s="14" t="n">
        <f aca="false">IFERROR(B999/$F999,"")</f>
        <v>0.765625</v>
      </c>
      <c r="D999" s="11" t="n">
        <f aca="false">SUM(D994:D998)</f>
        <v>15</v>
      </c>
      <c r="E999" s="14" t="n">
        <f aca="false">IFERROR(D999/$F999,"")</f>
        <v>0.234375</v>
      </c>
      <c r="F999" s="11" t="n">
        <f aca="false">SUM(F994:F998)</f>
        <v>64</v>
      </c>
    </row>
    <row r="1000" customFormat="false" ht="15" hidden="false" customHeight="false" outlineLevel="0" collapsed="false">
      <c r="A1000" s="11" t="s">
        <v>3</v>
      </c>
    </row>
    <row r="1001" customFormat="false" ht="15" hidden="false" customHeight="false" outlineLevel="0" collapsed="false">
      <c r="A1001" s="12" t="s">
        <v>704</v>
      </c>
      <c r="B1001" s="12" t="n">
        <f aca="false">COUNTIFS(Cleaned!$D$2:$D$125,1,Cleaned!BC$2:BC$125,0)</f>
        <v>9</v>
      </c>
      <c r="C1001" s="13" t="n">
        <f aca="false">IFERROR(B1001/$F1001,"")</f>
        <v>1</v>
      </c>
      <c r="D1001" s="12" t="n">
        <f aca="false">COUNTIFS(Cleaned!$D$2:$D$125,1,Cleaned!BC$2:BC$125,1)</f>
        <v>0</v>
      </c>
      <c r="E1001" s="13" t="n">
        <f aca="false">IFERROR(D1001/$F1001,"")</f>
        <v>0</v>
      </c>
      <c r="F1001" s="12" t="n">
        <f aca="false">B1001+D1001</f>
        <v>9</v>
      </c>
    </row>
    <row r="1002" customFormat="false" ht="15" hidden="false" customHeight="false" outlineLevel="0" collapsed="false">
      <c r="A1002" s="12" t="s">
        <v>705</v>
      </c>
      <c r="B1002" s="12" t="n">
        <f aca="false">COUNTIFS(Cleaned!$D$2:$D$125,2,Cleaned!BC$2:BC$125,0)</f>
        <v>10</v>
      </c>
      <c r="C1002" s="13" t="n">
        <f aca="false">IFERROR(B1002/$F1002,"")</f>
        <v>0.714285714285714</v>
      </c>
      <c r="D1002" s="12" t="n">
        <f aca="false">COUNTIFS(Cleaned!$D$2:$D$125,2,Cleaned!BC$2:BC$125,1)</f>
        <v>4</v>
      </c>
      <c r="E1002" s="13" t="n">
        <f aca="false">IFERROR(D1002/$F1002,"")</f>
        <v>0.285714285714286</v>
      </c>
      <c r="F1002" s="12" t="n">
        <f aca="false">B1002+D1002</f>
        <v>14</v>
      </c>
    </row>
    <row r="1003" customFormat="false" ht="15" hidden="false" customHeight="false" outlineLevel="0" collapsed="false">
      <c r="A1003" s="12" t="s">
        <v>706</v>
      </c>
      <c r="B1003" s="12" t="n">
        <f aca="false">COUNTIFS(Cleaned!$D$2:$D$125,3,Cleaned!BC$2:BC$125,0)</f>
        <v>5</v>
      </c>
      <c r="C1003" s="13" t="n">
        <f aca="false">IFERROR(B1003/$F1003,"")</f>
        <v>0.625</v>
      </c>
      <c r="D1003" s="12" t="n">
        <f aca="false">COUNTIFS(Cleaned!$D$2:$D$125,3,Cleaned!BC$2:BC$125,1)</f>
        <v>3</v>
      </c>
      <c r="E1003" s="13" t="n">
        <f aca="false">IFERROR(D1003/$F1003,"")</f>
        <v>0.375</v>
      </c>
      <c r="F1003" s="12" t="n">
        <f aca="false">B1003+D1003</f>
        <v>8</v>
      </c>
    </row>
    <row r="1004" customFormat="false" ht="15" hidden="false" customHeight="false" outlineLevel="0" collapsed="false">
      <c r="A1004" s="12" t="s">
        <v>707</v>
      </c>
      <c r="B1004" s="12" t="n">
        <f aca="false">COUNTIFS(Cleaned!$D$2:$D$125,4,Cleaned!BC$2:BC$125,0)</f>
        <v>5</v>
      </c>
      <c r="C1004" s="13" t="n">
        <f aca="false">IFERROR(B1004/$F1004,"")</f>
        <v>0.833333333333333</v>
      </c>
      <c r="D1004" s="12" t="n">
        <f aca="false">COUNTIFS(Cleaned!$D$2:$D$125,4,Cleaned!BC$2:BC$125,1)</f>
        <v>1</v>
      </c>
      <c r="E1004" s="13" t="n">
        <f aca="false">IFERROR(D1004/$F1004,"")</f>
        <v>0.166666666666667</v>
      </c>
      <c r="F1004" s="12" t="n">
        <f aca="false">B1004+D1004</f>
        <v>6</v>
      </c>
    </row>
    <row r="1005" customFormat="false" ht="15" hidden="false" customHeight="false" outlineLevel="0" collapsed="false">
      <c r="A1005" s="12" t="s">
        <v>708</v>
      </c>
      <c r="B1005" s="12" t="n">
        <f aca="false">COUNTIFS(Cleaned!$D$2:$D$125,5,Cleaned!BC$2:BC$125,0)</f>
        <v>1</v>
      </c>
      <c r="C1005" s="13" t="n">
        <f aca="false">IFERROR(B1005/$F1005,"")</f>
        <v>1</v>
      </c>
      <c r="D1005" s="12" t="n">
        <f aca="false">COUNTIFS(Cleaned!$D$2:$D$125,5,Cleaned!BC$2:BC$125,1)</f>
        <v>0</v>
      </c>
      <c r="E1005" s="13" t="n">
        <f aca="false">IFERROR(D1005/$F1005,"")</f>
        <v>0</v>
      </c>
      <c r="F1005" s="12" t="n">
        <f aca="false">B1005+D1005</f>
        <v>1</v>
      </c>
    </row>
    <row r="1006" customFormat="false" ht="15" hidden="false" customHeight="false" outlineLevel="0" collapsed="false">
      <c r="A1006" s="12" t="s">
        <v>709</v>
      </c>
      <c r="B1006" s="12" t="n">
        <f aca="false">COUNTIFS(Cleaned!$D$2:$D$125,6,Cleaned!BC$2:BC$125,0)</f>
        <v>1</v>
      </c>
      <c r="C1006" s="13" t="n">
        <f aca="false">IFERROR(B1006/$F1006,"")</f>
        <v>0.5</v>
      </c>
      <c r="D1006" s="12" t="n">
        <f aca="false">COUNTIFS(Cleaned!$D$2:$D$125,6,Cleaned!BC$2:BC$125,1)</f>
        <v>1</v>
      </c>
      <c r="E1006" s="13" t="n">
        <f aca="false">IFERROR(D1006/$F1006,"")</f>
        <v>0.5</v>
      </c>
      <c r="F1006" s="12" t="n">
        <f aca="false">B1006+D1006</f>
        <v>2</v>
      </c>
    </row>
    <row r="1007" customFormat="false" ht="15" hidden="false" customHeight="false" outlineLevel="0" collapsed="false">
      <c r="A1007" s="12" t="s">
        <v>710</v>
      </c>
      <c r="B1007" s="12" t="n">
        <f aca="false">COUNTIFS(Cleaned!$D$2:$D$125,7,Cleaned!BC$2:BC$125,0)</f>
        <v>6</v>
      </c>
      <c r="C1007" s="13" t="n">
        <f aca="false">IFERROR(B1007/$F1007,"")</f>
        <v>0.857142857142857</v>
      </c>
      <c r="D1007" s="12" t="n">
        <f aca="false">COUNTIFS(Cleaned!$D$2:$D$125,7,Cleaned!BC$2:BC$125,1)</f>
        <v>1</v>
      </c>
      <c r="E1007" s="13" t="n">
        <f aca="false">IFERROR(D1007/$F1007,"")</f>
        <v>0.142857142857143</v>
      </c>
      <c r="F1007" s="12" t="n">
        <f aca="false">B1007+D1007</f>
        <v>7</v>
      </c>
    </row>
    <row r="1008" customFormat="false" ht="15" hidden="false" customHeight="false" outlineLevel="0" collapsed="false">
      <c r="A1008" s="12" t="s">
        <v>711</v>
      </c>
      <c r="B1008" s="12" t="n">
        <f aca="false">COUNTIFS(Cleaned!$D$2:$D$125,8,Cleaned!BC$2:BC$125,0)</f>
        <v>4</v>
      </c>
      <c r="C1008" s="13" t="n">
        <f aca="false">IFERROR(B1008/$F1008,"")</f>
        <v>1</v>
      </c>
      <c r="D1008" s="12" t="n">
        <f aca="false">COUNTIFS(Cleaned!$D$2:$D$125,8,Cleaned!BC$2:BC$125,1)</f>
        <v>0</v>
      </c>
      <c r="E1008" s="13" t="n">
        <f aca="false">IFERROR(D1008/$F1008,"")</f>
        <v>0</v>
      </c>
      <c r="F1008" s="12" t="n">
        <f aca="false">B1008+D1008</f>
        <v>4</v>
      </c>
    </row>
    <row r="1009" customFormat="false" ht="15" hidden="false" customHeight="false" outlineLevel="0" collapsed="false">
      <c r="A1009" s="12" t="s">
        <v>712</v>
      </c>
      <c r="B1009" s="12" t="n">
        <f aca="false">COUNTIFS(Cleaned!$D$2:$D$125,9,Cleaned!BC$2:BC$125,0)</f>
        <v>1</v>
      </c>
      <c r="C1009" s="13" t="n">
        <f aca="false">IFERROR(B1009/$F1009,"")</f>
        <v>0.5</v>
      </c>
      <c r="D1009" s="12" t="n">
        <f aca="false">COUNTIFS(Cleaned!$D$2:$D$125,9,Cleaned!BC$2:BC$125,1)</f>
        <v>1</v>
      </c>
      <c r="E1009" s="13" t="n">
        <f aca="false">IFERROR(D1009/$F1009,"")</f>
        <v>0.5</v>
      </c>
      <c r="F1009" s="12" t="n">
        <f aca="false">B1009+D1009</f>
        <v>2</v>
      </c>
    </row>
    <row r="1010" customFormat="false" ht="15" hidden="false" customHeight="false" outlineLevel="0" collapsed="false">
      <c r="A1010" s="12" t="s">
        <v>713</v>
      </c>
      <c r="B1010" s="12" t="n">
        <f aca="false">COUNTIFS(Cleaned!$D$2:$D$125,10,Cleaned!BC$2:BC$125,0)</f>
        <v>0</v>
      </c>
      <c r="C1010" s="13" t="str">
        <f aca="false">IFERROR(B1010/$F1010,"")</f>
        <v/>
      </c>
      <c r="D1010" s="12" t="n">
        <f aca="false">COUNTIFS(Cleaned!$D$2:$D$125,10,Cleaned!BC$2:BC$125,1)</f>
        <v>0</v>
      </c>
      <c r="E1010" s="13" t="str">
        <f aca="false">IFERROR(D1010/$F1010,"")</f>
        <v/>
      </c>
      <c r="F1010" s="12" t="n">
        <f aca="false">B1010+D1010</f>
        <v>0</v>
      </c>
    </row>
    <row r="1011" customFormat="false" ht="15" hidden="false" customHeight="false" outlineLevel="0" collapsed="false">
      <c r="A1011" s="12" t="s">
        <v>714</v>
      </c>
      <c r="B1011" s="12" t="n">
        <f aca="false">COUNTIFS(Cleaned!$D$2:$D$125,11,Cleaned!BC$2:BC$125,0)</f>
        <v>5</v>
      </c>
      <c r="C1011" s="13" t="n">
        <f aca="false">IFERROR(B1011/$F1011,"")</f>
        <v>0.714285714285714</v>
      </c>
      <c r="D1011" s="12" t="n">
        <f aca="false">COUNTIFS(Cleaned!$D$2:$D$125,11,Cleaned!BC$2:BC$125,1)</f>
        <v>2</v>
      </c>
      <c r="E1011" s="13" t="n">
        <f aca="false">IFERROR(D1011/$F1011,"")</f>
        <v>0.285714285714286</v>
      </c>
      <c r="F1011" s="12" t="n">
        <f aca="false">B1011+D1011</f>
        <v>7</v>
      </c>
    </row>
    <row r="1012" customFormat="false" ht="15" hidden="false" customHeight="false" outlineLevel="0" collapsed="false">
      <c r="A1012" s="12" t="s">
        <v>715</v>
      </c>
      <c r="B1012" s="12" t="n">
        <f aca="false">COUNTIFS(Cleaned!$D$2:$D$125,12,Cleaned!BC$2:BC$125,0)</f>
        <v>2</v>
      </c>
      <c r="C1012" s="13" t="n">
        <f aca="false">IFERROR(B1012/$F1012,"")</f>
        <v>0.5</v>
      </c>
      <c r="D1012" s="12" t="n">
        <f aca="false">COUNTIFS(Cleaned!$D$2:$D$125,12,Cleaned!BC$2:BC$125,1)</f>
        <v>2</v>
      </c>
      <c r="E1012" s="13" t="n">
        <f aca="false">IFERROR(D1012/$F1012,"")</f>
        <v>0.5</v>
      </c>
      <c r="F1012" s="12" t="n">
        <f aca="false">B1012+D1012</f>
        <v>4</v>
      </c>
    </row>
    <row r="1013" customFormat="false" ht="15" hidden="false" customHeight="false" outlineLevel="0" collapsed="false">
      <c r="A1013" s="11" t="s">
        <v>716</v>
      </c>
      <c r="B1013" s="11" t="n">
        <f aca="false">SUM(B1001:B1012)</f>
        <v>49</v>
      </c>
      <c r="C1013" s="14" t="n">
        <f aca="false">IFERROR(B1013/$F1013,"")</f>
        <v>0.765625</v>
      </c>
      <c r="D1013" s="11" t="n">
        <f aca="false">SUM(D1001:D1012)</f>
        <v>15</v>
      </c>
      <c r="E1013" s="14" t="n">
        <f aca="false">IFERROR(D1013/$F1013,"")</f>
        <v>0.234375</v>
      </c>
      <c r="F1013" s="11" t="n">
        <f aca="false">SUM(F1001:F1012)</f>
        <v>64</v>
      </c>
    </row>
    <row r="1016" customFormat="false" ht="15" hidden="false" customHeight="false" outlineLevel="0" collapsed="false">
      <c r="A1016" s="6" t="s">
        <v>55</v>
      </c>
      <c r="B1016" s="7" t="s">
        <v>774</v>
      </c>
    </row>
    <row r="1017" customFormat="false" ht="15" hidden="false" customHeight="false" outlineLevel="0" collapsed="false">
      <c r="A1017" s="8"/>
      <c r="B1017" s="9" t="s">
        <v>718</v>
      </c>
      <c r="C1017" s="8"/>
      <c r="D1017" s="9" t="s">
        <v>719</v>
      </c>
      <c r="E1017" s="8"/>
      <c r="F1017" s="9" t="s">
        <v>694</v>
      </c>
    </row>
    <row r="1018" customFormat="false" ht="15" hidden="false" customHeight="false" outlineLevel="0" collapsed="false">
      <c r="B1018" s="10" t="s">
        <v>695</v>
      </c>
      <c r="C1018" s="10" t="s">
        <v>696</v>
      </c>
      <c r="D1018" s="10" t="s">
        <v>695</v>
      </c>
      <c r="E1018" s="10" t="s">
        <v>696</v>
      </c>
    </row>
    <row r="1019" customFormat="false" ht="15" hidden="false" customHeight="false" outlineLevel="0" collapsed="false">
      <c r="A1019" s="11" t="s">
        <v>697</v>
      </c>
    </row>
    <row r="1020" customFormat="false" ht="15" hidden="false" customHeight="false" outlineLevel="0" collapsed="false">
      <c r="A1020" s="12" t="s">
        <v>698</v>
      </c>
      <c r="B1020" s="12" t="n">
        <f aca="false">COUNTIFS(Cleaned!$C$2:$C$125,1,Cleaned!BD$2:BD$125,0)</f>
        <v>6</v>
      </c>
      <c r="C1020" s="13" t="n">
        <f aca="false">IFERROR(B1020/$F1020,"")</f>
        <v>0.545454545454545</v>
      </c>
      <c r="D1020" s="12" t="n">
        <f aca="false">COUNTIFS(Cleaned!$C$2:$C$125,1,Cleaned!BD$2:BD$125,1)</f>
        <v>5</v>
      </c>
      <c r="E1020" s="13" t="n">
        <f aca="false">IFERROR(D1020/$F1020,"")</f>
        <v>0.454545454545455</v>
      </c>
      <c r="F1020" s="12" t="n">
        <f aca="false">B1020+D1020</f>
        <v>11</v>
      </c>
    </row>
    <row r="1021" customFormat="false" ht="15" hidden="false" customHeight="false" outlineLevel="0" collapsed="false">
      <c r="A1021" s="12" t="s">
        <v>699</v>
      </c>
      <c r="B1021" s="12" t="n">
        <f aca="false">COUNTIFS(Cleaned!$C$2:$C$125,2,Cleaned!BD$2:BD$125,0)</f>
        <v>5</v>
      </c>
      <c r="C1021" s="13" t="n">
        <f aca="false">IFERROR(B1021/$F1021,"")</f>
        <v>0.625</v>
      </c>
      <c r="D1021" s="12" t="n">
        <f aca="false">COUNTIFS(Cleaned!$C$2:$C$125,2,Cleaned!BD$2:BD$125,1)</f>
        <v>3</v>
      </c>
      <c r="E1021" s="13" t="n">
        <f aca="false">IFERROR(D1021/$F1021,"")</f>
        <v>0.375</v>
      </c>
      <c r="F1021" s="12" t="n">
        <f aca="false">B1021+D1021</f>
        <v>8</v>
      </c>
    </row>
    <row r="1022" customFormat="false" ht="15" hidden="false" customHeight="false" outlineLevel="0" collapsed="false">
      <c r="A1022" s="12" t="s">
        <v>700</v>
      </c>
      <c r="B1022" s="12" t="n">
        <f aca="false">COUNTIFS(Cleaned!$C$2:$C$125,3,Cleaned!BD$2:BD$125,0)</f>
        <v>7</v>
      </c>
      <c r="C1022" s="13" t="n">
        <f aca="false">IFERROR(B1022/$F1022,"")</f>
        <v>0.538461538461538</v>
      </c>
      <c r="D1022" s="12" t="n">
        <f aca="false">COUNTIFS(Cleaned!$C$2:$C$125,3,Cleaned!BD$2:BD$125,1)</f>
        <v>6</v>
      </c>
      <c r="E1022" s="13" t="n">
        <f aca="false">IFERROR(D1022/$F1022,"")</f>
        <v>0.461538461538462</v>
      </c>
      <c r="F1022" s="12" t="n">
        <f aca="false">B1022+D1022</f>
        <v>13</v>
      </c>
    </row>
    <row r="1023" customFormat="false" ht="15" hidden="false" customHeight="false" outlineLevel="0" collapsed="false">
      <c r="A1023" s="12" t="s">
        <v>701</v>
      </c>
      <c r="B1023" s="12" t="n">
        <f aca="false">COUNTIFS(Cleaned!$C$2:$C$125,4,Cleaned!BD$2:BD$125,0)</f>
        <v>7</v>
      </c>
      <c r="C1023" s="13" t="n">
        <f aca="false">IFERROR(B1023/$F1023,"")</f>
        <v>0.636363636363636</v>
      </c>
      <c r="D1023" s="12" t="n">
        <f aca="false">COUNTIFS(Cleaned!$C$2:$C$125,4,Cleaned!BD$2:BD$125,1)</f>
        <v>4</v>
      </c>
      <c r="E1023" s="13" t="n">
        <f aca="false">IFERROR(D1023/$F1023,"")</f>
        <v>0.363636363636364</v>
      </c>
      <c r="F1023" s="12" t="n">
        <f aca="false">B1023+D1023</f>
        <v>11</v>
      </c>
    </row>
    <row r="1024" customFormat="false" ht="15" hidden="false" customHeight="false" outlineLevel="0" collapsed="false">
      <c r="A1024" s="12" t="s">
        <v>702</v>
      </c>
      <c r="B1024" s="12" t="n">
        <f aca="false">COUNTIFS(Cleaned!$C$2:$C$125,5,Cleaned!BD$2:BD$125,0)</f>
        <v>12</v>
      </c>
      <c r="C1024" s="13" t="n">
        <f aca="false">IFERROR(B1024/$F1024,"")</f>
        <v>0.571428571428571</v>
      </c>
      <c r="D1024" s="12" t="n">
        <f aca="false">COUNTIFS(Cleaned!$C$2:$C$125,5,Cleaned!BD$2:BD$125,1)</f>
        <v>9</v>
      </c>
      <c r="E1024" s="13" t="n">
        <f aca="false">IFERROR(D1024/$F1024,"")</f>
        <v>0.428571428571429</v>
      </c>
      <c r="F1024" s="12" t="n">
        <f aca="false">B1024+D1024</f>
        <v>21</v>
      </c>
    </row>
    <row r="1025" customFormat="false" ht="15" hidden="false" customHeight="false" outlineLevel="0" collapsed="false">
      <c r="A1025" s="11" t="s">
        <v>703</v>
      </c>
      <c r="B1025" s="11" t="n">
        <f aca="false">SUM(B1020:B1024)</f>
        <v>37</v>
      </c>
      <c r="C1025" s="14" t="n">
        <f aca="false">IFERROR(B1025/$F1025,"")</f>
        <v>0.578125</v>
      </c>
      <c r="D1025" s="11" t="n">
        <f aca="false">SUM(D1020:D1024)</f>
        <v>27</v>
      </c>
      <c r="E1025" s="14" t="n">
        <f aca="false">IFERROR(D1025/$F1025,"")</f>
        <v>0.421875</v>
      </c>
      <c r="F1025" s="11" t="n">
        <f aca="false">SUM(F1020:F1024)</f>
        <v>64</v>
      </c>
    </row>
    <row r="1026" customFormat="false" ht="15" hidden="false" customHeight="false" outlineLevel="0" collapsed="false">
      <c r="A1026" s="11" t="s">
        <v>3</v>
      </c>
    </row>
    <row r="1027" customFormat="false" ht="15" hidden="false" customHeight="false" outlineLevel="0" collapsed="false">
      <c r="A1027" s="12" t="s">
        <v>704</v>
      </c>
      <c r="B1027" s="12" t="n">
        <f aca="false">COUNTIFS(Cleaned!$D$2:$D$125,1,Cleaned!BD$2:BD$125,0)</f>
        <v>4</v>
      </c>
      <c r="C1027" s="13" t="n">
        <f aca="false">IFERROR(B1027/$F1027,"")</f>
        <v>0.444444444444444</v>
      </c>
      <c r="D1027" s="12" t="n">
        <f aca="false">COUNTIFS(Cleaned!$D$2:$D$125,1,Cleaned!BD$2:BD$125,1)</f>
        <v>5</v>
      </c>
      <c r="E1027" s="13" t="n">
        <f aca="false">IFERROR(D1027/$F1027,"")</f>
        <v>0.555555555555556</v>
      </c>
      <c r="F1027" s="12" t="n">
        <f aca="false">B1027+D1027</f>
        <v>9</v>
      </c>
    </row>
    <row r="1028" customFormat="false" ht="15" hidden="false" customHeight="false" outlineLevel="0" collapsed="false">
      <c r="A1028" s="12" t="s">
        <v>705</v>
      </c>
      <c r="B1028" s="12" t="n">
        <f aca="false">COUNTIFS(Cleaned!$D$2:$D$125,2,Cleaned!BD$2:BD$125,0)</f>
        <v>11</v>
      </c>
      <c r="C1028" s="13" t="n">
        <f aca="false">IFERROR(B1028/$F1028,"")</f>
        <v>0.785714285714286</v>
      </c>
      <c r="D1028" s="12" t="n">
        <f aca="false">COUNTIFS(Cleaned!$D$2:$D$125,2,Cleaned!BD$2:BD$125,1)</f>
        <v>3</v>
      </c>
      <c r="E1028" s="13" t="n">
        <f aca="false">IFERROR(D1028/$F1028,"")</f>
        <v>0.214285714285714</v>
      </c>
      <c r="F1028" s="12" t="n">
        <f aca="false">B1028+D1028</f>
        <v>14</v>
      </c>
    </row>
    <row r="1029" customFormat="false" ht="15" hidden="false" customHeight="false" outlineLevel="0" collapsed="false">
      <c r="A1029" s="12" t="s">
        <v>706</v>
      </c>
      <c r="B1029" s="12" t="n">
        <f aca="false">COUNTIFS(Cleaned!$D$2:$D$125,3,Cleaned!BD$2:BD$125,0)</f>
        <v>2</v>
      </c>
      <c r="C1029" s="13" t="n">
        <f aca="false">IFERROR(B1029/$F1029,"")</f>
        <v>0.25</v>
      </c>
      <c r="D1029" s="12" t="n">
        <f aca="false">COUNTIFS(Cleaned!$D$2:$D$125,3,Cleaned!BD$2:BD$125,1)</f>
        <v>6</v>
      </c>
      <c r="E1029" s="13" t="n">
        <f aca="false">IFERROR(D1029/$F1029,"")</f>
        <v>0.75</v>
      </c>
      <c r="F1029" s="12" t="n">
        <f aca="false">B1029+D1029</f>
        <v>8</v>
      </c>
    </row>
    <row r="1030" customFormat="false" ht="15" hidden="false" customHeight="false" outlineLevel="0" collapsed="false">
      <c r="A1030" s="12" t="s">
        <v>707</v>
      </c>
      <c r="B1030" s="12" t="n">
        <f aca="false">COUNTIFS(Cleaned!$D$2:$D$125,4,Cleaned!BD$2:BD$125,0)</f>
        <v>4</v>
      </c>
      <c r="C1030" s="13" t="n">
        <f aca="false">IFERROR(B1030/$F1030,"")</f>
        <v>0.666666666666667</v>
      </c>
      <c r="D1030" s="12" t="n">
        <f aca="false">COUNTIFS(Cleaned!$D$2:$D$125,4,Cleaned!BD$2:BD$125,1)</f>
        <v>2</v>
      </c>
      <c r="E1030" s="13" t="n">
        <f aca="false">IFERROR(D1030/$F1030,"")</f>
        <v>0.333333333333333</v>
      </c>
      <c r="F1030" s="12" t="n">
        <f aca="false">B1030+D1030</f>
        <v>6</v>
      </c>
    </row>
    <row r="1031" customFormat="false" ht="15" hidden="false" customHeight="false" outlineLevel="0" collapsed="false">
      <c r="A1031" s="12" t="s">
        <v>708</v>
      </c>
      <c r="B1031" s="12" t="n">
        <f aca="false">COUNTIFS(Cleaned!$D$2:$D$125,5,Cleaned!BD$2:BD$125,0)</f>
        <v>0</v>
      </c>
      <c r="C1031" s="13" t="n">
        <f aca="false">IFERROR(B1031/$F1031,"")</f>
        <v>0</v>
      </c>
      <c r="D1031" s="12" t="n">
        <f aca="false">COUNTIFS(Cleaned!$D$2:$D$125,5,Cleaned!BD$2:BD$125,1)</f>
        <v>1</v>
      </c>
      <c r="E1031" s="13" t="n">
        <f aca="false">IFERROR(D1031/$F1031,"")</f>
        <v>1</v>
      </c>
      <c r="F1031" s="12" t="n">
        <f aca="false">B1031+D1031</f>
        <v>1</v>
      </c>
    </row>
    <row r="1032" customFormat="false" ht="15" hidden="false" customHeight="false" outlineLevel="0" collapsed="false">
      <c r="A1032" s="12" t="s">
        <v>709</v>
      </c>
      <c r="B1032" s="12" t="n">
        <f aca="false">COUNTIFS(Cleaned!$D$2:$D$125,6,Cleaned!BD$2:BD$125,0)</f>
        <v>2</v>
      </c>
      <c r="C1032" s="13" t="n">
        <f aca="false">IFERROR(B1032/$F1032,"")</f>
        <v>1</v>
      </c>
      <c r="D1032" s="12" t="n">
        <f aca="false">COUNTIFS(Cleaned!$D$2:$D$125,6,Cleaned!BD$2:BD$125,1)</f>
        <v>0</v>
      </c>
      <c r="E1032" s="13" t="n">
        <f aca="false">IFERROR(D1032/$F1032,"")</f>
        <v>0</v>
      </c>
      <c r="F1032" s="12" t="n">
        <f aca="false">B1032+D1032</f>
        <v>2</v>
      </c>
    </row>
    <row r="1033" customFormat="false" ht="15" hidden="false" customHeight="false" outlineLevel="0" collapsed="false">
      <c r="A1033" s="12" t="s">
        <v>710</v>
      </c>
      <c r="B1033" s="12" t="n">
        <f aca="false">COUNTIFS(Cleaned!$D$2:$D$125,7,Cleaned!BD$2:BD$125,0)</f>
        <v>5</v>
      </c>
      <c r="C1033" s="13" t="n">
        <f aca="false">IFERROR(B1033/$F1033,"")</f>
        <v>0.714285714285714</v>
      </c>
      <c r="D1033" s="12" t="n">
        <f aca="false">COUNTIFS(Cleaned!$D$2:$D$125,7,Cleaned!BD$2:BD$125,1)</f>
        <v>2</v>
      </c>
      <c r="E1033" s="13" t="n">
        <f aca="false">IFERROR(D1033/$F1033,"")</f>
        <v>0.285714285714286</v>
      </c>
      <c r="F1033" s="12" t="n">
        <f aca="false">B1033+D1033</f>
        <v>7</v>
      </c>
    </row>
    <row r="1034" customFormat="false" ht="15" hidden="false" customHeight="false" outlineLevel="0" collapsed="false">
      <c r="A1034" s="12" t="s">
        <v>711</v>
      </c>
      <c r="B1034" s="12" t="n">
        <f aca="false">COUNTIFS(Cleaned!$D$2:$D$125,8,Cleaned!BD$2:BD$125,0)</f>
        <v>3</v>
      </c>
      <c r="C1034" s="13" t="n">
        <f aca="false">IFERROR(B1034/$F1034,"")</f>
        <v>0.75</v>
      </c>
      <c r="D1034" s="12" t="n">
        <f aca="false">COUNTIFS(Cleaned!$D$2:$D$125,8,Cleaned!BD$2:BD$125,1)</f>
        <v>1</v>
      </c>
      <c r="E1034" s="13" t="n">
        <f aca="false">IFERROR(D1034/$F1034,"")</f>
        <v>0.25</v>
      </c>
      <c r="F1034" s="12" t="n">
        <f aca="false">B1034+D1034</f>
        <v>4</v>
      </c>
    </row>
    <row r="1035" customFormat="false" ht="15" hidden="false" customHeight="false" outlineLevel="0" collapsed="false">
      <c r="A1035" s="12" t="s">
        <v>712</v>
      </c>
      <c r="B1035" s="12" t="n">
        <f aca="false">COUNTIFS(Cleaned!$D$2:$D$125,9,Cleaned!BD$2:BD$125,0)</f>
        <v>0</v>
      </c>
      <c r="C1035" s="13" t="n">
        <f aca="false">IFERROR(B1035/$F1035,"")</f>
        <v>0</v>
      </c>
      <c r="D1035" s="12" t="n">
        <f aca="false">COUNTIFS(Cleaned!$D$2:$D$125,9,Cleaned!BD$2:BD$125,1)</f>
        <v>2</v>
      </c>
      <c r="E1035" s="13" t="n">
        <f aca="false">IFERROR(D1035/$F1035,"")</f>
        <v>1</v>
      </c>
      <c r="F1035" s="12" t="n">
        <f aca="false">B1035+D1035</f>
        <v>2</v>
      </c>
    </row>
    <row r="1036" customFormat="false" ht="15" hidden="false" customHeight="false" outlineLevel="0" collapsed="false">
      <c r="A1036" s="12" t="s">
        <v>713</v>
      </c>
      <c r="B1036" s="12" t="n">
        <f aca="false">COUNTIFS(Cleaned!$D$2:$D$125,10,Cleaned!BD$2:BD$125,0)</f>
        <v>0</v>
      </c>
      <c r="C1036" s="13" t="str">
        <f aca="false">IFERROR(B1036/$F1036,"")</f>
        <v/>
      </c>
      <c r="D1036" s="12" t="n">
        <f aca="false">COUNTIFS(Cleaned!$D$2:$D$125,10,Cleaned!BD$2:BD$125,1)</f>
        <v>0</v>
      </c>
      <c r="E1036" s="13" t="str">
        <f aca="false">IFERROR(D1036/$F1036,"")</f>
        <v/>
      </c>
      <c r="F1036" s="12" t="n">
        <f aca="false">B1036+D1036</f>
        <v>0</v>
      </c>
    </row>
    <row r="1037" customFormat="false" ht="15" hidden="false" customHeight="false" outlineLevel="0" collapsed="false">
      <c r="A1037" s="12" t="s">
        <v>714</v>
      </c>
      <c r="B1037" s="12" t="n">
        <f aca="false">COUNTIFS(Cleaned!$D$2:$D$125,11,Cleaned!BD$2:BD$125,0)</f>
        <v>3</v>
      </c>
      <c r="C1037" s="13" t="n">
        <f aca="false">IFERROR(B1037/$F1037,"")</f>
        <v>0.428571428571429</v>
      </c>
      <c r="D1037" s="12" t="n">
        <f aca="false">COUNTIFS(Cleaned!$D$2:$D$125,11,Cleaned!BD$2:BD$125,1)</f>
        <v>4</v>
      </c>
      <c r="E1037" s="13" t="n">
        <f aca="false">IFERROR(D1037/$F1037,"")</f>
        <v>0.571428571428571</v>
      </c>
      <c r="F1037" s="12" t="n">
        <f aca="false">B1037+D1037</f>
        <v>7</v>
      </c>
    </row>
    <row r="1038" customFormat="false" ht="15" hidden="false" customHeight="false" outlineLevel="0" collapsed="false">
      <c r="A1038" s="12" t="s">
        <v>715</v>
      </c>
      <c r="B1038" s="12" t="n">
        <f aca="false">COUNTIFS(Cleaned!$D$2:$D$125,12,Cleaned!BD$2:BD$125,0)</f>
        <v>3</v>
      </c>
      <c r="C1038" s="13" t="n">
        <f aca="false">IFERROR(B1038/$F1038,"")</f>
        <v>0.75</v>
      </c>
      <c r="D1038" s="12" t="n">
        <f aca="false">COUNTIFS(Cleaned!$D$2:$D$125,12,Cleaned!BD$2:BD$125,1)</f>
        <v>1</v>
      </c>
      <c r="E1038" s="13" t="n">
        <f aca="false">IFERROR(D1038/$F1038,"")</f>
        <v>0.25</v>
      </c>
      <c r="F1038" s="12" t="n">
        <f aca="false">B1038+D1038</f>
        <v>4</v>
      </c>
    </row>
    <row r="1039" customFormat="false" ht="15" hidden="false" customHeight="false" outlineLevel="0" collapsed="false">
      <c r="A1039" s="11" t="s">
        <v>716</v>
      </c>
      <c r="B1039" s="11" t="n">
        <f aca="false">SUM(B1027:B1038)</f>
        <v>37</v>
      </c>
      <c r="C1039" s="14" t="n">
        <f aca="false">IFERROR(B1039/$F1039,"")</f>
        <v>0.578125</v>
      </c>
      <c r="D1039" s="11" t="n">
        <f aca="false">SUM(D1027:D1038)</f>
        <v>27</v>
      </c>
      <c r="E1039" s="14" t="n">
        <f aca="false">IFERROR(D1039/$F1039,"")</f>
        <v>0.421875</v>
      </c>
      <c r="F1039" s="11" t="n">
        <f aca="false">SUM(F1027:F1038)</f>
        <v>64</v>
      </c>
    </row>
    <row r="1042" customFormat="false" ht="15" hidden="false" customHeight="false" outlineLevel="0" collapsed="false">
      <c r="A1042" s="6" t="s">
        <v>56</v>
      </c>
      <c r="B1042" s="7" t="s">
        <v>775</v>
      </c>
    </row>
    <row r="1043" customFormat="false" ht="15" hidden="false" customHeight="false" outlineLevel="0" collapsed="false">
      <c r="A1043" s="8"/>
      <c r="B1043" s="9" t="s">
        <v>718</v>
      </c>
      <c r="C1043" s="8"/>
      <c r="D1043" s="9" t="s">
        <v>719</v>
      </c>
      <c r="E1043" s="8"/>
      <c r="F1043" s="9" t="s">
        <v>694</v>
      </c>
    </row>
    <row r="1044" customFormat="false" ht="15" hidden="false" customHeight="false" outlineLevel="0" collapsed="false">
      <c r="B1044" s="10" t="s">
        <v>695</v>
      </c>
      <c r="C1044" s="10" t="s">
        <v>696</v>
      </c>
      <c r="D1044" s="10" t="s">
        <v>695</v>
      </c>
      <c r="E1044" s="10" t="s">
        <v>696</v>
      </c>
    </row>
    <row r="1045" customFormat="false" ht="15" hidden="false" customHeight="false" outlineLevel="0" collapsed="false">
      <c r="A1045" s="11" t="s">
        <v>697</v>
      </c>
    </row>
    <row r="1046" customFormat="false" ht="15" hidden="false" customHeight="false" outlineLevel="0" collapsed="false">
      <c r="A1046" s="12" t="s">
        <v>698</v>
      </c>
      <c r="B1046" s="12" t="n">
        <f aca="false">COUNTIFS(Cleaned!$C$2:$C$125,1,Cleaned!BE$2:BE$125,0)</f>
        <v>8</v>
      </c>
      <c r="C1046" s="13" t="n">
        <f aca="false">IFERROR(B1046/$F1046,"")</f>
        <v>0.727272727272727</v>
      </c>
      <c r="D1046" s="12" t="n">
        <f aca="false">COUNTIFS(Cleaned!$C$2:$C$125,1,Cleaned!BE$2:BE$125,1)</f>
        <v>3</v>
      </c>
      <c r="E1046" s="13" t="n">
        <f aca="false">IFERROR(D1046/$F1046,"")</f>
        <v>0.272727272727273</v>
      </c>
      <c r="F1046" s="12" t="n">
        <f aca="false">B1046+D1046</f>
        <v>11</v>
      </c>
    </row>
    <row r="1047" customFormat="false" ht="15" hidden="false" customHeight="false" outlineLevel="0" collapsed="false">
      <c r="A1047" s="12" t="s">
        <v>699</v>
      </c>
      <c r="B1047" s="12" t="n">
        <f aca="false">COUNTIFS(Cleaned!$C$2:$C$125,2,Cleaned!BE$2:BE$125,0)</f>
        <v>8</v>
      </c>
      <c r="C1047" s="13" t="n">
        <f aca="false">IFERROR(B1047/$F1047,"")</f>
        <v>1</v>
      </c>
      <c r="D1047" s="12" t="n">
        <f aca="false">COUNTIFS(Cleaned!$C$2:$C$125,2,Cleaned!BE$2:BE$125,1)</f>
        <v>0</v>
      </c>
      <c r="E1047" s="13" t="n">
        <f aca="false">IFERROR(D1047/$F1047,"")</f>
        <v>0</v>
      </c>
      <c r="F1047" s="12" t="n">
        <f aca="false">B1047+D1047</f>
        <v>8</v>
      </c>
    </row>
    <row r="1048" customFormat="false" ht="15" hidden="false" customHeight="false" outlineLevel="0" collapsed="false">
      <c r="A1048" s="12" t="s">
        <v>700</v>
      </c>
      <c r="B1048" s="12" t="n">
        <f aca="false">COUNTIFS(Cleaned!$C$2:$C$125,3,Cleaned!BE$2:BE$125,0)</f>
        <v>12</v>
      </c>
      <c r="C1048" s="13" t="n">
        <f aca="false">IFERROR(B1048/$F1048,"")</f>
        <v>0.923076923076923</v>
      </c>
      <c r="D1048" s="12" t="n">
        <f aca="false">COUNTIFS(Cleaned!$C$2:$C$125,3,Cleaned!BE$2:BE$125,1)</f>
        <v>1</v>
      </c>
      <c r="E1048" s="13" t="n">
        <f aca="false">IFERROR(D1048/$F1048,"")</f>
        <v>0.0769230769230769</v>
      </c>
      <c r="F1048" s="12" t="n">
        <f aca="false">B1048+D1048</f>
        <v>13</v>
      </c>
    </row>
    <row r="1049" customFormat="false" ht="15" hidden="false" customHeight="false" outlineLevel="0" collapsed="false">
      <c r="A1049" s="12" t="s">
        <v>701</v>
      </c>
      <c r="B1049" s="12" t="n">
        <f aca="false">COUNTIFS(Cleaned!$C$2:$C$125,4,Cleaned!BE$2:BE$125,0)</f>
        <v>11</v>
      </c>
      <c r="C1049" s="13" t="n">
        <f aca="false">IFERROR(B1049/$F1049,"")</f>
        <v>1</v>
      </c>
      <c r="D1049" s="12" t="n">
        <f aca="false">COUNTIFS(Cleaned!$C$2:$C$125,4,Cleaned!BE$2:BE$125,1)</f>
        <v>0</v>
      </c>
      <c r="E1049" s="13" t="n">
        <f aca="false">IFERROR(D1049/$F1049,"")</f>
        <v>0</v>
      </c>
      <c r="F1049" s="12" t="n">
        <f aca="false">B1049+D1049</f>
        <v>11</v>
      </c>
    </row>
    <row r="1050" customFormat="false" ht="15" hidden="false" customHeight="false" outlineLevel="0" collapsed="false">
      <c r="A1050" s="12" t="s">
        <v>702</v>
      </c>
      <c r="B1050" s="12" t="n">
        <f aca="false">COUNTIFS(Cleaned!$C$2:$C$125,5,Cleaned!BE$2:BE$125,0)</f>
        <v>20</v>
      </c>
      <c r="C1050" s="13" t="n">
        <f aca="false">IFERROR(B1050/$F1050,"")</f>
        <v>0.952380952380952</v>
      </c>
      <c r="D1050" s="12" t="n">
        <f aca="false">COUNTIFS(Cleaned!$C$2:$C$125,5,Cleaned!BE$2:BE$125,1)</f>
        <v>1</v>
      </c>
      <c r="E1050" s="13" t="n">
        <f aca="false">IFERROR(D1050/$F1050,"")</f>
        <v>0.0476190476190476</v>
      </c>
      <c r="F1050" s="12" t="n">
        <f aca="false">B1050+D1050</f>
        <v>21</v>
      </c>
    </row>
    <row r="1051" customFormat="false" ht="15" hidden="false" customHeight="false" outlineLevel="0" collapsed="false">
      <c r="A1051" s="11" t="s">
        <v>703</v>
      </c>
      <c r="B1051" s="11" t="n">
        <f aca="false">SUM(B1046:B1050)</f>
        <v>59</v>
      </c>
      <c r="C1051" s="14" t="n">
        <f aca="false">IFERROR(B1051/$F1051,"")</f>
        <v>0.921875</v>
      </c>
      <c r="D1051" s="11" t="n">
        <f aca="false">SUM(D1046:D1050)</f>
        <v>5</v>
      </c>
      <c r="E1051" s="14" t="n">
        <f aca="false">IFERROR(D1051/$F1051,"")</f>
        <v>0.078125</v>
      </c>
      <c r="F1051" s="11" t="n">
        <f aca="false">SUM(F1046:F1050)</f>
        <v>64</v>
      </c>
    </row>
    <row r="1052" customFormat="false" ht="15" hidden="false" customHeight="false" outlineLevel="0" collapsed="false">
      <c r="A1052" s="11" t="s">
        <v>3</v>
      </c>
    </row>
    <row r="1053" customFormat="false" ht="15" hidden="false" customHeight="false" outlineLevel="0" collapsed="false">
      <c r="A1053" s="12" t="s">
        <v>704</v>
      </c>
      <c r="B1053" s="12" t="n">
        <f aca="false">COUNTIFS(Cleaned!$D$2:$D$125,1,Cleaned!BE$2:BE$125,0)</f>
        <v>9</v>
      </c>
      <c r="C1053" s="13" t="n">
        <f aca="false">IFERROR(B1053/$F1053,"")</f>
        <v>1</v>
      </c>
      <c r="D1053" s="12" t="n">
        <f aca="false">COUNTIFS(Cleaned!$D$2:$D$125,1,Cleaned!BE$2:BE$125,1)</f>
        <v>0</v>
      </c>
      <c r="E1053" s="13" t="n">
        <f aca="false">IFERROR(D1053/$F1053,"")</f>
        <v>0</v>
      </c>
      <c r="F1053" s="12" t="n">
        <f aca="false">B1053+D1053</f>
        <v>9</v>
      </c>
    </row>
    <row r="1054" customFormat="false" ht="15" hidden="false" customHeight="false" outlineLevel="0" collapsed="false">
      <c r="A1054" s="12" t="s">
        <v>705</v>
      </c>
      <c r="B1054" s="12" t="n">
        <f aca="false">COUNTIFS(Cleaned!$D$2:$D$125,2,Cleaned!BE$2:BE$125,0)</f>
        <v>13</v>
      </c>
      <c r="C1054" s="13" t="n">
        <f aca="false">IFERROR(B1054/$F1054,"")</f>
        <v>0.928571428571429</v>
      </c>
      <c r="D1054" s="12" t="n">
        <f aca="false">COUNTIFS(Cleaned!$D$2:$D$125,2,Cleaned!BE$2:BE$125,1)</f>
        <v>1</v>
      </c>
      <c r="E1054" s="13" t="n">
        <f aca="false">IFERROR(D1054/$F1054,"")</f>
        <v>0.0714285714285714</v>
      </c>
      <c r="F1054" s="12" t="n">
        <f aca="false">B1054+D1054</f>
        <v>14</v>
      </c>
    </row>
    <row r="1055" customFormat="false" ht="15" hidden="false" customHeight="false" outlineLevel="0" collapsed="false">
      <c r="A1055" s="12" t="s">
        <v>706</v>
      </c>
      <c r="B1055" s="12" t="n">
        <f aca="false">COUNTIFS(Cleaned!$D$2:$D$125,3,Cleaned!BE$2:BE$125,0)</f>
        <v>8</v>
      </c>
      <c r="C1055" s="13" t="n">
        <f aca="false">IFERROR(B1055/$F1055,"")</f>
        <v>1</v>
      </c>
      <c r="D1055" s="12" t="n">
        <f aca="false">COUNTIFS(Cleaned!$D$2:$D$125,3,Cleaned!BE$2:BE$125,1)</f>
        <v>0</v>
      </c>
      <c r="E1055" s="13" t="n">
        <f aca="false">IFERROR(D1055/$F1055,"")</f>
        <v>0</v>
      </c>
      <c r="F1055" s="12" t="n">
        <f aca="false">B1055+D1055</f>
        <v>8</v>
      </c>
    </row>
    <row r="1056" customFormat="false" ht="15" hidden="false" customHeight="false" outlineLevel="0" collapsed="false">
      <c r="A1056" s="12" t="s">
        <v>707</v>
      </c>
      <c r="B1056" s="12" t="n">
        <f aca="false">COUNTIFS(Cleaned!$D$2:$D$125,4,Cleaned!BE$2:BE$125,0)</f>
        <v>6</v>
      </c>
      <c r="C1056" s="13" t="n">
        <f aca="false">IFERROR(B1056/$F1056,"")</f>
        <v>1</v>
      </c>
      <c r="D1056" s="12" t="n">
        <f aca="false">COUNTIFS(Cleaned!$D$2:$D$125,4,Cleaned!BE$2:BE$125,1)</f>
        <v>0</v>
      </c>
      <c r="E1056" s="13" t="n">
        <f aca="false">IFERROR(D1056/$F1056,"")</f>
        <v>0</v>
      </c>
      <c r="F1056" s="12" t="n">
        <f aca="false">B1056+D1056</f>
        <v>6</v>
      </c>
    </row>
    <row r="1057" customFormat="false" ht="15" hidden="false" customHeight="false" outlineLevel="0" collapsed="false">
      <c r="A1057" s="12" t="s">
        <v>708</v>
      </c>
      <c r="B1057" s="12" t="n">
        <f aca="false">COUNTIFS(Cleaned!$D$2:$D$125,5,Cleaned!BE$2:BE$125,0)</f>
        <v>1</v>
      </c>
      <c r="C1057" s="13" t="n">
        <f aca="false">IFERROR(B1057/$F1057,"")</f>
        <v>1</v>
      </c>
      <c r="D1057" s="12" t="n">
        <f aca="false">COUNTIFS(Cleaned!$D$2:$D$125,5,Cleaned!BE$2:BE$125,1)</f>
        <v>0</v>
      </c>
      <c r="E1057" s="13" t="n">
        <f aca="false">IFERROR(D1057/$F1057,"")</f>
        <v>0</v>
      </c>
      <c r="F1057" s="12" t="n">
        <f aca="false">B1057+D1057</f>
        <v>1</v>
      </c>
    </row>
    <row r="1058" customFormat="false" ht="15" hidden="false" customHeight="false" outlineLevel="0" collapsed="false">
      <c r="A1058" s="12" t="s">
        <v>709</v>
      </c>
      <c r="B1058" s="12" t="n">
        <f aca="false">COUNTIFS(Cleaned!$D$2:$D$125,6,Cleaned!BE$2:BE$125,0)</f>
        <v>2</v>
      </c>
      <c r="C1058" s="13" t="n">
        <f aca="false">IFERROR(B1058/$F1058,"")</f>
        <v>1</v>
      </c>
      <c r="D1058" s="12" t="n">
        <f aca="false">COUNTIFS(Cleaned!$D$2:$D$125,6,Cleaned!BE$2:BE$125,1)</f>
        <v>0</v>
      </c>
      <c r="E1058" s="13" t="n">
        <f aca="false">IFERROR(D1058/$F1058,"")</f>
        <v>0</v>
      </c>
      <c r="F1058" s="12" t="n">
        <f aca="false">B1058+D1058</f>
        <v>2</v>
      </c>
    </row>
    <row r="1059" customFormat="false" ht="15" hidden="false" customHeight="false" outlineLevel="0" collapsed="false">
      <c r="A1059" s="12" t="s">
        <v>710</v>
      </c>
      <c r="B1059" s="12" t="n">
        <f aca="false">COUNTIFS(Cleaned!$D$2:$D$125,7,Cleaned!BE$2:BE$125,0)</f>
        <v>6</v>
      </c>
      <c r="C1059" s="13" t="n">
        <f aca="false">IFERROR(B1059/$F1059,"")</f>
        <v>0.857142857142857</v>
      </c>
      <c r="D1059" s="12" t="n">
        <f aca="false">COUNTIFS(Cleaned!$D$2:$D$125,7,Cleaned!BE$2:BE$125,1)</f>
        <v>1</v>
      </c>
      <c r="E1059" s="13" t="n">
        <f aca="false">IFERROR(D1059/$F1059,"")</f>
        <v>0.142857142857143</v>
      </c>
      <c r="F1059" s="12" t="n">
        <f aca="false">B1059+D1059</f>
        <v>7</v>
      </c>
    </row>
    <row r="1060" customFormat="false" ht="15" hidden="false" customHeight="false" outlineLevel="0" collapsed="false">
      <c r="A1060" s="12" t="s">
        <v>711</v>
      </c>
      <c r="B1060" s="12" t="n">
        <f aca="false">COUNTIFS(Cleaned!$D$2:$D$125,8,Cleaned!BE$2:BE$125,0)</f>
        <v>3</v>
      </c>
      <c r="C1060" s="13" t="n">
        <f aca="false">IFERROR(B1060/$F1060,"")</f>
        <v>0.75</v>
      </c>
      <c r="D1060" s="12" t="n">
        <f aca="false">COUNTIFS(Cleaned!$D$2:$D$125,8,Cleaned!BE$2:BE$125,1)</f>
        <v>1</v>
      </c>
      <c r="E1060" s="13" t="n">
        <f aca="false">IFERROR(D1060/$F1060,"")</f>
        <v>0.25</v>
      </c>
      <c r="F1060" s="12" t="n">
        <f aca="false">B1060+D1060</f>
        <v>4</v>
      </c>
    </row>
    <row r="1061" customFormat="false" ht="15" hidden="false" customHeight="false" outlineLevel="0" collapsed="false">
      <c r="A1061" s="12" t="s">
        <v>712</v>
      </c>
      <c r="B1061" s="12" t="n">
        <f aca="false">COUNTIFS(Cleaned!$D$2:$D$125,9,Cleaned!BE$2:BE$125,0)</f>
        <v>2</v>
      </c>
      <c r="C1061" s="13" t="n">
        <f aca="false">IFERROR(B1061/$F1061,"")</f>
        <v>1</v>
      </c>
      <c r="D1061" s="12" t="n">
        <f aca="false">COUNTIFS(Cleaned!$D$2:$D$125,9,Cleaned!BE$2:BE$125,1)</f>
        <v>0</v>
      </c>
      <c r="E1061" s="13" t="n">
        <f aca="false">IFERROR(D1061/$F1061,"")</f>
        <v>0</v>
      </c>
      <c r="F1061" s="12" t="n">
        <f aca="false">B1061+D1061</f>
        <v>2</v>
      </c>
    </row>
    <row r="1062" customFormat="false" ht="15" hidden="false" customHeight="false" outlineLevel="0" collapsed="false">
      <c r="A1062" s="12" t="s">
        <v>713</v>
      </c>
      <c r="B1062" s="12" t="n">
        <f aca="false">COUNTIFS(Cleaned!$D$2:$D$125,10,Cleaned!BE$2:BE$125,0)</f>
        <v>0</v>
      </c>
      <c r="C1062" s="13" t="str">
        <f aca="false">IFERROR(B1062/$F1062,"")</f>
        <v/>
      </c>
      <c r="D1062" s="12" t="n">
        <f aca="false">COUNTIFS(Cleaned!$D$2:$D$125,10,Cleaned!BE$2:BE$125,1)</f>
        <v>0</v>
      </c>
      <c r="E1062" s="13" t="str">
        <f aca="false">IFERROR(D1062/$F1062,"")</f>
        <v/>
      </c>
      <c r="F1062" s="12" t="n">
        <f aca="false">B1062+D1062</f>
        <v>0</v>
      </c>
    </row>
    <row r="1063" customFormat="false" ht="15" hidden="false" customHeight="false" outlineLevel="0" collapsed="false">
      <c r="A1063" s="12" t="s">
        <v>714</v>
      </c>
      <c r="B1063" s="12" t="n">
        <f aca="false">COUNTIFS(Cleaned!$D$2:$D$125,11,Cleaned!BE$2:BE$125,0)</f>
        <v>7</v>
      </c>
      <c r="C1063" s="13" t="n">
        <f aca="false">IFERROR(B1063/$F1063,"")</f>
        <v>1</v>
      </c>
      <c r="D1063" s="12" t="n">
        <f aca="false">COUNTIFS(Cleaned!$D$2:$D$125,11,Cleaned!BE$2:BE$125,1)</f>
        <v>0</v>
      </c>
      <c r="E1063" s="13" t="n">
        <f aca="false">IFERROR(D1063/$F1063,"")</f>
        <v>0</v>
      </c>
      <c r="F1063" s="12" t="n">
        <f aca="false">B1063+D1063</f>
        <v>7</v>
      </c>
    </row>
    <row r="1064" customFormat="false" ht="15" hidden="false" customHeight="false" outlineLevel="0" collapsed="false">
      <c r="A1064" s="12" t="s">
        <v>715</v>
      </c>
      <c r="B1064" s="12" t="n">
        <f aca="false">COUNTIFS(Cleaned!$D$2:$D$125,12,Cleaned!BE$2:BE$125,0)</f>
        <v>2</v>
      </c>
      <c r="C1064" s="13" t="n">
        <f aca="false">IFERROR(B1064/$F1064,"")</f>
        <v>0.5</v>
      </c>
      <c r="D1064" s="12" t="n">
        <f aca="false">COUNTIFS(Cleaned!$D$2:$D$125,12,Cleaned!BE$2:BE$125,1)</f>
        <v>2</v>
      </c>
      <c r="E1064" s="13" t="n">
        <f aca="false">IFERROR(D1064/$F1064,"")</f>
        <v>0.5</v>
      </c>
      <c r="F1064" s="12" t="n">
        <f aca="false">B1064+D1064</f>
        <v>4</v>
      </c>
    </row>
    <row r="1065" customFormat="false" ht="15" hidden="false" customHeight="false" outlineLevel="0" collapsed="false">
      <c r="A1065" s="11" t="s">
        <v>716</v>
      </c>
      <c r="B1065" s="11" t="n">
        <f aca="false">SUM(B1053:B1064)</f>
        <v>59</v>
      </c>
      <c r="C1065" s="14" t="n">
        <f aca="false">IFERROR(B1065/$F1065,"")</f>
        <v>0.921875</v>
      </c>
      <c r="D1065" s="11" t="n">
        <f aca="false">SUM(D1053:D1064)</f>
        <v>5</v>
      </c>
      <c r="E1065" s="14" t="n">
        <f aca="false">IFERROR(D1065/$F1065,"")</f>
        <v>0.078125</v>
      </c>
      <c r="F1065" s="11" t="n">
        <f aca="false">SUM(F1053:F1064)</f>
        <v>64</v>
      </c>
    </row>
    <row r="1068" customFormat="false" ht="15" hidden="false" customHeight="false" outlineLevel="0" collapsed="false">
      <c r="A1068" s="6" t="s">
        <v>57</v>
      </c>
      <c r="B1068" s="7" t="s">
        <v>776</v>
      </c>
    </row>
    <row r="1069" customFormat="false" ht="15" hidden="false" customHeight="false" outlineLevel="0" collapsed="false">
      <c r="A1069" s="8"/>
      <c r="B1069" s="9" t="s">
        <v>718</v>
      </c>
      <c r="C1069" s="8"/>
      <c r="D1069" s="9" t="s">
        <v>719</v>
      </c>
      <c r="E1069" s="8"/>
      <c r="F1069" s="9" t="s">
        <v>694</v>
      </c>
    </row>
    <row r="1070" customFormat="false" ht="15" hidden="false" customHeight="false" outlineLevel="0" collapsed="false">
      <c r="B1070" s="10" t="s">
        <v>695</v>
      </c>
      <c r="C1070" s="10" t="s">
        <v>696</v>
      </c>
      <c r="D1070" s="10" t="s">
        <v>695</v>
      </c>
      <c r="E1070" s="10" t="s">
        <v>696</v>
      </c>
    </row>
    <row r="1071" customFormat="false" ht="15" hidden="false" customHeight="false" outlineLevel="0" collapsed="false">
      <c r="A1071" s="11" t="s">
        <v>697</v>
      </c>
    </row>
    <row r="1072" customFormat="false" ht="15" hidden="false" customHeight="false" outlineLevel="0" collapsed="false">
      <c r="A1072" s="12" t="s">
        <v>698</v>
      </c>
      <c r="B1072" s="12" t="n">
        <f aca="false">COUNTIFS(Cleaned!$C$2:$C$125,1,Cleaned!BF$2:BF$125,0)</f>
        <v>9</v>
      </c>
      <c r="C1072" s="13" t="n">
        <f aca="false">IFERROR(B1072/$F1072,"")</f>
        <v>0.818181818181818</v>
      </c>
      <c r="D1072" s="12" t="n">
        <f aca="false">COUNTIFS(Cleaned!$C$2:$C$125,1,Cleaned!BF$2:BF$125,1)</f>
        <v>2</v>
      </c>
      <c r="E1072" s="13" t="n">
        <f aca="false">IFERROR(D1072/$F1072,"")</f>
        <v>0.181818181818182</v>
      </c>
      <c r="F1072" s="12" t="n">
        <f aca="false">B1072+D1072</f>
        <v>11</v>
      </c>
    </row>
    <row r="1073" customFormat="false" ht="15" hidden="false" customHeight="false" outlineLevel="0" collapsed="false">
      <c r="A1073" s="12" t="s">
        <v>699</v>
      </c>
      <c r="B1073" s="12" t="n">
        <f aca="false">COUNTIFS(Cleaned!$C$2:$C$125,2,Cleaned!BF$2:BF$125,0)</f>
        <v>3</v>
      </c>
      <c r="C1073" s="13" t="n">
        <f aca="false">IFERROR(B1073/$F1073,"")</f>
        <v>0.375</v>
      </c>
      <c r="D1073" s="12" t="n">
        <f aca="false">COUNTIFS(Cleaned!$C$2:$C$125,2,Cleaned!BF$2:BF$125,1)</f>
        <v>5</v>
      </c>
      <c r="E1073" s="13" t="n">
        <f aca="false">IFERROR(D1073/$F1073,"")</f>
        <v>0.625</v>
      </c>
      <c r="F1073" s="12" t="n">
        <f aca="false">B1073+D1073</f>
        <v>8</v>
      </c>
    </row>
    <row r="1074" customFormat="false" ht="15" hidden="false" customHeight="false" outlineLevel="0" collapsed="false">
      <c r="A1074" s="12" t="s">
        <v>700</v>
      </c>
      <c r="B1074" s="12" t="n">
        <f aca="false">COUNTIFS(Cleaned!$C$2:$C$125,3,Cleaned!BF$2:BF$125,0)</f>
        <v>8</v>
      </c>
      <c r="C1074" s="13" t="n">
        <f aca="false">IFERROR(B1074/$F1074,"")</f>
        <v>0.615384615384615</v>
      </c>
      <c r="D1074" s="12" t="n">
        <f aca="false">COUNTIFS(Cleaned!$C$2:$C$125,3,Cleaned!BF$2:BF$125,1)</f>
        <v>5</v>
      </c>
      <c r="E1074" s="13" t="n">
        <f aca="false">IFERROR(D1074/$F1074,"")</f>
        <v>0.384615384615385</v>
      </c>
      <c r="F1074" s="12" t="n">
        <f aca="false">B1074+D1074</f>
        <v>13</v>
      </c>
    </row>
    <row r="1075" customFormat="false" ht="15" hidden="false" customHeight="false" outlineLevel="0" collapsed="false">
      <c r="A1075" s="12" t="s">
        <v>701</v>
      </c>
      <c r="B1075" s="12" t="n">
        <f aca="false">COUNTIFS(Cleaned!$C$2:$C$125,4,Cleaned!BF$2:BF$125,0)</f>
        <v>4</v>
      </c>
      <c r="C1075" s="13" t="n">
        <f aca="false">IFERROR(B1075/$F1075,"")</f>
        <v>0.363636363636364</v>
      </c>
      <c r="D1075" s="12" t="n">
        <f aca="false">COUNTIFS(Cleaned!$C$2:$C$125,4,Cleaned!BF$2:BF$125,1)</f>
        <v>7</v>
      </c>
      <c r="E1075" s="13" t="n">
        <f aca="false">IFERROR(D1075/$F1075,"")</f>
        <v>0.636363636363636</v>
      </c>
      <c r="F1075" s="12" t="n">
        <f aca="false">B1075+D1075</f>
        <v>11</v>
      </c>
    </row>
    <row r="1076" customFormat="false" ht="15" hidden="false" customHeight="false" outlineLevel="0" collapsed="false">
      <c r="A1076" s="12" t="s">
        <v>702</v>
      </c>
      <c r="B1076" s="12" t="n">
        <f aca="false">COUNTIFS(Cleaned!$C$2:$C$125,5,Cleaned!BF$2:BF$125,0)</f>
        <v>12</v>
      </c>
      <c r="C1076" s="13" t="n">
        <f aca="false">IFERROR(B1076/$F1076,"")</f>
        <v>0.571428571428571</v>
      </c>
      <c r="D1076" s="12" t="n">
        <f aca="false">COUNTIFS(Cleaned!$C$2:$C$125,5,Cleaned!BF$2:BF$125,1)</f>
        <v>9</v>
      </c>
      <c r="E1076" s="13" t="n">
        <f aca="false">IFERROR(D1076/$F1076,"")</f>
        <v>0.428571428571429</v>
      </c>
      <c r="F1076" s="12" t="n">
        <f aca="false">B1076+D1076</f>
        <v>21</v>
      </c>
    </row>
    <row r="1077" customFormat="false" ht="15" hidden="false" customHeight="false" outlineLevel="0" collapsed="false">
      <c r="A1077" s="11" t="s">
        <v>703</v>
      </c>
      <c r="B1077" s="11" t="n">
        <f aca="false">SUM(B1072:B1076)</f>
        <v>36</v>
      </c>
      <c r="C1077" s="14" t="n">
        <f aca="false">IFERROR(B1077/$F1077,"")</f>
        <v>0.5625</v>
      </c>
      <c r="D1077" s="11" t="n">
        <f aca="false">SUM(D1072:D1076)</f>
        <v>28</v>
      </c>
      <c r="E1077" s="14" t="n">
        <f aca="false">IFERROR(D1077/$F1077,"")</f>
        <v>0.4375</v>
      </c>
      <c r="F1077" s="11" t="n">
        <f aca="false">SUM(F1072:F1076)</f>
        <v>64</v>
      </c>
    </row>
    <row r="1078" customFormat="false" ht="15" hidden="false" customHeight="false" outlineLevel="0" collapsed="false">
      <c r="A1078" s="11" t="s">
        <v>3</v>
      </c>
    </row>
    <row r="1079" customFormat="false" ht="15" hidden="false" customHeight="false" outlineLevel="0" collapsed="false">
      <c r="A1079" s="12" t="s">
        <v>704</v>
      </c>
      <c r="B1079" s="12" t="n">
        <f aca="false">COUNTIFS(Cleaned!$D$2:$D$125,1,Cleaned!BF$2:BF$125,0)</f>
        <v>8</v>
      </c>
      <c r="C1079" s="13" t="n">
        <f aca="false">IFERROR(B1079/$F1079,"")</f>
        <v>0.888888888888889</v>
      </c>
      <c r="D1079" s="12" t="n">
        <f aca="false">COUNTIFS(Cleaned!$D$2:$D$125,1,Cleaned!BF$2:BF$125,1)</f>
        <v>1</v>
      </c>
      <c r="E1079" s="13" t="n">
        <f aca="false">IFERROR(D1079/$F1079,"")</f>
        <v>0.111111111111111</v>
      </c>
      <c r="F1079" s="12" t="n">
        <f aca="false">B1079+D1079</f>
        <v>9</v>
      </c>
    </row>
    <row r="1080" customFormat="false" ht="15" hidden="false" customHeight="false" outlineLevel="0" collapsed="false">
      <c r="A1080" s="12" t="s">
        <v>705</v>
      </c>
      <c r="B1080" s="12" t="n">
        <f aca="false">COUNTIFS(Cleaned!$D$2:$D$125,2,Cleaned!BF$2:BF$125,0)</f>
        <v>7</v>
      </c>
      <c r="C1080" s="13" t="n">
        <f aca="false">IFERROR(B1080/$F1080,"")</f>
        <v>0.5</v>
      </c>
      <c r="D1080" s="12" t="n">
        <f aca="false">COUNTIFS(Cleaned!$D$2:$D$125,2,Cleaned!BF$2:BF$125,1)</f>
        <v>7</v>
      </c>
      <c r="E1080" s="13" t="n">
        <f aca="false">IFERROR(D1080/$F1080,"")</f>
        <v>0.5</v>
      </c>
      <c r="F1080" s="12" t="n">
        <f aca="false">B1080+D1080</f>
        <v>14</v>
      </c>
    </row>
    <row r="1081" customFormat="false" ht="15" hidden="false" customHeight="false" outlineLevel="0" collapsed="false">
      <c r="A1081" s="12" t="s">
        <v>706</v>
      </c>
      <c r="B1081" s="12" t="n">
        <f aca="false">COUNTIFS(Cleaned!$D$2:$D$125,3,Cleaned!BF$2:BF$125,0)</f>
        <v>3</v>
      </c>
      <c r="C1081" s="13" t="n">
        <f aca="false">IFERROR(B1081/$F1081,"")</f>
        <v>0.375</v>
      </c>
      <c r="D1081" s="12" t="n">
        <f aca="false">COUNTIFS(Cleaned!$D$2:$D$125,3,Cleaned!BF$2:BF$125,1)</f>
        <v>5</v>
      </c>
      <c r="E1081" s="13" t="n">
        <f aca="false">IFERROR(D1081/$F1081,"")</f>
        <v>0.625</v>
      </c>
      <c r="F1081" s="12" t="n">
        <f aca="false">B1081+D1081</f>
        <v>8</v>
      </c>
    </row>
    <row r="1082" customFormat="false" ht="15" hidden="false" customHeight="false" outlineLevel="0" collapsed="false">
      <c r="A1082" s="12" t="s">
        <v>707</v>
      </c>
      <c r="B1082" s="12" t="n">
        <f aca="false">COUNTIFS(Cleaned!$D$2:$D$125,4,Cleaned!BF$2:BF$125,0)</f>
        <v>4</v>
      </c>
      <c r="C1082" s="13" t="n">
        <f aca="false">IFERROR(B1082/$F1082,"")</f>
        <v>0.666666666666667</v>
      </c>
      <c r="D1082" s="12" t="n">
        <f aca="false">COUNTIFS(Cleaned!$D$2:$D$125,4,Cleaned!BF$2:BF$125,1)</f>
        <v>2</v>
      </c>
      <c r="E1082" s="13" t="n">
        <f aca="false">IFERROR(D1082/$F1082,"")</f>
        <v>0.333333333333333</v>
      </c>
      <c r="F1082" s="12" t="n">
        <f aca="false">B1082+D1082</f>
        <v>6</v>
      </c>
    </row>
    <row r="1083" customFormat="false" ht="15" hidden="false" customHeight="false" outlineLevel="0" collapsed="false">
      <c r="A1083" s="12" t="s">
        <v>708</v>
      </c>
      <c r="B1083" s="12" t="n">
        <f aca="false">COUNTIFS(Cleaned!$D$2:$D$125,5,Cleaned!BF$2:BF$125,0)</f>
        <v>0</v>
      </c>
      <c r="C1083" s="13" t="n">
        <f aca="false">IFERROR(B1083/$F1083,"")</f>
        <v>0</v>
      </c>
      <c r="D1083" s="12" t="n">
        <f aca="false">COUNTIFS(Cleaned!$D$2:$D$125,5,Cleaned!BF$2:BF$125,1)</f>
        <v>1</v>
      </c>
      <c r="E1083" s="13" t="n">
        <f aca="false">IFERROR(D1083/$F1083,"")</f>
        <v>1</v>
      </c>
      <c r="F1083" s="12" t="n">
        <f aca="false">B1083+D1083</f>
        <v>1</v>
      </c>
    </row>
    <row r="1084" customFormat="false" ht="15" hidden="false" customHeight="false" outlineLevel="0" collapsed="false">
      <c r="A1084" s="12" t="s">
        <v>709</v>
      </c>
      <c r="B1084" s="12" t="n">
        <f aca="false">COUNTIFS(Cleaned!$D$2:$D$125,6,Cleaned!BF$2:BF$125,0)</f>
        <v>0</v>
      </c>
      <c r="C1084" s="13" t="n">
        <f aca="false">IFERROR(B1084/$F1084,"")</f>
        <v>0</v>
      </c>
      <c r="D1084" s="12" t="n">
        <f aca="false">COUNTIFS(Cleaned!$D$2:$D$125,6,Cleaned!BF$2:BF$125,1)</f>
        <v>2</v>
      </c>
      <c r="E1084" s="13" t="n">
        <f aca="false">IFERROR(D1084/$F1084,"")</f>
        <v>1</v>
      </c>
      <c r="F1084" s="12" t="n">
        <f aca="false">B1084+D1084</f>
        <v>2</v>
      </c>
    </row>
    <row r="1085" customFormat="false" ht="15" hidden="false" customHeight="false" outlineLevel="0" collapsed="false">
      <c r="A1085" s="12" t="s">
        <v>710</v>
      </c>
      <c r="B1085" s="12" t="n">
        <f aca="false">COUNTIFS(Cleaned!$D$2:$D$125,7,Cleaned!BF$2:BF$125,0)</f>
        <v>4</v>
      </c>
      <c r="C1085" s="13" t="n">
        <f aca="false">IFERROR(B1085/$F1085,"")</f>
        <v>0.571428571428571</v>
      </c>
      <c r="D1085" s="12" t="n">
        <f aca="false">COUNTIFS(Cleaned!$D$2:$D$125,7,Cleaned!BF$2:BF$125,1)</f>
        <v>3</v>
      </c>
      <c r="E1085" s="13" t="n">
        <f aca="false">IFERROR(D1085/$F1085,"")</f>
        <v>0.428571428571429</v>
      </c>
      <c r="F1085" s="12" t="n">
        <f aca="false">B1085+D1085</f>
        <v>7</v>
      </c>
    </row>
    <row r="1086" customFormat="false" ht="15" hidden="false" customHeight="false" outlineLevel="0" collapsed="false">
      <c r="A1086" s="12" t="s">
        <v>711</v>
      </c>
      <c r="B1086" s="12" t="n">
        <f aca="false">COUNTIFS(Cleaned!$D$2:$D$125,8,Cleaned!BF$2:BF$125,0)</f>
        <v>1</v>
      </c>
      <c r="C1086" s="13" t="n">
        <f aca="false">IFERROR(B1086/$F1086,"")</f>
        <v>0.25</v>
      </c>
      <c r="D1086" s="12" t="n">
        <f aca="false">COUNTIFS(Cleaned!$D$2:$D$125,8,Cleaned!BF$2:BF$125,1)</f>
        <v>3</v>
      </c>
      <c r="E1086" s="13" t="n">
        <f aca="false">IFERROR(D1086/$F1086,"")</f>
        <v>0.75</v>
      </c>
      <c r="F1086" s="12" t="n">
        <f aca="false">B1086+D1086</f>
        <v>4</v>
      </c>
    </row>
    <row r="1087" customFormat="false" ht="15" hidden="false" customHeight="false" outlineLevel="0" collapsed="false">
      <c r="A1087" s="12" t="s">
        <v>712</v>
      </c>
      <c r="B1087" s="12" t="n">
        <f aca="false">COUNTIFS(Cleaned!$D$2:$D$125,9,Cleaned!BF$2:BF$125,0)</f>
        <v>1</v>
      </c>
      <c r="C1087" s="13" t="n">
        <f aca="false">IFERROR(B1087/$F1087,"")</f>
        <v>0.5</v>
      </c>
      <c r="D1087" s="12" t="n">
        <f aca="false">COUNTIFS(Cleaned!$D$2:$D$125,9,Cleaned!BF$2:BF$125,1)</f>
        <v>1</v>
      </c>
      <c r="E1087" s="13" t="n">
        <f aca="false">IFERROR(D1087/$F1087,"")</f>
        <v>0.5</v>
      </c>
      <c r="F1087" s="12" t="n">
        <f aca="false">B1087+D1087</f>
        <v>2</v>
      </c>
    </row>
    <row r="1088" customFormat="false" ht="15" hidden="false" customHeight="false" outlineLevel="0" collapsed="false">
      <c r="A1088" s="12" t="s">
        <v>713</v>
      </c>
      <c r="B1088" s="12" t="n">
        <f aca="false">COUNTIFS(Cleaned!$D$2:$D$125,10,Cleaned!BF$2:BF$125,0)</f>
        <v>0</v>
      </c>
      <c r="C1088" s="13" t="str">
        <f aca="false">IFERROR(B1088/$F1088,"")</f>
        <v/>
      </c>
      <c r="D1088" s="12" t="n">
        <f aca="false">COUNTIFS(Cleaned!$D$2:$D$125,10,Cleaned!BF$2:BF$125,1)</f>
        <v>0</v>
      </c>
      <c r="E1088" s="13" t="str">
        <f aca="false">IFERROR(D1088/$F1088,"")</f>
        <v/>
      </c>
      <c r="F1088" s="12" t="n">
        <f aca="false">B1088+D1088</f>
        <v>0</v>
      </c>
    </row>
    <row r="1089" customFormat="false" ht="15" hidden="false" customHeight="false" outlineLevel="0" collapsed="false">
      <c r="A1089" s="12" t="s">
        <v>714</v>
      </c>
      <c r="B1089" s="12" t="n">
        <f aca="false">COUNTIFS(Cleaned!$D$2:$D$125,11,Cleaned!BF$2:BF$125,0)</f>
        <v>4</v>
      </c>
      <c r="C1089" s="13" t="n">
        <f aca="false">IFERROR(B1089/$F1089,"")</f>
        <v>0.571428571428571</v>
      </c>
      <c r="D1089" s="12" t="n">
        <f aca="false">COUNTIFS(Cleaned!$D$2:$D$125,11,Cleaned!BF$2:BF$125,1)</f>
        <v>3</v>
      </c>
      <c r="E1089" s="13" t="n">
        <f aca="false">IFERROR(D1089/$F1089,"")</f>
        <v>0.428571428571429</v>
      </c>
      <c r="F1089" s="12" t="n">
        <f aca="false">B1089+D1089</f>
        <v>7</v>
      </c>
    </row>
    <row r="1090" customFormat="false" ht="15" hidden="false" customHeight="false" outlineLevel="0" collapsed="false">
      <c r="A1090" s="12" t="s">
        <v>715</v>
      </c>
      <c r="B1090" s="12" t="n">
        <f aca="false">COUNTIFS(Cleaned!$D$2:$D$125,12,Cleaned!BF$2:BF$125,0)</f>
        <v>4</v>
      </c>
      <c r="C1090" s="13" t="n">
        <f aca="false">IFERROR(B1090/$F1090,"")</f>
        <v>1</v>
      </c>
      <c r="D1090" s="12" t="n">
        <f aca="false">COUNTIFS(Cleaned!$D$2:$D$125,12,Cleaned!BF$2:BF$125,1)</f>
        <v>0</v>
      </c>
      <c r="E1090" s="13" t="n">
        <f aca="false">IFERROR(D1090/$F1090,"")</f>
        <v>0</v>
      </c>
      <c r="F1090" s="12" t="n">
        <f aca="false">B1090+D1090</f>
        <v>4</v>
      </c>
    </row>
    <row r="1091" customFormat="false" ht="15" hidden="false" customHeight="false" outlineLevel="0" collapsed="false">
      <c r="A1091" s="11" t="s">
        <v>716</v>
      </c>
      <c r="B1091" s="11" t="n">
        <f aca="false">SUM(B1079:B1090)</f>
        <v>36</v>
      </c>
      <c r="C1091" s="14" t="n">
        <f aca="false">IFERROR(B1091/$F1091,"")</f>
        <v>0.5625</v>
      </c>
      <c r="D1091" s="11" t="n">
        <f aca="false">SUM(D1079:D1090)</f>
        <v>28</v>
      </c>
      <c r="E1091" s="14" t="n">
        <f aca="false">IFERROR(D1091/$F1091,"")</f>
        <v>0.4375</v>
      </c>
      <c r="F1091" s="11" t="n">
        <f aca="false">SUM(F1079:F1090)</f>
        <v>64</v>
      </c>
    </row>
    <row r="1094" customFormat="false" ht="15" hidden="false" customHeight="false" outlineLevel="0" collapsed="false">
      <c r="A1094" s="6" t="s">
        <v>58</v>
      </c>
      <c r="B1094" s="7" t="s">
        <v>777</v>
      </c>
    </row>
    <row r="1095" customFormat="false" ht="15" hidden="false" customHeight="false" outlineLevel="0" collapsed="false">
      <c r="A1095" s="8"/>
      <c r="B1095" s="9" t="s">
        <v>718</v>
      </c>
      <c r="C1095" s="8"/>
      <c r="D1095" s="9" t="s">
        <v>719</v>
      </c>
      <c r="E1095" s="8"/>
      <c r="F1095" s="9" t="s">
        <v>694</v>
      </c>
    </row>
    <row r="1096" customFormat="false" ht="15" hidden="false" customHeight="false" outlineLevel="0" collapsed="false">
      <c r="B1096" s="10" t="s">
        <v>695</v>
      </c>
      <c r="C1096" s="10" t="s">
        <v>696</v>
      </c>
      <c r="D1096" s="10" t="s">
        <v>695</v>
      </c>
      <c r="E1096" s="10" t="s">
        <v>696</v>
      </c>
    </row>
    <row r="1097" customFormat="false" ht="15" hidden="false" customHeight="false" outlineLevel="0" collapsed="false">
      <c r="A1097" s="11" t="s">
        <v>697</v>
      </c>
    </row>
    <row r="1098" customFormat="false" ht="15" hidden="false" customHeight="false" outlineLevel="0" collapsed="false">
      <c r="A1098" s="12" t="s">
        <v>698</v>
      </c>
      <c r="B1098" s="12" t="n">
        <f aca="false">COUNTIFS(Cleaned!$C$2:$C$125,1,Cleaned!BG$2:BG$125,0)</f>
        <v>5</v>
      </c>
      <c r="C1098" s="13" t="n">
        <f aca="false">IFERROR(B1098/$F1098,"")</f>
        <v>0.454545454545455</v>
      </c>
      <c r="D1098" s="12" t="n">
        <f aca="false">COUNTIFS(Cleaned!$C$2:$C$125,1,Cleaned!BG$2:BG$125,1)</f>
        <v>6</v>
      </c>
      <c r="E1098" s="13" t="n">
        <f aca="false">IFERROR(D1098/$F1098,"")</f>
        <v>0.545454545454545</v>
      </c>
      <c r="F1098" s="12" t="n">
        <f aca="false">B1098+D1098</f>
        <v>11</v>
      </c>
    </row>
    <row r="1099" customFormat="false" ht="15" hidden="false" customHeight="false" outlineLevel="0" collapsed="false">
      <c r="A1099" s="12" t="s">
        <v>699</v>
      </c>
      <c r="B1099" s="12" t="n">
        <f aca="false">COUNTIFS(Cleaned!$C$2:$C$125,2,Cleaned!BG$2:BG$125,0)</f>
        <v>1</v>
      </c>
      <c r="C1099" s="13" t="n">
        <f aca="false">IFERROR(B1099/$F1099,"")</f>
        <v>0.125</v>
      </c>
      <c r="D1099" s="12" t="n">
        <f aca="false">COUNTIFS(Cleaned!$C$2:$C$125,2,Cleaned!BG$2:BG$125,1)</f>
        <v>7</v>
      </c>
      <c r="E1099" s="13" t="n">
        <f aca="false">IFERROR(D1099/$F1099,"")</f>
        <v>0.875</v>
      </c>
      <c r="F1099" s="12" t="n">
        <f aca="false">B1099+D1099</f>
        <v>8</v>
      </c>
    </row>
    <row r="1100" customFormat="false" ht="15" hidden="false" customHeight="false" outlineLevel="0" collapsed="false">
      <c r="A1100" s="12" t="s">
        <v>700</v>
      </c>
      <c r="B1100" s="12" t="n">
        <f aca="false">COUNTIFS(Cleaned!$C$2:$C$125,3,Cleaned!BG$2:BG$125,0)</f>
        <v>6</v>
      </c>
      <c r="C1100" s="13" t="n">
        <f aca="false">IFERROR(B1100/$F1100,"")</f>
        <v>0.461538461538462</v>
      </c>
      <c r="D1100" s="12" t="n">
        <f aca="false">COUNTIFS(Cleaned!$C$2:$C$125,3,Cleaned!BG$2:BG$125,1)</f>
        <v>7</v>
      </c>
      <c r="E1100" s="13" t="n">
        <f aca="false">IFERROR(D1100/$F1100,"")</f>
        <v>0.538461538461538</v>
      </c>
      <c r="F1100" s="12" t="n">
        <f aca="false">B1100+D1100</f>
        <v>13</v>
      </c>
    </row>
    <row r="1101" customFormat="false" ht="15" hidden="false" customHeight="false" outlineLevel="0" collapsed="false">
      <c r="A1101" s="12" t="s">
        <v>701</v>
      </c>
      <c r="B1101" s="12" t="n">
        <f aca="false">COUNTIFS(Cleaned!$C$2:$C$125,4,Cleaned!BG$2:BG$125,0)</f>
        <v>1</v>
      </c>
      <c r="C1101" s="13" t="n">
        <f aca="false">IFERROR(B1101/$F1101,"")</f>
        <v>0.0909090909090909</v>
      </c>
      <c r="D1101" s="12" t="n">
        <f aca="false">COUNTIFS(Cleaned!$C$2:$C$125,4,Cleaned!BG$2:BG$125,1)</f>
        <v>10</v>
      </c>
      <c r="E1101" s="13" t="n">
        <f aca="false">IFERROR(D1101/$F1101,"")</f>
        <v>0.909090909090909</v>
      </c>
      <c r="F1101" s="12" t="n">
        <f aca="false">B1101+D1101</f>
        <v>11</v>
      </c>
    </row>
    <row r="1102" customFormat="false" ht="15" hidden="false" customHeight="false" outlineLevel="0" collapsed="false">
      <c r="A1102" s="12" t="s">
        <v>702</v>
      </c>
      <c r="B1102" s="12" t="n">
        <f aca="false">COUNTIFS(Cleaned!$C$2:$C$125,5,Cleaned!BG$2:BG$125,0)</f>
        <v>4</v>
      </c>
      <c r="C1102" s="13" t="n">
        <f aca="false">IFERROR(B1102/$F1102,"")</f>
        <v>0.19047619047619</v>
      </c>
      <c r="D1102" s="12" t="n">
        <f aca="false">COUNTIFS(Cleaned!$C$2:$C$125,5,Cleaned!BG$2:BG$125,1)</f>
        <v>17</v>
      </c>
      <c r="E1102" s="13" t="n">
        <f aca="false">IFERROR(D1102/$F1102,"")</f>
        <v>0.80952380952381</v>
      </c>
      <c r="F1102" s="12" t="n">
        <f aca="false">B1102+D1102</f>
        <v>21</v>
      </c>
    </row>
    <row r="1103" customFormat="false" ht="15" hidden="false" customHeight="false" outlineLevel="0" collapsed="false">
      <c r="A1103" s="11" t="s">
        <v>703</v>
      </c>
      <c r="B1103" s="11" t="n">
        <f aca="false">SUM(B1098:B1102)</f>
        <v>17</v>
      </c>
      <c r="C1103" s="14" t="n">
        <f aca="false">IFERROR(B1103/$F1103,"")</f>
        <v>0.265625</v>
      </c>
      <c r="D1103" s="11" t="n">
        <f aca="false">SUM(D1098:D1102)</f>
        <v>47</v>
      </c>
      <c r="E1103" s="14" t="n">
        <f aca="false">IFERROR(D1103/$F1103,"")</f>
        <v>0.734375</v>
      </c>
      <c r="F1103" s="11" t="n">
        <f aca="false">SUM(F1098:F1102)</f>
        <v>64</v>
      </c>
    </row>
    <row r="1104" customFormat="false" ht="15" hidden="false" customHeight="false" outlineLevel="0" collapsed="false">
      <c r="A1104" s="11" t="s">
        <v>3</v>
      </c>
    </row>
    <row r="1105" customFormat="false" ht="15" hidden="false" customHeight="false" outlineLevel="0" collapsed="false">
      <c r="A1105" s="12" t="s">
        <v>704</v>
      </c>
      <c r="B1105" s="12" t="n">
        <f aca="false">COUNTIFS(Cleaned!$D$2:$D$125,1,Cleaned!BG$2:BG$125,0)</f>
        <v>0</v>
      </c>
      <c r="C1105" s="13" t="n">
        <f aca="false">IFERROR(B1105/$F1105,"")</f>
        <v>0</v>
      </c>
      <c r="D1105" s="12" t="n">
        <f aca="false">COUNTIFS(Cleaned!$D$2:$D$125,1,Cleaned!BG$2:BG$125,1)</f>
        <v>9</v>
      </c>
      <c r="E1105" s="13" t="n">
        <f aca="false">IFERROR(D1105/$F1105,"")</f>
        <v>1</v>
      </c>
      <c r="F1105" s="12" t="n">
        <f aca="false">B1105+D1105</f>
        <v>9</v>
      </c>
    </row>
    <row r="1106" customFormat="false" ht="15" hidden="false" customHeight="false" outlineLevel="0" collapsed="false">
      <c r="A1106" s="12" t="s">
        <v>705</v>
      </c>
      <c r="B1106" s="12" t="n">
        <f aca="false">COUNTIFS(Cleaned!$D$2:$D$125,2,Cleaned!BG$2:BG$125,0)</f>
        <v>2</v>
      </c>
      <c r="C1106" s="13" t="n">
        <f aca="false">IFERROR(B1106/$F1106,"")</f>
        <v>0.142857142857143</v>
      </c>
      <c r="D1106" s="12" t="n">
        <f aca="false">COUNTIFS(Cleaned!$D$2:$D$125,2,Cleaned!BG$2:BG$125,1)</f>
        <v>12</v>
      </c>
      <c r="E1106" s="13" t="n">
        <f aca="false">IFERROR(D1106/$F1106,"")</f>
        <v>0.857142857142857</v>
      </c>
      <c r="F1106" s="12" t="n">
        <f aca="false">B1106+D1106</f>
        <v>14</v>
      </c>
    </row>
    <row r="1107" customFormat="false" ht="15" hidden="false" customHeight="false" outlineLevel="0" collapsed="false">
      <c r="A1107" s="12" t="s">
        <v>706</v>
      </c>
      <c r="B1107" s="12" t="n">
        <f aca="false">COUNTIFS(Cleaned!$D$2:$D$125,3,Cleaned!BG$2:BG$125,0)</f>
        <v>1</v>
      </c>
      <c r="C1107" s="13" t="n">
        <f aca="false">IFERROR(B1107/$F1107,"")</f>
        <v>0.125</v>
      </c>
      <c r="D1107" s="12" t="n">
        <f aca="false">COUNTIFS(Cleaned!$D$2:$D$125,3,Cleaned!BG$2:BG$125,1)</f>
        <v>7</v>
      </c>
      <c r="E1107" s="13" t="n">
        <f aca="false">IFERROR(D1107/$F1107,"")</f>
        <v>0.875</v>
      </c>
      <c r="F1107" s="12" t="n">
        <f aca="false">B1107+D1107</f>
        <v>8</v>
      </c>
    </row>
    <row r="1108" customFormat="false" ht="15" hidden="false" customHeight="false" outlineLevel="0" collapsed="false">
      <c r="A1108" s="12" t="s">
        <v>707</v>
      </c>
      <c r="B1108" s="12" t="n">
        <f aca="false">COUNTIFS(Cleaned!$D$2:$D$125,4,Cleaned!BG$2:BG$125,0)</f>
        <v>3</v>
      </c>
      <c r="C1108" s="13" t="n">
        <f aca="false">IFERROR(B1108/$F1108,"")</f>
        <v>0.5</v>
      </c>
      <c r="D1108" s="12" t="n">
        <f aca="false">COUNTIFS(Cleaned!$D$2:$D$125,4,Cleaned!BG$2:BG$125,1)</f>
        <v>3</v>
      </c>
      <c r="E1108" s="13" t="n">
        <f aca="false">IFERROR(D1108/$F1108,"")</f>
        <v>0.5</v>
      </c>
      <c r="F1108" s="12" t="n">
        <f aca="false">B1108+D1108</f>
        <v>6</v>
      </c>
    </row>
    <row r="1109" customFormat="false" ht="15" hidden="false" customHeight="false" outlineLevel="0" collapsed="false">
      <c r="A1109" s="12" t="s">
        <v>708</v>
      </c>
      <c r="B1109" s="12" t="n">
        <f aca="false">COUNTIFS(Cleaned!$D$2:$D$125,5,Cleaned!BG$2:BG$125,0)</f>
        <v>0</v>
      </c>
      <c r="C1109" s="13" t="n">
        <f aca="false">IFERROR(B1109/$F1109,"")</f>
        <v>0</v>
      </c>
      <c r="D1109" s="12" t="n">
        <f aca="false">COUNTIFS(Cleaned!$D$2:$D$125,5,Cleaned!BG$2:BG$125,1)</f>
        <v>1</v>
      </c>
      <c r="E1109" s="13" t="n">
        <f aca="false">IFERROR(D1109/$F1109,"")</f>
        <v>1</v>
      </c>
      <c r="F1109" s="12" t="n">
        <f aca="false">B1109+D1109</f>
        <v>1</v>
      </c>
    </row>
    <row r="1110" customFormat="false" ht="15" hidden="false" customHeight="false" outlineLevel="0" collapsed="false">
      <c r="A1110" s="12" t="s">
        <v>709</v>
      </c>
      <c r="B1110" s="12" t="n">
        <f aca="false">COUNTIFS(Cleaned!$D$2:$D$125,6,Cleaned!BG$2:BG$125,0)</f>
        <v>0</v>
      </c>
      <c r="C1110" s="13" t="n">
        <f aca="false">IFERROR(B1110/$F1110,"")</f>
        <v>0</v>
      </c>
      <c r="D1110" s="12" t="n">
        <f aca="false">COUNTIFS(Cleaned!$D$2:$D$125,6,Cleaned!BG$2:BG$125,1)</f>
        <v>2</v>
      </c>
      <c r="E1110" s="13" t="n">
        <f aca="false">IFERROR(D1110/$F1110,"")</f>
        <v>1</v>
      </c>
      <c r="F1110" s="12" t="n">
        <f aca="false">B1110+D1110</f>
        <v>2</v>
      </c>
    </row>
    <row r="1111" customFormat="false" ht="15" hidden="false" customHeight="false" outlineLevel="0" collapsed="false">
      <c r="A1111" s="12" t="s">
        <v>710</v>
      </c>
      <c r="B1111" s="12" t="n">
        <f aca="false">COUNTIFS(Cleaned!$D$2:$D$125,7,Cleaned!BG$2:BG$125,0)</f>
        <v>5</v>
      </c>
      <c r="C1111" s="13" t="n">
        <f aca="false">IFERROR(B1111/$F1111,"")</f>
        <v>0.714285714285714</v>
      </c>
      <c r="D1111" s="12" t="n">
        <f aca="false">COUNTIFS(Cleaned!$D$2:$D$125,7,Cleaned!BG$2:BG$125,1)</f>
        <v>2</v>
      </c>
      <c r="E1111" s="13" t="n">
        <f aca="false">IFERROR(D1111/$F1111,"")</f>
        <v>0.285714285714286</v>
      </c>
      <c r="F1111" s="12" t="n">
        <f aca="false">B1111+D1111</f>
        <v>7</v>
      </c>
    </row>
    <row r="1112" customFormat="false" ht="15" hidden="false" customHeight="false" outlineLevel="0" collapsed="false">
      <c r="A1112" s="12" t="s">
        <v>711</v>
      </c>
      <c r="B1112" s="12" t="n">
        <f aca="false">COUNTIFS(Cleaned!$D$2:$D$125,8,Cleaned!BG$2:BG$125,0)</f>
        <v>3</v>
      </c>
      <c r="C1112" s="13" t="n">
        <f aca="false">IFERROR(B1112/$F1112,"")</f>
        <v>0.75</v>
      </c>
      <c r="D1112" s="12" t="n">
        <f aca="false">COUNTIFS(Cleaned!$D$2:$D$125,8,Cleaned!BG$2:BG$125,1)</f>
        <v>1</v>
      </c>
      <c r="E1112" s="13" t="n">
        <f aca="false">IFERROR(D1112/$F1112,"")</f>
        <v>0.25</v>
      </c>
      <c r="F1112" s="12" t="n">
        <f aca="false">B1112+D1112</f>
        <v>4</v>
      </c>
    </row>
    <row r="1113" customFormat="false" ht="15" hidden="false" customHeight="false" outlineLevel="0" collapsed="false">
      <c r="A1113" s="12" t="s">
        <v>712</v>
      </c>
      <c r="B1113" s="12" t="n">
        <f aca="false">COUNTIFS(Cleaned!$D$2:$D$125,9,Cleaned!BG$2:BG$125,0)</f>
        <v>0</v>
      </c>
      <c r="C1113" s="13" t="n">
        <f aca="false">IFERROR(B1113/$F1113,"")</f>
        <v>0</v>
      </c>
      <c r="D1113" s="12" t="n">
        <f aca="false">COUNTIFS(Cleaned!$D$2:$D$125,9,Cleaned!BG$2:BG$125,1)</f>
        <v>2</v>
      </c>
      <c r="E1113" s="13" t="n">
        <f aca="false">IFERROR(D1113/$F1113,"")</f>
        <v>1</v>
      </c>
      <c r="F1113" s="12" t="n">
        <f aca="false">B1113+D1113</f>
        <v>2</v>
      </c>
    </row>
    <row r="1114" customFormat="false" ht="15" hidden="false" customHeight="false" outlineLevel="0" collapsed="false">
      <c r="A1114" s="12" t="s">
        <v>713</v>
      </c>
      <c r="B1114" s="12" t="n">
        <f aca="false">COUNTIFS(Cleaned!$D$2:$D$125,10,Cleaned!BG$2:BG$125,0)</f>
        <v>0</v>
      </c>
      <c r="C1114" s="13" t="str">
        <f aca="false">IFERROR(B1114/$F1114,"")</f>
        <v/>
      </c>
      <c r="D1114" s="12" t="n">
        <f aca="false">COUNTIFS(Cleaned!$D$2:$D$125,10,Cleaned!BG$2:BG$125,1)</f>
        <v>0</v>
      </c>
      <c r="E1114" s="13" t="str">
        <f aca="false">IFERROR(D1114/$F1114,"")</f>
        <v/>
      </c>
      <c r="F1114" s="12" t="n">
        <f aca="false">B1114+D1114</f>
        <v>0</v>
      </c>
    </row>
    <row r="1115" customFormat="false" ht="15" hidden="false" customHeight="false" outlineLevel="0" collapsed="false">
      <c r="A1115" s="12" t="s">
        <v>714</v>
      </c>
      <c r="B1115" s="12" t="n">
        <f aca="false">COUNTIFS(Cleaned!$D$2:$D$125,11,Cleaned!BG$2:BG$125,0)</f>
        <v>0</v>
      </c>
      <c r="C1115" s="13" t="n">
        <f aca="false">IFERROR(B1115/$F1115,"")</f>
        <v>0</v>
      </c>
      <c r="D1115" s="12" t="n">
        <f aca="false">COUNTIFS(Cleaned!$D$2:$D$125,11,Cleaned!BG$2:BG$125,1)</f>
        <v>7</v>
      </c>
      <c r="E1115" s="13" t="n">
        <f aca="false">IFERROR(D1115/$F1115,"")</f>
        <v>1</v>
      </c>
      <c r="F1115" s="12" t="n">
        <f aca="false">B1115+D1115</f>
        <v>7</v>
      </c>
    </row>
    <row r="1116" customFormat="false" ht="15" hidden="false" customHeight="false" outlineLevel="0" collapsed="false">
      <c r="A1116" s="12" t="s">
        <v>715</v>
      </c>
      <c r="B1116" s="12" t="n">
        <f aca="false">COUNTIFS(Cleaned!$D$2:$D$125,12,Cleaned!BG$2:BG$125,0)</f>
        <v>3</v>
      </c>
      <c r="C1116" s="13" t="n">
        <f aca="false">IFERROR(B1116/$F1116,"")</f>
        <v>0.75</v>
      </c>
      <c r="D1116" s="12" t="n">
        <f aca="false">COUNTIFS(Cleaned!$D$2:$D$125,12,Cleaned!BG$2:BG$125,1)</f>
        <v>1</v>
      </c>
      <c r="E1116" s="13" t="n">
        <f aca="false">IFERROR(D1116/$F1116,"")</f>
        <v>0.25</v>
      </c>
      <c r="F1116" s="12" t="n">
        <f aca="false">B1116+D1116</f>
        <v>4</v>
      </c>
    </row>
    <row r="1117" customFormat="false" ht="15" hidden="false" customHeight="false" outlineLevel="0" collapsed="false">
      <c r="A1117" s="11" t="s">
        <v>716</v>
      </c>
      <c r="B1117" s="11" t="n">
        <f aca="false">SUM(B1105:B1116)</f>
        <v>17</v>
      </c>
      <c r="C1117" s="14" t="n">
        <f aca="false">IFERROR(B1117/$F1117,"")</f>
        <v>0.265625</v>
      </c>
      <c r="D1117" s="11" t="n">
        <f aca="false">SUM(D1105:D1116)</f>
        <v>47</v>
      </c>
      <c r="E1117" s="14" t="n">
        <f aca="false">IFERROR(D1117/$F1117,"")</f>
        <v>0.734375</v>
      </c>
      <c r="F1117" s="11" t="n">
        <f aca="false">SUM(F1105:F1116)</f>
        <v>64</v>
      </c>
    </row>
    <row r="1120" customFormat="false" ht="15" hidden="false" customHeight="false" outlineLevel="0" collapsed="false">
      <c r="A1120" s="6" t="s">
        <v>59</v>
      </c>
      <c r="B1120" s="7" t="s">
        <v>778</v>
      </c>
    </row>
    <row r="1121" customFormat="false" ht="15" hidden="false" customHeight="false" outlineLevel="0" collapsed="false">
      <c r="A1121" s="8"/>
      <c r="B1121" s="9" t="s">
        <v>718</v>
      </c>
      <c r="C1121" s="8"/>
      <c r="D1121" s="9" t="s">
        <v>719</v>
      </c>
      <c r="E1121" s="8"/>
      <c r="F1121" s="9" t="s">
        <v>694</v>
      </c>
    </row>
    <row r="1122" customFormat="false" ht="15" hidden="false" customHeight="false" outlineLevel="0" collapsed="false">
      <c r="B1122" s="10" t="s">
        <v>695</v>
      </c>
      <c r="C1122" s="10" t="s">
        <v>696</v>
      </c>
      <c r="D1122" s="10" t="s">
        <v>695</v>
      </c>
      <c r="E1122" s="10" t="s">
        <v>696</v>
      </c>
    </row>
    <row r="1123" customFormat="false" ht="15" hidden="false" customHeight="false" outlineLevel="0" collapsed="false">
      <c r="A1123" s="11" t="s">
        <v>697</v>
      </c>
    </row>
    <row r="1124" customFormat="false" ht="15" hidden="false" customHeight="false" outlineLevel="0" collapsed="false">
      <c r="A1124" s="12" t="s">
        <v>698</v>
      </c>
      <c r="B1124" s="12" t="n">
        <f aca="false">COUNTIFS(Cleaned!$C$2:$C$125,1,Cleaned!BH$2:BH$125,0)</f>
        <v>9</v>
      </c>
      <c r="C1124" s="13" t="n">
        <f aca="false">IFERROR(B1124/$F1124,"")</f>
        <v>0.818181818181818</v>
      </c>
      <c r="D1124" s="12" t="n">
        <f aca="false">COUNTIFS(Cleaned!$C$2:$C$125,1,Cleaned!BH$2:BH$125,1)</f>
        <v>2</v>
      </c>
      <c r="E1124" s="13" t="n">
        <f aca="false">IFERROR(D1124/$F1124,"")</f>
        <v>0.181818181818182</v>
      </c>
      <c r="F1124" s="12" t="n">
        <f aca="false">B1124+D1124</f>
        <v>11</v>
      </c>
    </row>
    <row r="1125" customFormat="false" ht="15" hidden="false" customHeight="false" outlineLevel="0" collapsed="false">
      <c r="A1125" s="12" t="s">
        <v>699</v>
      </c>
      <c r="B1125" s="12" t="n">
        <f aca="false">COUNTIFS(Cleaned!$C$2:$C$125,2,Cleaned!BH$2:BH$125,0)</f>
        <v>4</v>
      </c>
      <c r="C1125" s="13" t="n">
        <f aca="false">IFERROR(B1125/$F1125,"")</f>
        <v>0.5</v>
      </c>
      <c r="D1125" s="12" t="n">
        <f aca="false">COUNTIFS(Cleaned!$C$2:$C$125,2,Cleaned!BH$2:BH$125,1)</f>
        <v>4</v>
      </c>
      <c r="E1125" s="13" t="n">
        <f aca="false">IFERROR(D1125/$F1125,"")</f>
        <v>0.5</v>
      </c>
      <c r="F1125" s="12" t="n">
        <f aca="false">B1125+D1125</f>
        <v>8</v>
      </c>
    </row>
    <row r="1126" customFormat="false" ht="15" hidden="false" customHeight="false" outlineLevel="0" collapsed="false">
      <c r="A1126" s="12" t="s">
        <v>700</v>
      </c>
      <c r="B1126" s="12" t="n">
        <f aca="false">COUNTIFS(Cleaned!$C$2:$C$125,3,Cleaned!BH$2:BH$125,0)</f>
        <v>11</v>
      </c>
      <c r="C1126" s="13" t="n">
        <f aca="false">IFERROR(B1126/$F1126,"")</f>
        <v>0.846153846153846</v>
      </c>
      <c r="D1126" s="12" t="n">
        <f aca="false">COUNTIFS(Cleaned!$C$2:$C$125,3,Cleaned!BH$2:BH$125,1)</f>
        <v>2</v>
      </c>
      <c r="E1126" s="13" t="n">
        <f aca="false">IFERROR(D1126/$F1126,"")</f>
        <v>0.153846153846154</v>
      </c>
      <c r="F1126" s="12" t="n">
        <f aca="false">B1126+D1126</f>
        <v>13</v>
      </c>
    </row>
    <row r="1127" customFormat="false" ht="15" hidden="false" customHeight="false" outlineLevel="0" collapsed="false">
      <c r="A1127" s="12" t="s">
        <v>701</v>
      </c>
      <c r="B1127" s="12" t="n">
        <f aca="false">COUNTIFS(Cleaned!$C$2:$C$125,4,Cleaned!BH$2:BH$125,0)</f>
        <v>5</v>
      </c>
      <c r="C1127" s="13" t="n">
        <f aca="false">IFERROR(B1127/$F1127,"")</f>
        <v>0.454545454545455</v>
      </c>
      <c r="D1127" s="12" t="n">
        <f aca="false">COUNTIFS(Cleaned!$C$2:$C$125,4,Cleaned!BH$2:BH$125,1)</f>
        <v>6</v>
      </c>
      <c r="E1127" s="13" t="n">
        <f aca="false">IFERROR(D1127/$F1127,"")</f>
        <v>0.545454545454545</v>
      </c>
      <c r="F1127" s="12" t="n">
        <f aca="false">B1127+D1127</f>
        <v>11</v>
      </c>
    </row>
    <row r="1128" customFormat="false" ht="15" hidden="false" customHeight="false" outlineLevel="0" collapsed="false">
      <c r="A1128" s="12" t="s">
        <v>702</v>
      </c>
      <c r="B1128" s="12" t="n">
        <f aca="false">COUNTIFS(Cleaned!$C$2:$C$125,5,Cleaned!BH$2:BH$125,0)</f>
        <v>5</v>
      </c>
      <c r="C1128" s="13" t="n">
        <f aca="false">IFERROR(B1128/$F1128,"")</f>
        <v>0.238095238095238</v>
      </c>
      <c r="D1128" s="12" t="n">
        <f aca="false">COUNTIFS(Cleaned!$C$2:$C$125,5,Cleaned!BH$2:BH$125,1)</f>
        <v>16</v>
      </c>
      <c r="E1128" s="13" t="n">
        <f aca="false">IFERROR(D1128/$F1128,"")</f>
        <v>0.761904761904762</v>
      </c>
      <c r="F1128" s="12" t="n">
        <f aca="false">B1128+D1128</f>
        <v>21</v>
      </c>
    </row>
    <row r="1129" customFormat="false" ht="15" hidden="false" customHeight="false" outlineLevel="0" collapsed="false">
      <c r="A1129" s="11" t="s">
        <v>703</v>
      </c>
      <c r="B1129" s="11" t="n">
        <f aca="false">SUM(B1124:B1128)</f>
        <v>34</v>
      </c>
      <c r="C1129" s="14" t="n">
        <f aca="false">IFERROR(B1129/$F1129,"")</f>
        <v>0.53125</v>
      </c>
      <c r="D1129" s="11" t="n">
        <f aca="false">SUM(D1124:D1128)</f>
        <v>30</v>
      </c>
      <c r="E1129" s="14" t="n">
        <f aca="false">IFERROR(D1129/$F1129,"")</f>
        <v>0.46875</v>
      </c>
      <c r="F1129" s="11" t="n">
        <f aca="false">SUM(F1124:F1128)</f>
        <v>64</v>
      </c>
    </row>
    <row r="1130" customFormat="false" ht="15" hidden="false" customHeight="false" outlineLevel="0" collapsed="false">
      <c r="A1130" s="11" t="s">
        <v>3</v>
      </c>
    </row>
    <row r="1131" customFormat="false" ht="15" hidden="false" customHeight="false" outlineLevel="0" collapsed="false">
      <c r="A1131" s="12" t="s">
        <v>704</v>
      </c>
      <c r="B1131" s="12" t="n">
        <f aca="false">COUNTIFS(Cleaned!$D$2:$D$125,1,Cleaned!BH$2:BH$125,0)</f>
        <v>6</v>
      </c>
      <c r="C1131" s="13" t="n">
        <f aca="false">IFERROR(B1131/$F1131,"")</f>
        <v>0.666666666666667</v>
      </c>
      <c r="D1131" s="12" t="n">
        <f aca="false">COUNTIFS(Cleaned!$D$2:$D$125,1,Cleaned!BH$2:BH$125,1)</f>
        <v>3</v>
      </c>
      <c r="E1131" s="13" t="n">
        <f aca="false">IFERROR(D1131/$F1131,"")</f>
        <v>0.333333333333333</v>
      </c>
      <c r="F1131" s="12" t="n">
        <f aca="false">B1131+D1131</f>
        <v>9</v>
      </c>
    </row>
    <row r="1132" customFormat="false" ht="15" hidden="false" customHeight="false" outlineLevel="0" collapsed="false">
      <c r="A1132" s="12" t="s">
        <v>705</v>
      </c>
      <c r="B1132" s="12" t="n">
        <f aca="false">COUNTIFS(Cleaned!$D$2:$D$125,2,Cleaned!BH$2:BH$125,0)</f>
        <v>5</v>
      </c>
      <c r="C1132" s="13" t="n">
        <f aca="false">IFERROR(B1132/$F1132,"")</f>
        <v>0.357142857142857</v>
      </c>
      <c r="D1132" s="12" t="n">
        <f aca="false">COUNTIFS(Cleaned!$D$2:$D$125,2,Cleaned!BH$2:BH$125,1)</f>
        <v>9</v>
      </c>
      <c r="E1132" s="13" t="n">
        <f aca="false">IFERROR(D1132/$F1132,"")</f>
        <v>0.642857142857143</v>
      </c>
      <c r="F1132" s="12" t="n">
        <f aca="false">B1132+D1132</f>
        <v>14</v>
      </c>
    </row>
    <row r="1133" customFormat="false" ht="15" hidden="false" customHeight="false" outlineLevel="0" collapsed="false">
      <c r="A1133" s="12" t="s">
        <v>706</v>
      </c>
      <c r="B1133" s="12" t="n">
        <f aca="false">COUNTIFS(Cleaned!$D$2:$D$125,3,Cleaned!BH$2:BH$125,0)</f>
        <v>1</v>
      </c>
      <c r="C1133" s="13" t="n">
        <f aca="false">IFERROR(B1133/$F1133,"")</f>
        <v>0.125</v>
      </c>
      <c r="D1133" s="12" t="n">
        <f aca="false">COUNTIFS(Cleaned!$D$2:$D$125,3,Cleaned!BH$2:BH$125,1)</f>
        <v>7</v>
      </c>
      <c r="E1133" s="13" t="n">
        <f aca="false">IFERROR(D1133/$F1133,"")</f>
        <v>0.875</v>
      </c>
      <c r="F1133" s="12" t="n">
        <f aca="false">B1133+D1133</f>
        <v>8</v>
      </c>
    </row>
    <row r="1134" customFormat="false" ht="15" hidden="false" customHeight="false" outlineLevel="0" collapsed="false">
      <c r="A1134" s="12" t="s">
        <v>707</v>
      </c>
      <c r="B1134" s="12" t="n">
        <f aca="false">COUNTIFS(Cleaned!$D$2:$D$125,4,Cleaned!BH$2:BH$125,0)</f>
        <v>3</v>
      </c>
      <c r="C1134" s="13" t="n">
        <f aca="false">IFERROR(B1134/$F1134,"")</f>
        <v>0.5</v>
      </c>
      <c r="D1134" s="12" t="n">
        <f aca="false">COUNTIFS(Cleaned!$D$2:$D$125,4,Cleaned!BH$2:BH$125,1)</f>
        <v>3</v>
      </c>
      <c r="E1134" s="13" t="n">
        <f aca="false">IFERROR(D1134/$F1134,"")</f>
        <v>0.5</v>
      </c>
      <c r="F1134" s="12" t="n">
        <f aca="false">B1134+D1134</f>
        <v>6</v>
      </c>
    </row>
    <row r="1135" customFormat="false" ht="15" hidden="false" customHeight="false" outlineLevel="0" collapsed="false">
      <c r="A1135" s="12" t="s">
        <v>708</v>
      </c>
      <c r="B1135" s="12" t="n">
        <f aca="false">COUNTIFS(Cleaned!$D$2:$D$125,5,Cleaned!BH$2:BH$125,0)</f>
        <v>1</v>
      </c>
      <c r="C1135" s="13" t="n">
        <f aca="false">IFERROR(B1135/$F1135,"")</f>
        <v>1</v>
      </c>
      <c r="D1135" s="12" t="n">
        <f aca="false">COUNTIFS(Cleaned!$D$2:$D$125,5,Cleaned!BH$2:BH$125,1)</f>
        <v>0</v>
      </c>
      <c r="E1135" s="13" t="n">
        <f aca="false">IFERROR(D1135/$F1135,"")</f>
        <v>0</v>
      </c>
      <c r="F1135" s="12" t="n">
        <f aca="false">B1135+D1135</f>
        <v>1</v>
      </c>
    </row>
    <row r="1136" customFormat="false" ht="15" hidden="false" customHeight="false" outlineLevel="0" collapsed="false">
      <c r="A1136" s="12" t="s">
        <v>709</v>
      </c>
      <c r="B1136" s="12" t="n">
        <f aca="false">COUNTIFS(Cleaned!$D$2:$D$125,6,Cleaned!BH$2:BH$125,0)</f>
        <v>2</v>
      </c>
      <c r="C1136" s="13" t="n">
        <f aca="false">IFERROR(B1136/$F1136,"")</f>
        <v>1</v>
      </c>
      <c r="D1136" s="12" t="n">
        <f aca="false">COUNTIFS(Cleaned!$D$2:$D$125,6,Cleaned!BH$2:BH$125,1)</f>
        <v>0</v>
      </c>
      <c r="E1136" s="13" t="n">
        <f aca="false">IFERROR(D1136/$F1136,"")</f>
        <v>0</v>
      </c>
      <c r="F1136" s="12" t="n">
        <f aca="false">B1136+D1136</f>
        <v>2</v>
      </c>
    </row>
    <row r="1137" customFormat="false" ht="15" hidden="false" customHeight="false" outlineLevel="0" collapsed="false">
      <c r="A1137" s="12" t="s">
        <v>710</v>
      </c>
      <c r="B1137" s="12" t="n">
        <f aca="false">COUNTIFS(Cleaned!$D$2:$D$125,7,Cleaned!BH$2:BH$125,0)</f>
        <v>4</v>
      </c>
      <c r="C1137" s="13" t="n">
        <f aca="false">IFERROR(B1137/$F1137,"")</f>
        <v>0.571428571428571</v>
      </c>
      <c r="D1137" s="12" t="n">
        <f aca="false">COUNTIFS(Cleaned!$D$2:$D$125,7,Cleaned!BH$2:BH$125,1)</f>
        <v>3</v>
      </c>
      <c r="E1137" s="13" t="n">
        <f aca="false">IFERROR(D1137/$F1137,"")</f>
        <v>0.428571428571429</v>
      </c>
      <c r="F1137" s="12" t="n">
        <f aca="false">B1137+D1137</f>
        <v>7</v>
      </c>
    </row>
    <row r="1138" customFormat="false" ht="15" hidden="false" customHeight="false" outlineLevel="0" collapsed="false">
      <c r="A1138" s="12" t="s">
        <v>711</v>
      </c>
      <c r="B1138" s="12" t="n">
        <f aca="false">COUNTIFS(Cleaned!$D$2:$D$125,8,Cleaned!BH$2:BH$125,0)</f>
        <v>4</v>
      </c>
      <c r="C1138" s="13" t="n">
        <f aca="false">IFERROR(B1138/$F1138,"")</f>
        <v>1</v>
      </c>
      <c r="D1138" s="12" t="n">
        <f aca="false">COUNTIFS(Cleaned!$D$2:$D$125,8,Cleaned!BH$2:BH$125,1)</f>
        <v>0</v>
      </c>
      <c r="E1138" s="13" t="n">
        <f aca="false">IFERROR(D1138/$F1138,"")</f>
        <v>0</v>
      </c>
      <c r="F1138" s="12" t="n">
        <f aca="false">B1138+D1138</f>
        <v>4</v>
      </c>
    </row>
    <row r="1139" customFormat="false" ht="15" hidden="false" customHeight="false" outlineLevel="0" collapsed="false">
      <c r="A1139" s="12" t="s">
        <v>712</v>
      </c>
      <c r="B1139" s="12" t="n">
        <f aca="false">COUNTIFS(Cleaned!$D$2:$D$125,9,Cleaned!BH$2:BH$125,0)</f>
        <v>1</v>
      </c>
      <c r="C1139" s="13" t="n">
        <f aca="false">IFERROR(B1139/$F1139,"")</f>
        <v>0.5</v>
      </c>
      <c r="D1139" s="12" t="n">
        <f aca="false">COUNTIFS(Cleaned!$D$2:$D$125,9,Cleaned!BH$2:BH$125,1)</f>
        <v>1</v>
      </c>
      <c r="E1139" s="13" t="n">
        <f aca="false">IFERROR(D1139/$F1139,"")</f>
        <v>0.5</v>
      </c>
      <c r="F1139" s="12" t="n">
        <f aca="false">B1139+D1139</f>
        <v>2</v>
      </c>
    </row>
    <row r="1140" customFormat="false" ht="15" hidden="false" customHeight="false" outlineLevel="0" collapsed="false">
      <c r="A1140" s="12" t="s">
        <v>713</v>
      </c>
      <c r="B1140" s="12" t="n">
        <f aca="false">COUNTIFS(Cleaned!$D$2:$D$125,10,Cleaned!BH$2:BH$125,0)</f>
        <v>0</v>
      </c>
      <c r="C1140" s="13" t="str">
        <f aca="false">IFERROR(B1140/$F1140,"")</f>
        <v/>
      </c>
      <c r="D1140" s="12" t="n">
        <f aca="false">COUNTIFS(Cleaned!$D$2:$D$125,10,Cleaned!BH$2:BH$125,1)</f>
        <v>0</v>
      </c>
      <c r="E1140" s="13" t="str">
        <f aca="false">IFERROR(D1140/$F1140,"")</f>
        <v/>
      </c>
      <c r="F1140" s="12" t="n">
        <f aca="false">B1140+D1140</f>
        <v>0</v>
      </c>
    </row>
    <row r="1141" customFormat="false" ht="15" hidden="false" customHeight="false" outlineLevel="0" collapsed="false">
      <c r="A1141" s="12" t="s">
        <v>714</v>
      </c>
      <c r="B1141" s="12" t="n">
        <f aca="false">COUNTIFS(Cleaned!$D$2:$D$125,11,Cleaned!BH$2:BH$125,0)</f>
        <v>4</v>
      </c>
      <c r="C1141" s="13" t="n">
        <f aca="false">IFERROR(B1141/$F1141,"")</f>
        <v>0.571428571428571</v>
      </c>
      <c r="D1141" s="12" t="n">
        <f aca="false">COUNTIFS(Cleaned!$D$2:$D$125,11,Cleaned!BH$2:BH$125,1)</f>
        <v>3</v>
      </c>
      <c r="E1141" s="13" t="n">
        <f aca="false">IFERROR(D1141/$F1141,"")</f>
        <v>0.428571428571429</v>
      </c>
      <c r="F1141" s="12" t="n">
        <f aca="false">B1141+D1141</f>
        <v>7</v>
      </c>
    </row>
    <row r="1142" customFormat="false" ht="15" hidden="false" customHeight="false" outlineLevel="0" collapsed="false">
      <c r="A1142" s="12" t="s">
        <v>715</v>
      </c>
      <c r="B1142" s="12" t="n">
        <f aca="false">COUNTIFS(Cleaned!$D$2:$D$125,12,Cleaned!BH$2:BH$125,0)</f>
        <v>3</v>
      </c>
      <c r="C1142" s="13" t="n">
        <f aca="false">IFERROR(B1142/$F1142,"")</f>
        <v>0.75</v>
      </c>
      <c r="D1142" s="12" t="n">
        <f aca="false">COUNTIFS(Cleaned!$D$2:$D$125,12,Cleaned!BH$2:BH$125,1)</f>
        <v>1</v>
      </c>
      <c r="E1142" s="13" t="n">
        <f aca="false">IFERROR(D1142/$F1142,"")</f>
        <v>0.25</v>
      </c>
      <c r="F1142" s="12" t="n">
        <f aca="false">B1142+D1142</f>
        <v>4</v>
      </c>
    </row>
    <row r="1143" customFormat="false" ht="15" hidden="false" customHeight="false" outlineLevel="0" collapsed="false">
      <c r="A1143" s="11" t="s">
        <v>716</v>
      </c>
      <c r="B1143" s="11" t="n">
        <f aca="false">SUM(B1131:B1142)</f>
        <v>34</v>
      </c>
      <c r="C1143" s="14" t="n">
        <f aca="false">IFERROR(B1143/$F1143,"")</f>
        <v>0.53125</v>
      </c>
      <c r="D1143" s="11" t="n">
        <f aca="false">SUM(D1131:D1142)</f>
        <v>30</v>
      </c>
      <c r="E1143" s="14" t="n">
        <f aca="false">IFERROR(D1143/$F1143,"")</f>
        <v>0.46875</v>
      </c>
      <c r="F1143" s="11" t="n">
        <f aca="false">SUM(F1131:F1142)</f>
        <v>64</v>
      </c>
    </row>
    <row r="1146" customFormat="false" ht="15" hidden="false" customHeight="false" outlineLevel="0" collapsed="false">
      <c r="A1146" s="6" t="s">
        <v>61</v>
      </c>
      <c r="B1146" s="7" t="s">
        <v>779</v>
      </c>
    </row>
    <row r="1147" customFormat="false" ht="15" hidden="false" customHeight="false" outlineLevel="0" collapsed="false">
      <c r="A1147" s="8"/>
      <c r="B1147" s="9" t="s">
        <v>726</v>
      </c>
      <c r="C1147" s="8"/>
      <c r="D1147" s="9" t="s">
        <v>362</v>
      </c>
      <c r="E1147" s="8"/>
      <c r="F1147" s="9" t="s">
        <v>694</v>
      </c>
    </row>
    <row r="1148" customFormat="false" ht="15" hidden="false" customHeight="false" outlineLevel="0" collapsed="false">
      <c r="B1148" s="10" t="s">
        <v>695</v>
      </c>
      <c r="C1148" s="10" t="s">
        <v>696</v>
      </c>
      <c r="D1148" s="10" t="s">
        <v>695</v>
      </c>
      <c r="E1148" s="10" t="s">
        <v>696</v>
      </c>
    </row>
    <row r="1149" customFormat="false" ht="15" hidden="false" customHeight="false" outlineLevel="0" collapsed="false">
      <c r="A1149" s="11" t="s">
        <v>697</v>
      </c>
    </row>
    <row r="1150" customFormat="false" ht="15" hidden="false" customHeight="false" outlineLevel="0" collapsed="false">
      <c r="A1150" s="12" t="s">
        <v>698</v>
      </c>
      <c r="B1150" s="12" t="n">
        <f aca="false">COUNTIFS(Cleaned!$C$2:$C$125,1,Cleaned!BJ$2:BJ$125,1)</f>
        <v>1</v>
      </c>
      <c r="C1150" s="13" t="n">
        <f aca="false">IFERROR(B1150/$F1150,"")</f>
        <v>0.0833333333333333</v>
      </c>
      <c r="D1150" s="12" t="n">
        <f aca="false">COUNTIFS(Cleaned!$C$2:$C$125,1,Cleaned!BJ$2:BJ$125,2)</f>
        <v>11</v>
      </c>
      <c r="E1150" s="13" t="n">
        <f aca="false">IFERROR(D1150/$F1150,"")</f>
        <v>0.916666666666667</v>
      </c>
      <c r="F1150" s="12" t="n">
        <f aca="false">B1150+D1150</f>
        <v>12</v>
      </c>
    </row>
    <row r="1151" customFormat="false" ht="15" hidden="false" customHeight="false" outlineLevel="0" collapsed="false">
      <c r="A1151" s="12" t="s">
        <v>699</v>
      </c>
      <c r="B1151" s="12" t="n">
        <f aca="false">COUNTIFS(Cleaned!$C$2:$C$125,2,Cleaned!BJ$2:BJ$125,1)</f>
        <v>2</v>
      </c>
      <c r="C1151" s="13" t="n">
        <f aca="false">IFERROR(B1151/$F1151,"")</f>
        <v>0.222222222222222</v>
      </c>
      <c r="D1151" s="12" t="n">
        <f aca="false">COUNTIFS(Cleaned!$C$2:$C$125,2,Cleaned!BJ$2:BJ$125,2)</f>
        <v>7</v>
      </c>
      <c r="E1151" s="13" t="n">
        <f aca="false">IFERROR(D1151/$F1151,"")</f>
        <v>0.777777777777778</v>
      </c>
      <c r="F1151" s="12" t="n">
        <f aca="false">B1151+D1151</f>
        <v>9</v>
      </c>
    </row>
    <row r="1152" customFormat="false" ht="15" hidden="false" customHeight="false" outlineLevel="0" collapsed="false">
      <c r="A1152" s="12" t="s">
        <v>700</v>
      </c>
      <c r="B1152" s="12" t="n">
        <f aca="false">COUNTIFS(Cleaned!$C$2:$C$125,3,Cleaned!BJ$2:BJ$125,1)</f>
        <v>2</v>
      </c>
      <c r="C1152" s="13" t="n">
        <f aca="false">IFERROR(B1152/$F1152,"")</f>
        <v>0.153846153846154</v>
      </c>
      <c r="D1152" s="12" t="n">
        <f aca="false">COUNTIFS(Cleaned!$C$2:$C$125,3,Cleaned!BJ$2:BJ$125,2)</f>
        <v>11</v>
      </c>
      <c r="E1152" s="13" t="n">
        <f aca="false">IFERROR(D1152/$F1152,"")</f>
        <v>0.846153846153846</v>
      </c>
      <c r="F1152" s="12" t="n">
        <f aca="false">B1152+D1152</f>
        <v>13</v>
      </c>
    </row>
    <row r="1153" customFormat="false" ht="15" hidden="false" customHeight="false" outlineLevel="0" collapsed="false">
      <c r="A1153" s="12" t="s">
        <v>701</v>
      </c>
      <c r="B1153" s="12" t="n">
        <f aca="false">COUNTIFS(Cleaned!$C$2:$C$125,4,Cleaned!BJ$2:BJ$125,1)</f>
        <v>8</v>
      </c>
      <c r="C1153" s="13" t="n">
        <f aca="false">IFERROR(B1153/$F1153,"")</f>
        <v>0.727272727272727</v>
      </c>
      <c r="D1153" s="12" t="n">
        <f aca="false">COUNTIFS(Cleaned!$C$2:$C$125,4,Cleaned!BJ$2:BJ$125,2)</f>
        <v>3</v>
      </c>
      <c r="E1153" s="13" t="n">
        <f aca="false">IFERROR(D1153/$F1153,"")</f>
        <v>0.272727272727273</v>
      </c>
      <c r="F1153" s="12" t="n">
        <f aca="false">B1153+D1153</f>
        <v>11</v>
      </c>
    </row>
    <row r="1154" customFormat="false" ht="15" hidden="false" customHeight="false" outlineLevel="0" collapsed="false">
      <c r="A1154" s="12" t="s">
        <v>702</v>
      </c>
      <c r="B1154" s="12" t="n">
        <f aca="false">COUNTIFS(Cleaned!$C$2:$C$125,5,Cleaned!BJ$2:BJ$125,1)</f>
        <v>21</v>
      </c>
      <c r="C1154" s="13" t="n">
        <f aca="false">IFERROR(B1154/$F1154,"")</f>
        <v>1</v>
      </c>
      <c r="D1154" s="12" t="n">
        <f aca="false">COUNTIFS(Cleaned!$C$2:$C$125,5,Cleaned!BJ$2:BJ$125,2)</f>
        <v>0</v>
      </c>
      <c r="E1154" s="13" t="n">
        <f aca="false">IFERROR(D1154/$F1154,"")</f>
        <v>0</v>
      </c>
      <c r="F1154" s="12" t="n">
        <f aca="false">B1154+D1154</f>
        <v>21</v>
      </c>
    </row>
    <row r="1155" customFormat="false" ht="15" hidden="false" customHeight="false" outlineLevel="0" collapsed="false">
      <c r="A1155" s="11" t="s">
        <v>703</v>
      </c>
      <c r="B1155" s="11" t="n">
        <f aca="false">SUM(B1150:B1154)</f>
        <v>34</v>
      </c>
      <c r="C1155" s="14" t="n">
        <f aca="false">IFERROR(B1155/$F1155,"")</f>
        <v>0.515151515151515</v>
      </c>
      <c r="D1155" s="11" t="n">
        <f aca="false">SUM(D1150:D1154)</f>
        <v>32</v>
      </c>
      <c r="E1155" s="14" t="n">
        <f aca="false">IFERROR(D1155/$F1155,"")</f>
        <v>0.484848484848485</v>
      </c>
      <c r="F1155" s="11" t="n">
        <f aca="false">SUM(F1150:F1154)</f>
        <v>66</v>
      </c>
    </row>
    <row r="1156" customFormat="false" ht="15" hidden="false" customHeight="false" outlineLevel="0" collapsed="false">
      <c r="A1156" s="11" t="s">
        <v>3</v>
      </c>
    </row>
    <row r="1157" customFormat="false" ht="15" hidden="false" customHeight="false" outlineLevel="0" collapsed="false">
      <c r="A1157" s="12" t="s">
        <v>704</v>
      </c>
      <c r="B1157" s="12" t="n">
        <f aca="false">COUNTIFS(Cleaned!$D$2:$D$125,1,Cleaned!BJ$2:BJ$125,1)</f>
        <v>3</v>
      </c>
      <c r="C1157" s="13" t="n">
        <f aca="false">IFERROR(B1157/$F1157,"")</f>
        <v>0.333333333333333</v>
      </c>
      <c r="D1157" s="12" t="n">
        <f aca="false">COUNTIFS(Cleaned!$D$2:$D$125,1,Cleaned!BJ$2:BJ$125,2)</f>
        <v>6</v>
      </c>
      <c r="E1157" s="13" t="n">
        <f aca="false">IFERROR(D1157/$F1157,"")</f>
        <v>0.666666666666667</v>
      </c>
      <c r="F1157" s="12" t="n">
        <f aca="false">B1157+D1157</f>
        <v>9</v>
      </c>
    </row>
    <row r="1158" customFormat="false" ht="15" hidden="false" customHeight="false" outlineLevel="0" collapsed="false">
      <c r="A1158" s="12" t="s">
        <v>705</v>
      </c>
      <c r="B1158" s="12" t="n">
        <f aca="false">COUNTIFS(Cleaned!$D$2:$D$125,2,Cleaned!BJ$2:BJ$125,1)</f>
        <v>14</v>
      </c>
      <c r="C1158" s="13" t="n">
        <f aca="false">IFERROR(B1158/$F1158,"")</f>
        <v>1</v>
      </c>
      <c r="D1158" s="12" t="n">
        <f aca="false">COUNTIFS(Cleaned!$D$2:$D$125,2,Cleaned!BJ$2:BJ$125,2)</f>
        <v>0</v>
      </c>
      <c r="E1158" s="13" t="n">
        <f aca="false">IFERROR(D1158/$F1158,"")</f>
        <v>0</v>
      </c>
      <c r="F1158" s="12" t="n">
        <f aca="false">B1158+D1158</f>
        <v>14</v>
      </c>
    </row>
    <row r="1159" customFormat="false" ht="15" hidden="false" customHeight="false" outlineLevel="0" collapsed="false">
      <c r="A1159" s="12" t="s">
        <v>706</v>
      </c>
      <c r="B1159" s="12" t="n">
        <f aca="false">COUNTIFS(Cleaned!$D$2:$D$125,3,Cleaned!BJ$2:BJ$125,1)</f>
        <v>6</v>
      </c>
      <c r="C1159" s="13" t="n">
        <f aca="false">IFERROR(B1159/$F1159,"")</f>
        <v>0.666666666666667</v>
      </c>
      <c r="D1159" s="12" t="n">
        <f aca="false">COUNTIFS(Cleaned!$D$2:$D$125,3,Cleaned!BJ$2:BJ$125,2)</f>
        <v>3</v>
      </c>
      <c r="E1159" s="13" t="n">
        <f aca="false">IFERROR(D1159/$F1159,"")</f>
        <v>0.333333333333333</v>
      </c>
      <c r="F1159" s="12" t="n">
        <f aca="false">B1159+D1159</f>
        <v>9</v>
      </c>
    </row>
    <row r="1160" customFormat="false" ht="15" hidden="false" customHeight="false" outlineLevel="0" collapsed="false">
      <c r="A1160" s="12" t="s">
        <v>707</v>
      </c>
      <c r="B1160" s="12" t="n">
        <f aca="false">COUNTIFS(Cleaned!$D$2:$D$125,4,Cleaned!BJ$2:BJ$125,1)</f>
        <v>4</v>
      </c>
      <c r="C1160" s="13" t="n">
        <f aca="false">IFERROR(B1160/$F1160,"")</f>
        <v>0.666666666666667</v>
      </c>
      <c r="D1160" s="12" t="n">
        <f aca="false">COUNTIFS(Cleaned!$D$2:$D$125,4,Cleaned!BJ$2:BJ$125,2)</f>
        <v>2</v>
      </c>
      <c r="E1160" s="13" t="n">
        <f aca="false">IFERROR(D1160/$F1160,"")</f>
        <v>0.333333333333333</v>
      </c>
      <c r="F1160" s="12" t="n">
        <f aca="false">B1160+D1160</f>
        <v>6</v>
      </c>
    </row>
    <row r="1161" customFormat="false" ht="15" hidden="false" customHeight="false" outlineLevel="0" collapsed="false">
      <c r="A1161" s="12" t="s">
        <v>708</v>
      </c>
      <c r="B1161" s="12" t="n">
        <f aca="false">COUNTIFS(Cleaned!$D$2:$D$125,5,Cleaned!BJ$2:BJ$125,1)</f>
        <v>1</v>
      </c>
      <c r="C1161" s="13" t="n">
        <f aca="false">IFERROR(B1161/$F1161,"")</f>
        <v>1</v>
      </c>
      <c r="D1161" s="12" t="n">
        <f aca="false">COUNTIFS(Cleaned!$D$2:$D$125,5,Cleaned!BJ$2:BJ$125,2)</f>
        <v>0</v>
      </c>
      <c r="E1161" s="13" t="n">
        <f aca="false">IFERROR(D1161/$F1161,"")</f>
        <v>0</v>
      </c>
      <c r="F1161" s="12" t="n">
        <f aca="false">B1161+D1161</f>
        <v>1</v>
      </c>
    </row>
    <row r="1162" customFormat="false" ht="15" hidden="false" customHeight="false" outlineLevel="0" collapsed="false">
      <c r="A1162" s="12" t="s">
        <v>709</v>
      </c>
      <c r="B1162" s="12" t="n">
        <f aca="false">COUNTIFS(Cleaned!$D$2:$D$125,6,Cleaned!BJ$2:BJ$125,1)</f>
        <v>1</v>
      </c>
      <c r="C1162" s="13" t="n">
        <f aca="false">IFERROR(B1162/$F1162,"")</f>
        <v>0.5</v>
      </c>
      <c r="D1162" s="12" t="n">
        <f aca="false">COUNTIFS(Cleaned!$D$2:$D$125,6,Cleaned!BJ$2:BJ$125,2)</f>
        <v>1</v>
      </c>
      <c r="E1162" s="13" t="n">
        <f aca="false">IFERROR(D1162/$F1162,"")</f>
        <v>0.5</v>
      </c>
      <c r="F1162" s="12" t="n">
        <f aca="false">B1162+D1162</f>
        <v>2</v>
      </c>
    </row>
    <row r="1163" customFormat="false" ht="15" hidden="false" customHeight="false" outlineLevel="0" collapsed="false">
      <c r="A1163" s="12" t="s">
        <v>710</v>
      </c>
      <c r="B1163" s="12" t="n">
        <f aca="false">COUNTIFS(Cleaned!$D$2:$D$125,7,Cleaned!BJ$2:BJ$125,1)</f>
        <v>3</v>
      </c>
      <c r="C1163" s="13" t="n">
        <f aca="false">IFERROR(B1163/$F1163,"")</f>
        <v>0.375</v>
      </c>
      <c r="D1163" s="12" t="n">
        <f aca="false">COUNTIFS(Cleaned!$D$2:$D$125,7,Cleaned!BJ$2:BJ$125,2)</f>
        <v>5</v>
      </c>
      <c r="E1163" s="13" t="n">
        <f aca="false">IFERROR(D1163/$F1163,"")</f>
        <v>0.625</v>
      </c>
      <c r="F1163" s="12" t="n">
        <f aca="false">B1163+D1163</f>
        <v>8</v>
      </c>
    </row>
    <row r="1164" customFormat="false" ht="15" hidden="false" customHeight="false" outlineLevel="0" collapsed="false">
      <c r="A1164" s="12" t="s">
        <v>711</v>
      </c>
      <c r="B1164" s="12" t="n">
        <f aca="false">COUNTIFS(Cleaned!$D$2:$D$125,8,Cleaned!BJ$2:BJ$125,1)</f>
        <v>1</v>
      </c>
      <c r="C1164" s="13" t="n">
        <f aca="false">IFERROR(B1164/$F1164,"")</f>
        <v>0.25</v>
      </c>
      <c r="D1164" s="12" t="n">
        <f aca="false">COUNTIFS(Cleaned!$D$2:$D$125,8,Cleaned!BJ$2:BJ$125,2)</f>
        <v>3</v>
      </c>
      <c r="E1164" s="13" t="n">
        <f aca="false">IFERROR(D1164/$F1164,"")</f>
        <v>0.75</v>
      </c>
      <c r="F1164" s="12" t="n">
        <f aca="false">B1164+D1164</f>
        <v>4</v>
      </c>
    </row>
    <row r="1165" customFormat="false" ht="15" hidden="false" customHeight="false" outlineLevel="0" collapsed="false">
      <c r="A1165" s="12" t="s">
        <v>712</v>
      </c>
      <c r="B1165" s="12" t="n">
        <f aca="false">COUNTIFS(Cleaned!$D$2:$D$125,9,Cleaned!BJ$2:BJ$125,1)</f>
        <v>1</v>
      </c>
      <c r="C1165" s="13" t="n">
        <f aca="false">IFERROR(B1165/$F1165,"")</f>
        <v>0.5</v>
      </c>
      <c r="D1165" s="12" t="n">
        <f aca="false">COUNTIFS(Cleaned!$D$2:$D$125,9,Cleaned!BJ$2:BJ$125,2)</f>
        <v>1</v>
      </c>
      <c r="E1165" s="13" t="n">
        <f aca="false">IFERROR(D1165/$F1165,"")</f>
        <v>0.5</v>
      </c>
      <c r="F1165" s="12" t="n">
        <f aca="false">B1165+D1165</f>
        <v>2</v>
      </c>
    </row>
    <row r="1166" customFormat="false" ht="15" hidden="false" customHeight="false" outlineLevel="0" collapsed="false">
      <c r="A1166" s="12" t="s">
        <v>713</v>
      </c>
      <c r="B1166" s="12" t="n">
        <f aca="false">COUNTIFS(Cleaned!$D$2:$D$125,10,Cleaned!BJ$2:BJ$125,1)</f>
        <v>0</v>
      </c>
      <c r="C1166" s="13" t="str">
        <f aca="false">IFERROR(B1166/$F1166,"")</f>
        <v/>
      </c>
      <c r="D1166" s="12" t="n">
        <f aca="false">COUNTIFS(Cleaned!$D$2:$D$125,10,Cleaned!BJ$2:BJ$125,2)</f>
        <v>0</v>
      </c>
      <c r="E1166" s="13" t="str">
        <f aca="false">IFERROR(D1166/$F1166,"")</f>
        <v/>
      </c>
      <c r="F1166" s="12" t="n">
        <f aca="false">B1166+D1166</f>
        <v>0</v>
      </c>
    </row>
    <row r="1167" customFormat="false" ht="15" hidden="false" customHeight="false" outlineLevel="0" collapsed="false">
      <c r="A1167" s="12" t="s">
        <v>714</v>
      </c>
      <c r="B1167" s="12" t="n">
        <f aca="false">COUNTIFS(Cleaned!$D$2:$D$125,11,Cleaned!BJ$2:BJ$125,1)</f>
        <v>0</v>
      </c>
      <c r="C1167" s="13" t="n">
        <f aca="false">IFERROR(B1167/$F1167,"")</f>
        <v>0</v>
      </c>
      <c r="D1167" s="12" t="n">
        <f aca="false">COUNTIFS(Cleaned!$D$2:$D$125,11,Cleaned!BJ$2:BJ$125,2)</f>
        <v>7</v>
      </c>
      <c r="E1167" s="13" t="n">
        <f aca="false">IFERROR(D1167/$F1167,"")</f>
        <v>1</v>
      </c>
      <c r="F1167" s="12" t="n">
        <f aca="false">B1167+D1167</f>
        <v>7</v>
      </c>
    </row>
    <row r="1168" customFormat="false" ht="15" hidden="false" customHeight="false" outlineLevel="0" collapsed="false">
      <c r="A1168" s="12" t="s">
        <v>715</v>
      </c>
      <c r="B1168" s="12" t="n">
        <f aca="false">COUNTIFS(Cleaned!$D$2:$D$125,12,Cleaned!BJ$2:BJ$125,1)</f>
        <v>0</v>
      </c>
      <c r="C1168" s="13" t="n">
        <f aca="false">IFERROR(B1168/$F1168,"")</f>
        <v>0</v>
      </c>
      <c r="D1168" s="12" t="n">
        <f aca="false">COUNTIFS(Cleaned!$D$2:$D$125,12,Cleaned!BJ$2:BJ$125,2)</f>
        <v>4</v>
      </c>
      <c r="E1168" s="13" t="n">
        <f aca="false">IFERROR(D1168/$F1168,"")</f>
        <v>1</v>
      </c>
      <c r="F1168" s="12" t="n">
        <f aca="false">B1168+D1168</f>
        <v>4</v>
      </c>
    </row>
    <row r="1169" customFormat="false" ht="15" hidden="false" customHeight="false" outlineLevel="0" collapsed="false">
      <c r="A1169" s="11" t="s">
        <v>716</v>
      </c>
      <c r="B1169" s="11" t="n">
        <f aca="false">SUM(B1157:B1168)</f>
        <v>34</v>
      </c>
      <c r="C1169" s="14" t="n">
        <f aca="false">IFERROR(B1169/$F1169,"")</f>
        <v>0.515151515151515</v>
      </c>
      <c r="D1169" s="11" t="n">
        <f aca="false">SUM(D1157:D1168)</f>
        <v>32</v>
      </c>
      <c r="E1169" s="14" t="n">
        <f aca="false">IFERROR(D1169/$F1169,"")</f>
        <v>0.484848484848485</v>
      </c>
      <c r="F1169" s="11" t="n">
        <f aca="false">SUM(F1157:F1168)</f>
        <v>66</v>
      </c>
    </row>
    <row r="1172" customFormat="false" ht="15" hidden="false" customHeight="false" outlineLevel="0" collapsed="false">
      <c r="A1172" s="6" t="s">
        <v>62</v>
      </c>
      <c r="B1172" s="7" t="s">
        <v>780</v>
      </c>
    </row>
    <row r="1173" customFormat="false" ht="15" hidden="false" customHeight="false" outlineLevel="0" collapsed="false">
      <c r="A1173" s="8"/>
      <c r="B1173" s="9" t="s">
        <v>718</v>
      </c>
      <c r="C1173" s="8"/>
      <c r="D1173" s="9" t="s">
        <v>719</v>
      </c>
      <c r="E1173" s="8"/>
      <c r="F1173" s="9" t="s">
        <v>694</v>
      </c>
    </row>
    <row r="1174" customFormat="false" ht="15" hidden="false" customHeight="false" outlineLevel="0" collapsed="false">
      <c r="B1174" s="10" t="s">
        <v>695</v>
      </c>
      <c r="C1174" s="10" t="s">
        <v>696</v>
      </c>
      <c r="D1174" s="10" t="s">
        <v>695</v>
      </c>
      <c r="E1174" s="10" t="s">
        <v>696</v>
      </c>
    </row>
    <row r="1175" customFormat="false" ht="15" hidden="false" customHeight="false" outlineLevel="0" collapsed="false">
      <c r="A1175" s="11" t="s">
        <v>697</v>
      </c>
    </row>
    <row r="1176" customFormat="false" ht="15" hidden="false" customHeight="false" outlineLevel="0" collapsed="false">
      <c r="A1176" s="12" t="s">
        <v>698</v>
      </c>
      <c r="B1176" s="12" t="n">
        <f aca="false">COUNTIFS(Cleaned!$C$2:$C$125,1,Cleaned!BK$2:BK$125,0)</f>
        <v>4</v>
      </c>
      <c r="C1176" s="13" t="n">
        <f aca="false">IFERROR(B1176/$F1176,"")</f>
        <v>1</v>
      </c>
      <c r="D1176" s="12" t="n">
        <f aca="false">COUNTIFS(Cleaned!$C$2:$C$125,1,Cleaned!BK$2:BK$125,1)</f>
        <v>0</v>
      </c>
      <c r="E1176" s="13" t="n">
        <f aca="false">IFERROR(D1176/$F1176,"")</f>
        <v>0</v>
      </c>
      <c r="F1176" s="12" t="n">
        <f aca="false">B1176+D1176</f>
        <v>4</v>
      </c>
    </row>
    <row r="1177" customFormat="false" ht="15" hidden="false" customHeight="false" outlineLevel="0" collapsed="false">
      <c r="A1177" s="12" t="s">
        <v>699</v>
      </c>
      <c r="B1177" s="12" t="n">
        <f aca="false">COUNTIFS(Cleaned!$C$2:$C$125,2,Cleaned!BK$2:BK$125,0)</f>
        <v>4</v>
      </c>
      <c r="C1177" s="13" t="n">
        <f aca="false">IFERROR(B1177/$F1177,"")</f>
        <v>1</v>
      </c>
      <c r="D1177" s="12" t="n">
        <f aca="false">COUNTIFS(Cleaned!$C$2:$C$125,2,Cleaned!BK$2:BK$125,1)</f>
        <v>0</v>
      </c>
      <c r="E1177" s="13" t="n">
        <f aca="false">IFERROR(D1177/$F1177,"")</f>
        <v>0</v>
      </c>
      <c r="F1177" s="12" t="n">
        <f aca="false">B1177+D1177</f>
        <v>4</v>
      </c>
    </row>
    <row r="1178" customFormat="false" ht="15" hidden="false" customHeight="false" outlineLevel="0" collapsed="false">
      <c r="A1178" s="12" t="s">
        <v>700</v>
      </c>
      <c r="B1178" s="12" t="n">
        <f aca="false">COUNTIFS(Cleaned!$C$2:$C$125,3,Cleaned!BK$2:BK$125,0)</f>
        <v>12</v>
      </c>
      <c r="C1178" s="13" t="n">
        <f aca="false">IFERROR(B1178/$F1178,"")</f>
        <v>1</v>
      </c>
      <c r="D1178" s="12" t="n">
        <f aca="false">COUNTIFS(Cleaned!$C$2:$C$125,3,Cleaned!BK$2:BK$125,1)</f>
        <v>0</v>
      </c>
      <c r="E1178" s="13" t="n">
        <f aca="false">IFERROR(D1178/$F1178,"")</f>
        <v>0</v>
      </c>
      <c r="F1178" s="12" t="n">
        <f aca="false">B1178+D1178</f>
        <v>12</v>
      </c>
    </row>
    <row r="1179" customFormat="false" ht="15" hidden="false" customHeight="false" outlineLevel="0" collapsed="false">
      <c r="A1179" s="12" t="s">
        <v>701</v>
      </c>
      <c r="B1179" s="12" t="n">
        <f aca="false">COUNTIFS(Cleaned!$C$2:$C$125,4,Cleaned!BK$2:BK$125,0)</f>
        <v>7</v>
      </c>
      <c r="C1179" s="13" t="n">
        <f aca="false">IFERROR(B1179/$F1179,"")</f>
        <v>0.875</v>
      </c>
      <c r="D1179" s="12" t="n">
        <f aca="false">COUNTIFS(Cleaned!$C$2:$C$125,4,Cleaned!BK$2:BK$125,1)</f>
        <v>1</v>
      </c>
      <c r="E1179" s="13" t="n">
        <f aca="false">IFERROR(D1179/$F1179,"")</f>
        <v>0.125</v>
      </c>
      <c r="F1179" s="12" t="n">
        <f aca="false">B1179+D1179</f>
        <v>8</v>
      </c>
    </row>
    <row r="1180" customFormat="false" ht="15" hidden="false" customHeight="false" outlineLevel="0" collapsed="false">
      <c r="A1180" s="12" t="s">
        <v>702</v>
      </c>
      <c r="B1180" s="12" t="n">
        <f aca="false">COUNTIFS(Cleaned!$C$2:$C$125,5,Cleaned!BK$2:BK$125,0)</f>
        <v>14</v>
      </c>
      <c r="C1180" s="13" t="n">
        <f aca="false">IFERROR(B1180/$F1180,"")</f>
        <v>0.736842105263158</v>
      </c>
      <c r="D1180" s="12" t="n">
        <f aca="false">COUNTIFS(Cleaned!$C$2:$C$125,5,Cleaned!BK$2:BK$125,1)</f>
        <v>5</v>
      </c>
      <c r="E1180" s="13" t="n">
        <f aca="false">IFERROR(D1180/$F1180,"")</f>
        <v>0.263157894736842</v>
      </c>
      <c r="F1180" s="12" t="n">
        <f aca="false">B1180+D1180</f>
        <v>19</v>
      </c>
    </row>
    <row r="1181" customFormat="false" ht="15" hidden="false" customHeight="false" outlineLevel="0" collapsed="false">
      <c r="A1181" s="11" t="s">
        <v>703</v>
      </c>
      <c r="B1181" s="11" t="n">
        <f aca="false">SUM(B1176:B1180)</f>
        <v>41</v>
      </c>
      <c r="C1181" s="14" t="n">
        <f aca="false">IFERROR(B1181/$F1181,"")</f>
        <v>0.872340425531915</v>
      </c>
      <c r="D1181" s="11" t="n">
        <f aca="false">SUM(D1176:D1180)</f>
        <v>6</v>
      </c>
      <c r="E1181" s="14" t="n">
        <f aca="false">IFERROR(D1181/$F1181,"")</f>
        <v>0.127659574468085</v>
      </c>
      <c r="F1181" s="11" t="n">
        <f aca="false">SUM(F1176:F1180)</f>
        <v>47</v>
      </c>
    </row>
    <row r="1182" customFormat="false" ht="15" hidden="false" customHeight="false" outlineLevel="0" collapsed="false">
      <c r="A1182" s="11" t="s">
        <v>3</v>
      </c>
    </row>
    <row r="1183" customFormat="false" ht="15" hidden="false" customHeight="false" outlineLevel="0" collapsed="false">
      <c r="A1183" s="12" t="s">
        <v>704</v>
      </c>
      <c r="B1183" s="12" t="n">
        <f aca="false">COUNTIFS(Cleaned!$D$2:$D$125,1,Cleaned!BK$2:BK$125,0)</f>
        <v>6</v>
      </c>
      <c r="C1183" s="13" t="n">
        <f aca="false">IFERROR(B1183/$F1183,"")</f>
        <v>1</v>
      </c>
      <c r="D1183" s="12" t="n">
        <f aca="false">COUNTIFS(Cleaned!$D$2:$D$125,1,Cleaned!BK$2:BK$125,1)</f>
        <v>0</v>
      </c>
      <c r="E1183" s="13" t="n">
        <f aca="false">IFERROR(D1183/$F1183,"")</f>
        <v>0</v>
      </c>
      <c r="F1183" s="12" t="n">
        <f aca="false">B1183+D1183</f>
        <v>6</v>
      </c>
    </row>
    <row r="1184" customFormat="false" ht="15" hidden="false" customHeight="false" outlineLevel="0" collapsed="false">
      <c r="A1184" s="12" t="s">
        <v>705</v>
      </c>
      <c r="B1184" s="12" t="n">
        <f aca="false">COUNTIFS(Cleaned!$D$2:$D$125,2,Cleaned!BK$2:BK$125,0)</f>
        <v>12</v>
      </c>
      <c r="C1184" s="13" t="n">
        <f aca="false">IFERROR(B1184/$F1184,"")</f>
        <v>0.857142857142857</v>
      </c>
      <c r="D1184" s="12" t="n">
        <f aca="false">COUNTIFS(Cleaned!$D$2:$D$125,2,Cleaned!BK$2:BK$125,1)</f>
        <v>2</v>
      </c>
      <c r="E1184" s="13" t="n">
        <f aca="false">IFERROR(D1184/$F1184,"")</f>
        <v>0.142857142857143</v>
      </c>
      <c r="F1184" s="12" t="n">
        <f aca="false">B1184+D1184</f>
        <v>14</v>
      </c>
    </row>
    <row r="1185" customFormat="false" ht="15" hidden="false" customHeight="false" outlineLevel="0" collapsed="false">
      <c r="A1185" s="12" t="s">
        <v>706</v>
      </c>
      <c r="B1185" s="12" t="n">
        <f aca="false">COUNTIFS(Cleaned!$D$2:$D$125,3,Cleaned!BK$2:BK$125,0)</f>
        <v>6</v>
      </c>
      <c r="C1185" s="13" t="n">
        <f aca="false">IFERROR(B1185/$F1185,"")</f>
        <v>0.75</v>
      </c>
      <c r="D1185" s="12" t="n">
        <f aca="false">COUNTIFS(Cleaned!$D$2:$D$125,3,Cleaned!BK$2:BK$125,1)</f>
        <v>2</v>
      </c>
      <c r="E1185" s="13" t="n">
        <f aca="false">IFERROR(D1185/$F1185,"")</f>
        <v>0.25</v>
      </c>
      <c r="F1185" s="12" t="n">
        <f aca="false">B1185+D1185</f>
        <v>8</v>
      </c>
    </row>
    <row r="1186" customFormat="false" ht="15" hidden="false" customHeight="false" outlineLevel="0" collapsed="false">
      <c r="A1186" s="12" t="s">
        <v>707</v>
      </c>
      <c r="B1186" s="12" t="n">
        <f aca="false">COUNTIFS(Cleaned!$D$2:$D$125,4,Cleaned!BK$2:BK$125,0)</f>
        <v>4</v>
      </c>
      <c r="C1186" s="13" t="n">
        <f aca="false">IFERROR(B1186/$F1186,"")</f>
        <v>1</v>
      </c>
      <c r="D1186" s="12" t="n">
        <f aca="false">COUNTIFS(Cleaned!$D$2:$D$125,4,Cleaned!BK$2:BK$125,1)</f>
        <v>0</v>
      </c>
      <c r="E1186" s="13" t="n">
        <f aca="false">IFERROR(D1186/$F1186,"")</f>
        <v>0</v>
      </c>
      <c r="F1186" s="12" t="n">
        <f aca="false">B1186+D1186</f>
        <v>4</v>
      </c>
    </row>
    <row r="1187" customFormat="false" ht="15" hidden="false" customHeight="false" outlineLevel="0" collapsed="false">
      <c r="A1187" s="12" t="s">
        <v>708</v>
      </c>
      <c r="B1187" s="12" t="n">
        <f aca="false">COUNTIFS(Cleaned!$D$2:$D$125,5,Cleaned!BK$2:BK$125,0)</f>
        <v>1</v>
      </c>
      <c r="C1187" s="13" t="n">
        <f aca="false">IFERROR(B1187/$F1187,"")</f>
        <v>1</v>
      </c>
      <c r="D1187" s="12" t="n">
        <f aca="false">COUNTIFS(Cleaned!$D$2:$D$125,5,Cleaned!BK$2:BK$125,1)</f>
        <v>0</v>
      </c>
      <c r="E1187" s="13" t="n">
        <f aca="false">IFERROR(D1187/$F1187,"")</f>
        <v>0</v>
      </c>
      <c r="F1187" s="12" t="n">
        <f aca="false">B1187+D1187</f>
        <v>1</v>
      </c>
    </row>
    <row r="1188" customFormat="false" ht="15" hidden="false" customHeight="false" outlineLevel="0" collapsed="false">
      <c r="A1188" s="12" t="s">
        <v>709</v>
      </c>
      <c r="B1188" s="12" t="n">
        <f aca="false">COUNTIFS(Cleaned!$D$2:$D$125,6,Cleaned!BK$2:BK$125,0)</f>
        <v>1</v>
      </c>
      <c r="C1188" s="13" t="n">
        <f aca="false">IFERROR(B1188/$F1188,"")</f>
        <v>1</v>
      </c>
      <c r="D1188" s="12" t="n">
        <f aca="false">COUNTIFS(Cleaned!$D$2:$D$125,6,Cleaned!BK$2:BK$125,1)</f>
        <v>0</v>
      </c>
      <c r="E1188" s="13" t="n">
        <f aca="false">IFERROR(D1188/$F1188,"")</f>
        <v>0</v>
      </c>
      <c r="F1188" s="12" t="n">
        <f aca="false">B1188+D1188</f>
        <v>1</v>
      </c>
    </row>
    <row r="1189" customFormat="false" ht="15" hidden="false" customHeight="false" outlineLevel="0" collapsed="false">
      <c r="A1189" s="12" t="s">
        <v>710</v>
      </c>
      <c r="B1189" s="12" t="n">
        <f aca="false">COUNTIFS(Cleaned!$D$2:$D$125,7,Cleaned!BK$2:BK$125,0)</f>
        <v>4</v>
      </c>
      <c r="C1189" s="13" t="n">
        <f aca="false">IFERROR(B1189/$F1189,"")</f>
        <v>0.666666666666667</v>
      </c>
      <c r="D1189" s="12" t="n">
        <f aca="false">COUNTIFS(Cleaned!$D$2:$D$125,7,Cleaned!BK$2:BK$125,1)</f>
        <v>2</v>
      </c>
      <c r="E1189" s="13" t="n">
        <f aca="false">IFERROR(D1189/$F1189,"")</f>
        <v>0.333333333333333</v>
      </c>
      <c r="F1189" s="12" t="n">
        <f aca="false">B1189+D1189</f>
        <v>6</v>
      </c>
    </row>
    <row r="1190" customFormat="false" ht="15" hidden="false" customHeight="false" outlineLevel="0" collapsed="false">
      <c r="A1190" s="12" t="s">
        <v>711</v>
      </c>
      <c r="B1190" s="12" t="n">
        <f aca="false">COUNTIFS(Cleaned!$D$2:$D$125,8,Cleaned!BK$2:BK$125,0)</f>
        <v>0</v>
      </c>
      <c r="C1190" s="13" t="str">
        <f aca="false">IFERROR(B1190/$F1190,"")</f>
        <v/>
      </c>
      <c r="D1190" s="12" t="n">
        <f aca="false">COUNTIFS(Cleaned!$D$2:$D$125,8,Cleaned!BK$2:BK$125,1)</f>
        <v>0</v>
      </c>
      <c r="E1190" s="13" t="str">
        <f aca="false">IFERROR(D1190/$F1190,"")</f>
        <v/>
      </c>
      <c r="F1190" s="12" t="n">
        <f aca="false">B1190+D1190</f>
        <v>0</v>
      </c>
    </row>
    <row r="1191" customFormat="false" ht="15" hidden="false" customHeight="false" outlineLevel="0" collapsed="false">
      <c r="A1191" s="12" t="s">
        <v>712</v>
      </c>
      <c r="B1191" s="12" t="n">
        <f aca="false">COUNTIFS(Cleaned!$D$2:$D$125,9,Cleaned!BK$2:BK$125,0)</f>
        <v>1</v>
      </c>
      <c r="C1191" s="13" t="n">
        <f aca="false">IFERROR(B1191/$F1191,"")</f>
        <v>1</v>
      </c>
      <c r="D1191" s="12" t="n">
        <f aca="false">COUNTIFS(Cleaned!$D$2:$D$125,9,Cleaned!BK$2:BK$125,1)</f>
        <v>0</v>
      </c>
      <c r="E1191" s="13" t="n">
        <f aca="false">IFERROR(D1191/$F1191,"")</f>
        <v>0</v>
      </c>
      <c r="F1191" s="12" t="n">
        <f aca="false">B1191+D1191</f>
        <v>1</v>
      </c>
    </row>
    <row r="1192" customFormat="false" ht="15" hidden="false" customHeight="false" outlineLevel="0" collapsed="false">
      <c r="A1192" s="12" t="s">
        <v>713</v>
      </c>
      <c r="B1192" s="12" t="n">
        <f aca="false">COUNTIFS(Cleaned!$D$2:$D$125,10,Cleaned!BK$2:BK$125,0)</f>
        <v>0</v>
      </c>
      <c r="C1192" s="13" t="str">
        <f aca="false">IFERROR(B1192/$F1192,"")</f>
        <v/>
      </c>
      <c r="D1192" s="12" t="n">
        <f aca="false">COUNTIFS(Cleaned!$D$2:$D$125,10,Cleaned!BK$2:BK$125,1)</f>
        <v>0</v>
      </c>
      <c r="E1192" s="13" t="str">
        <f aca="false">IFERROR(D1192/$F1192,"")</f>
        <v/>
      </c>
      <c r="F1192" s="12" t="n">
        <f aca="false">B1192+D1192</f>
        <v>0</v>
      </c>
    </row>
    <row r="1193" customFormat="false" ht="15" hidden="false" customHeight="false" outlineLevel="0" collapsed="false">
      <c r="A1193" s="12" t="s">
        <v>714</v>
      </c>
      <c r="B1193" s="12" t="n">
        <f aca="false">COUNTIFS(Cleaned!$D$2:$D$125,11,Cleaned!BK$2:BK$125,0)</f>
        <v>5</v>
      </c>
      <c r="C1193" s="13" t="n">
        <f aca="false">IFERROR(B1193/$F1193,"")</f>
        <v>1</v>
      </c>
      <c r="D1193" s="12" t="n">
        <f aca="false">COUNTIFS(Cleaned!$D$2:$D$125,11,Cleaned!BK$2:BK$125,1)</f>
        <v>0</v>
      </c>
      <c r="E1193" s="13" t="n">
        <f aca="false">IFERROR(D1193/$F1193,"")</f>
        <v>0</v>
      </c>
      <c r="F1193" s="12" t="n">
        <f aca="false">B1193+D1193</f>
        <v>5</v>
      </c>
    </row>
    <row r="1194" customFormat="false" ht="15" hidden="false" customHeight="false" outlineLevel="0" collapsed="false">
      <c r="A1194" s="12" t="s">
        <v>715</v>
      </c>
      <c r="B1194" s="12" t="n">
        <f aca="false">COUNTIFS(Cleaned!$D$2:$D$125,12,Cleaned!BK$2:BK$125,0)</f>
        <v>1</v>
      </c>
      <c r="C1194" s="13" t="n">
        <f aca="false">IFERROR(B1194/$F1194,"")</f>
        <v>1</v>
      </c>
      <c r="D1194" s="12" t="n">
        <f aca="false">COUNTIFS(Cleaned!$D$2:$D$125,12,Cleaned!BK$2:BK$125,1)</f>
        <v>0</v>
      </c>
      <c r="E1194" s="13" t="n">
        <f aca="false">IFERROR(D1194/$F1194,"")</f>
        <v>0</v>
      </c>
      <c r="F1194" s="12" t="n">
        <f aca="false">B1194+D1194</f>
        <v>1</v>
      </c>
    </row>
    <row r="1195" customFormat="false" ht="15" hidden="false" customHeight="false" outlineLevel="0" collapsed="false">
      <c r="A1195" s="11" t="s">
        <v>716</v>
      </c>
      <c r="B1195" s="11" t="n">
        <f aca="false">SUM(B1183:B1194)</f>
        <v>41</v>
      </c>
      <c r="C1195" s="14" t="n">
        <f aca="false">IFERROR(B1195/$F1195,"")</f>
        <v>0.872340425531915</v>
      </c>
      <c r="D1195" s="11" t="n">
        <f aca="false">SUM(D1183:D1194)</f>
        <v>6</v>
      </c>
      <c r="E1195" s="14" t="n">
        <f aca="false">IFERROR(D1195/$F1195,"")</f>
        <v>0.127659574468085</v>
      </c>
      <c r="F1195" s="11" t="n">
        <f aca="false">SUM(F1183:F1194)</f>
        <v>47</v>
      </c>
    </row>
    <row r="1198" customFormat="false" ht="15" hidden="false" customHeight="false" outlineLevel="0" collapsed="false">
      <c r="A1198" s="6" t="s">
        <v>63</v>
      </c>
      <c r="B1198" s="7" t="s">
        <v>781</v>
      </c>
    </row>
    <row r="1199" customFormat="false" ht="15" hidden="false" customHeight="false" outlineLevel="0" collapsed="false">
      <c r="A1199" s="8"/>
      <c r="B1199" s="9" t="s">
        <v>718</v>
      </c>
      <c r="C1199" s="8"/>
      <c r="D1199" s="9" t="s">
        <v>719</v>
      </c>
      <c r="E1199" s="8"/>
      <c r="F1199" s="9" t="s">
        <v>694</v>
      </c>
    </row>
    <row r="1200" customFormat="false" ht="15" hidden="false" customHeight="false" outlineLevel="0" collapsed="false">
      <c r="B1200" s="10" t="s">
        <v>695</v>
      </c>
      <c r="C1200" s="10" t="s">
        <v>696</v>
      </c>
      <c r="D1200" s="10" t="s">
        <v>695</v>
      </c>
      <c r="E1200" s="10" t="s">
        <v>696</v>
      </c>
    </row>
    <row r="1201" customFormat="false" ht="15" hidden="false" customHeight="false" outlineLevel="0" collapsed="false">
      <c r="A1201" s="11" t="s">
        <v>697</v>
      </c>
    </row>
    <row r="1202" customFormat="false" ht="15" hidden="false" customHeight="false" outlineLevel="0" collapsed="false">
      <c r="A1202" s="12" t="s">
        <v>698</v>
      </c>
      <c r="B1202" s="12" t="n">
        <f aca="false">COUNTIFS(Cleaned!$C$2:$C$125,1,Cleaned!BL$2:BL$125,0)</f>
        <v>4</v>
      </c>
      <c r="C1202" s="13" t="n">
        <f aca="false">IFERROR(B1202/$F1202,"")</f>
        <v>1</v>
      </c>
      <c r="D1202" s="12" t="n">
        <f aca="false">COUNTIFS(Cleaned!$C$2:$C$125,1,Cleaned!BL$2:BL$125,1)</f>
        <v>0</v>
      </c>
      <c r="E1202" s="13" t="n">
        <f aca="false">IFERROR(D1202/$F1202,"")</f>
        <v>0</v>
      </c>
      <c r="F1202" s="12" t="n">
        <f aca="false">B1202+D1202</f>
        <v>4</v>
      </c>
    </row>
    <row r="1203" customFormat="false" ht="15" hidden="false" customHeight="false" outlineLevel="0" collapsed="false">
      <c r="A1203" s="12" t="s">
        <v>699</v>
      </c>
      <c r="B1203" s="12" t="n">
        <f aca="false">COUNTIFS(Cleaned!$C$2:$C$125,2,Cleaned!BL$2:BL$125,0)</f>
        <v>4</v>
      </c>
      <c r="C1203" s="13" t="n">
        <f aca="false">IFERROR(B1203/$F1203,"")</f>
        <v>1</v>
      </c>
      <c r="D1203" s="12" t="n">
        <f aca="false">COUNTIFS(Cleaned!$C$2:$C$125,2,Cleaned!BL$2:BL$125,1)</f>
        <v>0</v>
      </c>
      <c r="E1203" s="13" t="n">
        <f aca="false">IFERROR(D1203/$F1203,"")</f>
        <v>0</v>
      </c>
      <c r="F1203" s="12" t="n">
        <f aca="false">B1203+D1203</f>
        <v>4</v>
      </c>
    </row>
    <row r="1204" customFormat="false" ht="15" hidden="false" customHeight="false" outlineLevel="0" collapsed="false">
      <c r="A1204" s="12" t="s">
        <v>700</v>
      </c>
      <c r="B1204" s="12" t="n">
        <f aca="false">COUNTIFS(Cleaned!$C$2:$C$125,3,Cleaned!BL$2:BL$125,0)</f>
        <v>12</v>
      </c>
      <c r="C1204" s="13" t="n">
        <f aca="false">IFERROR(B1204/$F1204,"")</f>
        <v>1</v>
      </c>
      <c r="D1204" s="12" t="n">
        <f aca="false">COUNTIFS(Cleaned!$C$2:$C$125,3,Cleaned!BL$2:BL$125,1)</f>
        <v>0</v>
      </c>
      <c r="E1204" s="13" t="n">
        <f aca="false">IFERROR(D1204/$F1204,"")</f>
        <v>0</v>
      </c>
      <c r="F1204" s="12" t="n">
        <f aca="false">B1204+D1204</f>
        <v>12</v>
      </c>
    </row>
    <row r="1205" customFormat="false" ht="15" hidden="false" customHeight="false" outlineLevel="0" collapsed="false">
      <c r="A1205" s="12" t="s">
        <v>701</v>
      </c>
      <c r="B1205" s="12" t="n">
        <f aca="false">COUNTIFS(Cleaned!$C$2:$C$125,4,Cleaned!BL$2:BL$125,0)</f>
        <v>8</v>
      </c>
      <c r="C1205" s="13" t="n">
        <f aca="false">IFERROR(B1205/$F1205,"")</f>
        <v>1</v>
      </c>
      <c r="D1205" s="12" t="n">
        <f aca="false">COUNTIFS(Cleaned!$C$2:$C$125,4,Cleaned!BL$2:BL$125,1)</f>
        <v>0</v>
      </c>
      <c r="E1205" s="13" t="n">
        <f aca="false">IFERROR(D1205/$F1205,"")</f>
        <v>0</v>
      </c>
      <c r="F1205" s="12" t="n">
        <f aca="false">B1205+D1205</f>
        <v>8</v>
      </c>
    </row>
    <row r="1206" customFormat="false" ht="15" hidden="false" customHeight="false" outlineLevel="0" collapsed="false">
      <c r="A1206" s="12" t="s">
        <v>702</v>
      </c>
      <c r="B1206" s="12" t="n">
        <f aca="false">COUNTIFS(Cleaned!$C$2:$C$125,5,Cleaned!BL$2:BL$125,0)</f>
        <v>18</v>
      </c>
      <c r="C1206" s="13" t="n">
        <f aca="false">IFERROR(B1206/$F1206,"")</f>
        <v>0.947368421052632</v>
      </c>
      <c r="D1206" s="12" t="n">
        <f aca="false">COUNTIFS(Cleaned!$C$2:$C$125,5,Cleaned!BL$2:BL$125,1)</f>
        <v>1</v>
      </c>
      <c r="E1206" s="13" t="n">
        <f aca="false">IFERROR(D1206/$F1206,"")</f>
        <v>0.0526315789473684</v>
      </c>
      <c r="F1206" s="12" t="n">
        <f aca="false">B1206+D1206</f>
        <v>19</v>
      </c>
    </row>
    <row r="1207" customFormat="false" ht="15" hidden="false" customHeight="false" outlineLevel="0" collapsed="false">
      <c r="A1207" s="11" t="s">
        <v>703</v>
      </c>
      <c r="B1207" s="11" t="n">
        <f aca="false">SUM(B1202:B1206)</f>
        <v>46</v>
      </c>
      <c r="C1207" s="14" t="n">
        <f aca="false">IFERROR(B1207/$F1207,"")</f>
        <v>0.978723404255319</v>
      </c>
      <c r="D1207" s="11" t="n">
        <f aca="false">SUM(D1202:D1206)</f>
        <v>1</v>
      </c>
      <c r="E1207" s="14" t="n">
        <f aca="false">IFERROR(D1207/$F1207,"")</f>
        <v>0.0212765957446809</v>
      </c>
      <c r="F1207" s="11" t="n">
        <f aca="false">SUM(F1202:F1206)</f>
        <v>47</v>
      </c>
    </row>
    <row r="1208" customFormat="false" ht="15" hidden="false" customHeight="false" outlineLevel="0" collapsed="false">
      <c r="A1208" s="11" t="s">
        <v>3</v>
      </c>
    </row>
    <row r="1209" customFormat="false" ht="15" hidden="false" customHeight="false" outlineLevel="0" collapsed="false">
      <c r="A1209" s="12" t="s">
        <v>704</v>
      </c>
      <c r="B1209" s="12" t="n">
        <f aca="false">COUNTIFS(Cleaned!$D$2:$D$125,1,Cleaned!BL$2:BL$125,0)</f>
        <v>6</v>
      </c>
      <c r="C1209" s="13" t="n">
        <f aca="false">IFERROR(B1209/$F1209,"")</f>
        <v>1</v>
      </c>
      <c r="D1209" s="12" t="n">
        <f aca="false">COUNTIFS(Cleaned!$D$2:$D$125,1,Cleaned!BL$2:BL$125,1)</f>
        <v>0</v>
      </c>
      <c r="E1209" s="13" t="n">
        <f aca="false">IFERROR(D1209/$F1209,"")</f>
        <v>0</v>
      </c>
      <c r="F1209" s="12" t="n">
        <f aca="false">B1209+D1209</f>
        <v>6</v>
      </c>
    </row>
    <row r="1210" customFormat="false" ht="15" hidden="false" customHeight="false" outlineLevel="0" collapsed="false">
      <c r="A1210" s="12" t="s">
        <v>705</v>
      </c>
      <c r="B1210" s="12" t="n">
        <f aca="false">COUNTIFS(Cleaned!$D$2:$D$125,2,Cleaned!BL$2:BL$125,0)</f>
        <v>13</v>
      </c>
      <c r="C1210" s="13" t="n">
        <f aca="false">IFERROR(B1210/$F1210,"")</f>
        <v>0.928571428571429</v>
      </c>
      <c r="D1210" s="12" t="n">
        <f aca="false">COUNTIFS(Cleaned!$D$2:$D$125,2,Cleaned!BL$2:BL$125,1)</f>
        <v>1</v>
      </c>
      <c r="E1210" s="13" t="n">
        <f aca="false">IFERROR(D1210/$F1210,"")</f>
        <v>0.0714285714285714</v>
      </c>
      <c r="F1210" s="12" t="n">
        <f aca="false">B1210+D1210</f>
        <v>14</v>
      </c>
    </row>
    <row r="1211" customFormat="false" ht="15" hidden="false" customHeight="false" outlineLevel="0" collapsed="false">
      <c r="A1211" s="12" t="s">
        <v>706</v>
      </c>
      <c r="B1211" s="12" t="n">
        <f aca="false">COUNTIFS(Cleaned!$D$2:$D$125,3,Cleaned!BL$2:BL$125,0)</f>
        <v>8</v>
      </c>
      <c r="C1211" s="13" t="n">
        <f aca="false">IFERROR(B1211/$F1211,"")</f>
        <v>1</v>
      </c>
      <c r="D1211" s="12" t="n">
        <f aca="false">COUNTIFS(Cleaned!$D$2:$D$125,3,Cleaned!BL$2:BL$125,1)</f>
        <v>0</v>
      </c>
      <c r="E1211" s="13" t="n">
        <f aca="false">IFERROR(D1211/$F1211,"")</f>
        <v>0</v>
      </c>
      <c r="F1211" s="12" t="n">
        <f aca="false">B1211+D1211</f>
        <v>8</v>
      </c>
    </row>
    <row r="1212" customFormat="false" ht="15" hidden="false" customHeight="false" outlineLevel="0" collapsed="false">
      <c r="A1212" s="12" t="s">
        <v>707</v>
      </c>
      <c r="B1212" s="12" t="n">
        <f aca="false">COUNTIFS(Cleaned!$D$2:$D$125,4,Cleaned!BL$2:BL$125,0)</f>
        <v>4</v>
      </c>
      <c r="C1212" s="13" t="n">
        <f aca="false">IFERROR(B1212/$F1212,"")</f>
        <v>1</v>
      </c>
      <c r="D1212" s="12" t="n">
        <f aca="false">COUNTIFS(Cleaned!$D$2:$D$125,4,Cleaned!BL$2:BL$125,1)</f>
        <v>0</v>
      </c>
      <c r="E1212" s="13" t="n">
        <f aca="false">IFERROR(D1212/$F1212,"")</f>
        <v>0</v>
      </c>
      <c r="F1212" s="12" t="n">
        <f aca="false">B1212+D1212</f>
        <v>4</v>
      </c>
    </row>
    <row r="1213" customFormat="false" ht="15" hidden="false" customHeight="false" outlineLevel="0" collapsed="false">
      <c r="A1213" s="12" t="s">
        <v>708</v>
      </c>
      <c r="B1213" s="12" t="n">
        <f aca="false">COUNTIFS(Cleaned!$D$2:$D$125,5,Cleaned!BL$2:BL$125,0)</f>
        <v>1</v>
      </c>
      <c r="C1213" s="13" t="n">
        <f aca="false">IFERROR(B1213/$F1213,"")</f>
        <v>1</v>
      </c>
      <c r="D1213" s="12" t="n">
        <f aca="false">COUNTIFS(Cleaned!$D$2:$D$125,5,Cleaned!BL$2:BL$125,1)</f>
        <v>0</v>
      </c>
      <c r="E1213" s="13" t="n">
        <f aca="false">IFERROR(D1213/$F1213,"")</f>
        <v>0</v>
      </c>
      <c r="F1213" s="12" t="n">
        <f aca="false">B1213+D1213</f>
        <v>1</v>
      </c>
    </row>
    <row r="1214" customFormat="false" ht="15" hidden="false" customHeight="false" outlineLevel="0" collapsed="false">
      <c r="A1214" s="12" t="s">
        <v>709</v>
      </c>
      <c r="B1214" s="12" t="n">
        <f aca="false">COUNTIFS(Cleaned!$D$2:$D$125,6,Cleaned!BL$2:BL$125,0)</f>
        <v>1</v>
      </c>
      <c r="C1214" s="13" t="n">
        <f aca="false">IFERROR(B1214/$F1214,"")</f>
        <v>1</v>
      </c>
      <c r="D1214" s="12" t="n">
        <f aca="false">COUNTIFS(Cleaned!$D$2:$D$125,6,Cleaned!BL$2:BL$125,1)</f>
        <v>0</v>
      </c>
      <c r="E1214" s="13" t="n">
        <f aca="false">IFERROR(D1214/$F1214,"")</f>
        <v>0</v>
      </c>
      <c r="F1214" s="12" t="n">
        <f aca="false">B1214+D1214</f>
        <v>1</v>
      </c>
    </row>
    <row r="1215" customFormat="false" ht="15" hidden="false" customHeight="false" outlineLevel="0" collapsed="false">
      <c r="A1215" s="12" t="s">
        <v>710</v>
      </c>
      <c r="B1215" s="12" t="n">
        <f aca="false">COUNTIFS(Cleaned!$D$2:$D$125,7,Cleaned!BL$2:BL$125,0)</f>
        <v>6</v>
      </c>
      <c r="C1215" s="13" t="n">
        <f aca="false">IFERROR(B1215/$F1215,"")</f>
        <v>1</v>
      </c>
      <c r="D1215" s="12" t="n">
        <f aca="false">COUNTIFS(Cleaned!$D$2:$D$125,7,Cleaned!BL$2:BL$125,1)</f>
        <v>0</v>
      </c>
      <c r="E1215" s="13" t="n">
        <f aca="false">IFERROR(D1215/$F1215,"")</f>
        <v>0</v>
      </c>
      <c r="F1215" s="12" t="n">
        <f aca="false">B1215+D1215</f>
        <v>6</v>
      </c>
    </row>
    <row r="1216" customFormat="false" ht="15" hidden="false" customHeight="false" outlineLevel="0" collapsed="false">
      <c r="A1216" s="12" t="s">
        <v>711</v>
      </c>
      <c r="B1216" s="12" t="n">
        <f aca="false">COUNTIFS(Cleaned!$D$2:$D$125,8,Cleaned!BL$2:BL$125,0)</f>
        <v>0</v>
      </c>
      <c r="C1216" s="13" t="str">
        <f aca="false">IFERROR(B1216/$F1216,"")</f>
        <v/>
      </c>
      <c r="D1216" s="12" t="n">
        <f aca="false">COUNTIFS(Cleaned!$D$2:$D$125,8,Cleaned!BL$2:BL$125,1)</f>
        <v>0</v>
      </c>
      <c r="E1216" s="13" t="str">
        <f aca="false">IFERROR(D1216/$F1216,"")</f>
        <v/>
      </c>
      <c r="F1216" s="12" t="n">
        <f aca="false">B1216+D1216</f>
        <v>0</v>
      </c>
    </row>
    <row r="1217" customFormat="false" ht="15" hidden="false" customHeight="false" outlineLevel="0" collapsed="false">
      <c r="A1217" s="12" t="s">
        <v>712</v>
      </c>
      <c r="B1217" s="12" t="n">
        <f aca="false">COUNTIFS(Cleaned!$D$2:$D$125,9,Cleaned!BL$2:BL$125,0)</f>
        <v>1</v>
      </c>
      <c r="C1217" s="13" t="n">
        <f aca="false">IFERROR(B1217/$F1217,"")</f>
        <v>1</v>
      </c>
      <c r="D1217" s="12" t="n">
        <f aca="false">COUNTIFS(Cleaned!$D$2:$D$125,9,Cleaned!BL$2:BL$125,1)</f>
        <v>0</v>
      </c>
      <c r="E1217" s="13" t="n">
        <f aca="false">IFERROR(D1217/$F1217,"")</f>
        <v>0</v>
      </c>
      <c r="F1217" s="12" t="n">
        <f aca="false">B1217+D1217</f>
        <v>1</v>
      </c>
    </row>
    <row r="1218" customFormat="false" ht="15" hidden="false" customHeight="false" outlineLevel="0" collapsed="false">
      <c r="A1218" s="12" t="s">
        <v>713</v>
      </c>
      <c r="B1218" s="12" t="n">
        <f aca="false">COUNTIFS(Cleaned!$D$2:$D$125,10,Cleaned!BL$2:BL$125,0)</f>
        <v>0</v>
      </c>
      <c r="C1218" s="13" t="str">
        <f aca="false">IFERROR(B1218/$F1218,"")</f>
        <v/>
      </c>
      <c r="D1218" s="12" t="n">
        <f aca="false">COUNTIFS(Cleaned!$D$2:$D$125,10,Cleaned!BL$2:BL$125,1)</f>
        <v>0</v>
      </c>
      <c r="E1218" s="13" t="str">
        <f aca="false">IFERROR(D1218/$F1218,"")</f>
        <v/>
      </c>
      <c r="F1218" s="12" t="n">
        <f aca="false">B1218+D1218</f>
        <v>0</v>
      </c>
    </row>
    <row r="1219" customFormat="false" ht="15" hidden="false" customHeight="false" outlineLevel="0" collapsed="false">
      <c r="A1219" s="12" t="s">
        <v>714</v>
      </c>
      <c r="B1219" s="12" t="n">
        <f aca="false">COUNTIFS(Cleaned!$D$2:$D$125,11,Cleaned!BL$2:BL$125,0)</f>
        <v>5</v>
      </c>
      <c r="C1219" s="13" t="n">
        <f aca="false">IFERROR(B1219/$F1219,"")</f>
        <v>1</v>
      </c>
      <c r="D1219" s="12" t="n">
        <f aca="false">COUNTIFS(Cleaned!$D$2:$D$125,11,Cleaned!BL$2:BL$125,1)</f>
        <v>0</v>
      </c>
      <c r="E1219" s="13" t="n">
        <f aca="false">IFERROR(D1219/$F1219,"")</f>
        <v>0</v>
      </c>
      <c r="F1219" s="12" t="n">
        <f aca="false">B1219+D1219</f>
        <v>5</v>
      </c>
    </row>
    <row r="1220" customFormat="false" ht="15" hidden="false" customHeight="false" outlineLevel="0" collapsed="false">
      <c r="A1220" s="12" t="s">
        <v>715</v>
      </c>
      <c r="B1220" s="12" t="n">
        <f aca="false">COUNTIFS(Cleaned!$D$2:$D$125,12,Cleaned!BL$2:BL$125,0)</f>
        <v>1</v>
      </c>
      <c r="C1220" s="13" t="n">
        <f aca="false">IFERROR(B1220/$F1220,"")</f>
        <v>1</v>
      </c>
      <c r="D1220" s="12" t="n">
        <f aca="false">COUNTIFS(Cleaned!$D$2:$D$125,12,Cleaned!BL$2:BL$125,1)</f>
        <v>0</v>
      </c>
      <c r="E1220" s="13" t="n">
        <f aca="false">IFERROR(D1220/$F1220,"")</f>
        <v>0</v>
      </c>
      <c r="F1220" s="12" t="n">
        <f aca="false">B1220+D1220</f>
        <v>1</v>
      </c>
    </row>
    <row r="1221" customFormat="false" ht="15" hidden="false" customHeight="false" outlineLevel="0" collapsed="false">
      <c r="A1221" s="11" t="s">
        <v>716</v>
      </c>
      <c r="B1221" s="11" t="n">
        <f aca="false">SUM(B1209:B1220)</f>
        <v>46</v>
      </c>
      <c r="C1221" s="14" t="n">
        <f aca="false">IFERROR(B1221/$F1221,"")</f>
        <v>0.978723404255319</v>
      </c>
      <c r="D1221" s="11" t="n">
        <f aca="false">SUM(D1209:D1220)</f>
        <v>1</v>
      </c>
      <c r="E1221" s="14" t="n">
        <f aca="false">IFERROR(D1221/$F1221,"")</f>
        <v>0.0212765957446809</v>
      </c>
      <c r="F1221" s="11" t="n">
        <f aca="false">SUM(F1209:F1220)</f>
        <v>47</v>
      </c>
    </row>
    <row r="1224" customFormat="false" ht="15" hidden="false" customHeight="false" outlineLevel="0" collapsed="false">
      <c r="A1224" s="6" t="s">
        <v>64</v>
      </c>
      <c r="B1224" s="7" t="s">
        <v>782</v>
      </c>
    </row>
    <row r="1225" customFormat="false" ht="15" hidden="false" customHeight="false" outlineLevel="0" collapsed="false">
      <c r="A1225" s="8"/>
      <c r="B1225" s="9" t="s">
        <v>718</v>
      </c>
      <c r="C1225" s="8"/>
      <c r="D1225" s="9" t="s">
        <v>719</v>
      </c>
      <c r="E1225" s="8"/>
      <c r="F1225" s="9" t="s">
        <v>694</v>
      </c>
    </row>
    <row r="1226" customFormat="false" ht="15" hidden="false" customHeight="false" outlineLevel="0" collapsed="false">
      <c r="B1226" s="10" t="s">
        <v>695</v>
      </c>
      <c r="C1226" s="10" t="s">
        <v>696</v>
      </c>
      <c r="D1226" s="10" t="s">
        <v>695</v>
      </c>
      <c r="E1226" s="10" t="s">
        <v>696</v>
      </c>
    </row>
    <row r="1227" customFormat="false" ht="15" hidden="false" customHeight="false" outlineLevel="0" collapsed="false">
      <c r="A1227" s="11" t="s">
        <v>697</v>
      </c>
    </row>
    <row r="1228" customFormat="false" ht="15" hidden="false" customHeight="false" outlineLevel="0" collapsed="false">
      <c r="A1228" s="12" t="s">
        <v>698</v>
      </c>
      <c r="B1228" s="12" t="n">
        <f aca="false">COUNTIFS(Cleaned!$C$2:$C$125,1,Cleaned!BM$2:BM$125,0)</f>
        <v>0</v>
      </c>
      <c r="C1228" s="13" t="n">
        <f aca="false">IFERROR(B1228/$F1228,"")</f>
        <v>0</v>
      </c>
      <c r="D1228" s="12" t="n">
        <f aca="false">COUNTIFS(Cleaned!$C$2:$C$125,1,Cleaned!BM$2:BM$125,1)</f>
        <v>4</v>
      </c>
      <c r="E1228" s="13" t="n">
        <f aca="false">IFERROR(D1228/$F1228,"")</f>
        <v>1</v>
      </c>
      <c r="F1228" s="12" t="n">
        <f aca="false">B1228+D1228</f>
        <v>4</v>
      </c>
    </row>
    <row r="1229" customFormat="false" ht="15" hidden="false" customHeight="false" outlineLevel="0" collapsed="false">
      <c r="A1229" s="12" t="s">
        <v>699</v>
      </c>
      <c r="B1229" s="12" t="n">
        <f aca="false">COUNTIFS(Cleaned!$C$2:$C$125,2,Cleaned!BM$2:BM$125,0)</f>
        <v>2</v>
      </c>
      <c r="C1229" s="13" t="n">
        <f aca="false">IFERROR(B1229/$F1229,"")</f>
        <v>0.5</v>
      </c>
      <c r="D1229" s="12" t="n">
        <f aca="false">COUNTIFS(Cleaned!$C$2:$C$125,2,Cleaned!BM$2:BM$125,1)</f>
        <v>2</v>
      </c>
      <c r="E1229" s="13" t="n">
        <f aca="false">IFERROR(D1229/$F1229,"")</f>
        <v>0.5</v>
      </c>
      <c r="F1229" s="12" t="n">
        <f aca="false">B1229+D1229</f>
        <v>4</v>
      </c>
    </row>
    <row r="1230" customFormat="false" ht="15" hidden="false" customHeight="false" outlineLevel="0" collapsed="false">
      <c r="A1230" s="12" t="s">
        <v>700</v>
      </c>
      <c r="B1230" s="12" t="n">
        <f aca="false">COUNTIFS(Cleaned!$C$2:$C$125,3,Cleaned!BM$2:BM$125,0)</f>
        <v>5</v>
      </c>
      <c r="C1230" s="13" t="n">
        <f aca="false">IFERROR(B1230/$F1230,"")</f>
        <v>0.416666666666667</v>
      </c>
      <c r="D1230" s="12" t="n">
        <f aca="false">COUNTIFS(Cleaned!$C$2:$C$125,3,Cleaned!BM$2:BM$125,1)</f>
        <v>7</v>
      </c>
      <c r="E1230" s="13" t="n">
        <f aca="false">IFERROR(D1230/$F1230,"")</f>
        <v>0.583333333333333</v>
      </c>
      <c r="F1230" s="12" t="n">
        <f aca="false">B1230+D1230</f>
        <v>12</v>
      </c>
    </row>
    <row r="1231" customFormat="false" ht="15" hidden="false" customHeight="false" outlineLevel="0" collapsed="false">
      <c r="A1231" s="12" t="s">
        <v>701</v>
      </c>
      <c r="B1231" s="12" t="n">
        <f aca="false">COUNTIFS(Cleaned!$C$2:$C$125,4,Cleaned!BM$2:BM$125,0)</f>
        <v>4</v>
      </c>
      <c r="C1231" s="13" t="n">
        <f aca="false">IFERROR(B1231/$F1231,"")</f>
        <v>0.5</v>
      </c>
      <c r="D1231" s="12" t="n">
        <f aca="false">COUNTIFS(Cleaned!$C$2:$C$125,4,Cleaned!BM$2:BM$125,1)</f>
        <v>4</v>
      </c>
      <c r="E1231" s="13" t="n">
        <f aca="false">IFERROR(D1231/$F1231,"")</f>
        <v>0.5</v>
      </c>
      <c r="F1231" s="12" t="n">
        <f aca="false">B1231+D1231</f>
        <v>8</v>
      </c>
    </row>
    <row r="1232" customFormat="false" ht="15" hidden="false" customHeight="false" outlineLevel="0" collapsed="false">
      <c r="A1232" s="12" t="s">
        <v>702</v>
      </c>
      <c r="B1232" s="12" t="n">
        <f aca="false">COUNTIFS(Cleaned!$C$2:$C$125,5,Cleaned!BM$2:BM$125,0)</f>
        <v>11</v>
      </c>
      <c r="C1232" s="13" t="n">
        <f aca="false">IFERROR(B1232/$F1232,"")</f>
        <v>0.578947368421053</v>
      </c>
      <c r="D1232" s="12" t="n">
        <f aca="false">COUNTIFS(Cleaned!$C$2:$C$125,5,Cleaned!BM$2:BM$125,1)</f>
        <v>8</v>
      </c>
      <c r="E1232" s="13" t="n">
        <f aca="false">IFERROR(D1232/$F1232,"")</f>
        <v>0.421052631578947</v>
      </c>
      <c r="F1232" s="12" t="n">
        <f aca="false">B1232+D1232</f>
        <v>19</v>
      </c>
    </row>
    <row r="1233" customFormat="false" ht="15" hidden="false" customHeight="false" outlineLevel="0" collapsed="false">
      <c r="A1233" s="11" t="s">
        <v>703</v>
      </c>
      <c r="B1233" s="11" t="n">
        <f aca="false">SUM(B1228:B1232)</f>
        <v>22</v>
      </c>
      <c r="C1233" s="14" t="n">
        <f aca="false">IFERROR(B1233/$F1233,"")</f>
        <v>0.468085106382979</v>
      </c>
      <c r="D1233" s="11" t="n">
        <f aca="false">SUM(D1228:D1232)</f>
        <v>25</v>
      </c>
      <c r="E1233" s="14" t="n">
        <f aca="false">IFERROR(D1233/$F1233,"")</f>
        <v>0.531914893617021</v>
      </c>
      <c r="F1233" s="11" t="n">
        <f aca="false">SUM(F1228:F1232)</f>
        <v>47</v>
      </c>
    </row>
    <row r="1234" customFormat="false" ht="15" hidden="false" customHeight="false" outlineLevel="0" collapsed="false">
      <c r="A1234" s="11" t="s">
        <v>3</v>
      </c>
    </row>
    <row r="1235" customFormat="false" ht="15" hidden="false" customHeight="false" outlineLevel="0" collapsed="false">
      <c r="A1235" s="12" t="s">
        <v>704</v>
      </c>
      <c r="B1235" s="12" t="n">
        <f aca="false">COUNTIFS(Cleaned!$D$2:$D$125,1,Cleaned!BM$2:BM$125,0)</f>
        <v>2</v>
      </c>
      <c r="C1235" s="13" t="n">
        <f aca="false">IFERROR(B1235/$F1235,"")</f>
        <v>0.333333333333333</v>
      </c>
      <c r="D1235" s="12" t="n">
        <f aca="false">COUNTIFS(Cleaned!$D$2:$D$125,1,Cleaned!BM$2:BM$125,1)</f>
        <v>4</v>
      </c>
      <c r="E1235" s="13" t="n">
        <f aca="false">IFERROR(D1235/$F1235,"")</f>
        <v>0.666666666666667</v>
      </c>
      <c r="F1235" s="12" t="n">
        <f aca="false">B1235+D1235</f>
        <v>6</v>
      </c>
    </row>
    <row r="1236" customFormat="false" ht="15" hidden="false" customHeight="false" outlineLevel="0" collapsed="false">
      <c r="A1236" s="12" t="s">
        <v>705</v>
      </c>
      <c r="B1236" s="12" t="n">
        <f aca="false">COUNTIFS(Cleaned!$D$2:$D$125,2,Cleaned!BM$2:BM$125,0)</f>
        <v>8</v>
      </c>
      <c r="C1236" s="13" t="n">
        <f aca="false">IFERROR(B1236/$F1236,"")</f>
        <v>0.571428571428571</v>
      </c>
      <c r="D1236" s="12" t="n">
        <f aca="false">COUNTIFS(Cleaned!$D$2:$D$125,2,Cleaned!BM$2:BM$125,1)</f>
        <v>6</v>
      </c>
      <c r="E1236" s="13" t="n">
        <f aca="false">IFERROR(D1236/$F1236,"")</f>
        <v>0.428571428571429</v>
      </c>
      <c r="F1236" s="12" t="n">
        <f aca="false">B1236+D1236</f>
        <v>14</v>
      </c>
    </row>
    <row r="1237" customFormat="false" ht="15" hidden="false" customHeight="false" outlineLevel="0" collapsed="false">
      <c r="A1237" s="12" t="s">
        <v>706</v>
      </c>
      <c r="B1237" s="12" t="n">
        <f aca="false">COUNTIFS(Cleaned!$D$2:$D$125,3,Cleaned!BM$2:BM$125,0)</f>
        <v>3</v>
      </c>
      <c r="C1237" s="13" t="n">
        <f aca="false">IFERROR(B1237/$F1237,"")</f>
        <v>0.375</v>
      </c>
      <c r="D1237" s="12" t="n">
        <f aca="false">COUNTIFS(Cleaned!$D$2:$D$125,3,Cleaned!BM$2:BM$125,1)</f>
        <v>5</v>
      </c>
      <c r="E1237" s="13" t="n">
        <f aca="false">IFERROR(D1237/$F1237,"")</f>
        <v>0.625</v>
      </c>
      <c r="F1237" s="12" t="n">
        <f aca="false">B1237+D1237</f>
        <v>8</v>
      </c>
    </row>
    <row r="1238" customFormat="false" ht="15" hidden="false" customHeight="false" outlineLevel="0" collapsed="false">
      <c r="A1238" s="12" t="s">
        <v>707</v>
      </c>
      <c r="B1238" s="12" t="n">
        <f aca="false">COUNTIFS(Cleaned!$D$2:$D$125,4,Cleaned!BM$2:BM$125,0)</f>
        <v>1</v>
      </c>
      <c r="C1238" s="13" t="n">
        <f aca="false">IFERROR(B1238/$F1238,"")</f>
        <v>0.25</v>
      </c>
      <c r="D1238" s="12" t="n">
        <f aca="false">COUNTIFS(Cleaned!$D$2:$D$125,4,Cleaned!BM$2:BM$125,1)</f>
        <v>3</v>
      </c>
      <c r="E1238" s="13" t="n">
        <f aca="false">IFERROR(D1238/$F1238,"")</f>
        <v>0.75</v>
      </c>
      <c r="F1238" s="12" t="n">
        <f aca="false">B1238+D1238</f>
        <v>4</v>
      </c>
    </row>
    <row r="1239" customFormat="false" ht="15" hidden="false" customHeight="false" outlineLevel="0" collapsed="false">
      <c r="A1239" s="12" t="s">
        <v>708</v>
      </c>
      <c r="B1239" s="12" t="n">
        <f aca="false">COUNTIFS(Cleaned!$D$2:$D$125,5,Cleaned!BM$2:BM$125,0)</f>
        <v>1</v>
      </c>
      <c r="C1239" s="13" t="n">
        <f aca="false">IFERROR(B1239/$F1239,"")</f>
        <v>1</v>
      </c>
      <c r="D1239" s="12" t="n">
        <f aca="false">COUNTIFS(Cleaned!$D$2:$D$125,5,Cleaned!BM$2:BM$125,1)</f>
        <v>0</v>
      </c>
      <c r="E1239" s="13" t="n">
        <f aca="false">IFERROR(D1239/$F1239,"")</f>
        <v>0</v>
      </c>
      <c r="F1239" s="12" t="n">
        <f aca="false">B1239+D1239</f>
        <v>1</v>
      </c>
    </row>
    <row r="1240" customFormat="false" ht="15" hidden="false" customHeight="false" outlineLevel="0" collapsed="false">
      <c r="A1240" s="12" t="s">
        <v>709</v>
      </c>
      <c r="B1240" s="12" t="n">
        <f aca="false">COUNTIFS(Cleaned!$D$2:$D$125,6,Cleaned!BM$2:BM$125,0)</f>
        <v>1</v>
      </c>
      <c r="C1240" s="13" t="n">
        <f aca="false">IFERROR(B1240/$F1240,"")</f>
        <v>1</v>
      </c>
      <c r="D1240" s="12" t="n">
        <f aca="false">COUNTIFS(Cleaned!$D$2:$D$125,6,Cleaned!BM$2:BM$125,1)</f>
        <v>0</v>
      </c>
      <c r="E1240" s="13" t="n">
        <f aca="false">IFERROR(D1240/$F1240,"")</f>
        <v>0</v>
      </c>
      <c r="F1240" s="12" t="n">
        <f aca="false">B1240+D1240</f>
        <v>1</v>
      </c>
    </row>
    <row r="1241" customFormat="false" ht="15" hidden="false" customHeight="false" outlineLevel="0" collapsed="false">
      <c r="A1241" s="12" t="s">
        <v>710</v>
      </c>
      <c r="B1241" s="12" t="n">
        <f aca="false">COUNTIFS(Cleaned!$D$2:$D$125,7,Cleaned!BM$2:BM$125,0)</f>
        <v>4</v>
      </c>
      <c r="C1241" s="13" t="n">
        <f aca="false">IFERROR(B1241/$F1241,"")</f>
        <v>0.666666666666667</v>
      </c>
      <c r="D1241" s="12" t="n">
        <f aca="false">COUNTIFS(Cleaned!$D$2:$D$125,7,Cleaned!BM$2:BM$125,1)</f>
        <v>2</v>
      </c>
      <c r="E1241" s="13" t="n">
        <f aca="false">IFERROR(D1241/$F1241,"")</f>
        <v>0.333333333333333</v>
      </c>
      <c r="F1241" s="12" t="n">
        <f aca="false">B1241+D1241</f>
        <v>6</v>
      </c>
    </row>
    <row r="1242" customFormat="false" ht="15" hidden="false" customHeight="false" outlineLevel="0" collapsed="false">
      <c r="A1242" s="12" t="s">
        <v>711</v>
      </c>
      <c r="B1242" s="12" t="n">
        <f aca="false">COUNTIFS(Cleaned!$D$2:$D$125,8,Cleaned!BM$2:BM$125,0)</f>
        <v>0</v>
      </c>
      <c r="C1242" s="13" t="str">
        <f aca="false">IFERROR(B1242/$F1242,"")</f>
        <v/>
      </c>
      <c r="D1242" s="12" t="n">
        <f aca="false">COUNTIFS(Cleaned!$D$2:$D$125,8,Cleaned!BM$2:BM$125,1)</f>
        <v>0</v>
      </c>
      <c r="E1242" s="13" t="str">
        <f aca="false">IFERROR(D1242/$F1242,"")</f>
        <v/>
      </c>
      <c r="F1242" s="12" t="n">
        <f aca="false">B1242+D1242</f>
        <v>0</v>
      </c>
    </row>
    <row r="1243" customFormat="false" ht="15" hidden="false" customHeight="false" outlineLevel="0" collapsed="false">
      <c r="A1243" s="12" t="s">
        <v>712</v>
      </c>
      <c r="B1243" s="12" t="n">
        <f aca="false">COUNTIFS(Cleaned!$D$2:$D$125,9,Cleaned!BM$2:BM$125,0)</f>
        <v>0</v>
      </c>
      <c r="C1243" s="13" t="n">
        <f aca="false">IFERROR(B1243/$F1243,"")</f>
        <v>0</v>
      </c>
      <c r="D1243" s="12" t="n">
        <f aca="false">COUNTIFS(Cleaned!$D$2:$D$125,9,Cleaned!BM$2:BM$125,1)</f>
        <v>1</v>
      </c>
      <c r="E1243" s="13" t="n">
        <f aca="false">IFERROR(D1243/$F1243,"")</f>
        <v>1</v>
      </c>
      <c r="F1243" s="12" t="n">
        <f aca="false">B1243+D1243</f>
        <v>1</v>
      </c>
    </row>
    <row r="1244" customFormat="false" ht="15" hidden="false" customHeight="false" outlineLevel="0" collapsed="false">
      <c r="A1244" s="12" t="s">
        <v>713</v>
      </c>
      <c r="B1244" s="12" t="n">
        <f aca="false">COUNTIFS(Cleaned!$D$2:$D$125,10,Cleaned!BM$2:BM$125,0)</f>
        <v>0</v>
      </c>
      <c r="C1244" s="13" t="str">
        <f aca="false">IFERROR(B1244/$F1244,"")</f>
        <v/>
      </c>
      <c r="D1244" s="12" t="n">
        <f aca="false">COUNTIFS(Cleaned!$D$2:$D$125,10,Cleaned!BM$2:BM$125,1)</f>
        <v>0</v>
      </c>
      <c r="E1244" s="13" t="str">
        <f aca="false">IFERROR(D1244/$F1244,"")</f>
        <v/>
      </c>
      <c r="F1244" s="12" t="n">
        <f aca="false">B1244+D1244</f>
        <v>0</v>
      </c>
    </row>
    <row r="1245" customFormat="false" ht="15" hidden="false" customHeight="false" outlineLevel="0" collapsed="false">
      <c r="A1245" s="12" t="s">
        <v>714</v>
      </c>
      <c r="B1245" s="12" t="n">
        <f aca="false">COUNTIFS(Cleaned!$D$2:$D$125,11,Cleaned!BM$2:BM$125,0)</f>
        <v>2</v>
      </c>
      <c r="C1245" s="13" t="n">
        <f aca="false">IFERROR(B1245/$F1245,"")</f>
        <v>0.4</v>
      </c>
      <c r="D1245" s="12" t="n">
        <f aca="false">COUNTIFS(Cleaned!$D$2:$D$125,11,Cleaned!BM$2:BM$125,1)</f>
        <v>3</v>
      </c>
      <c r="E1245" s="13" t="n">
        <f aca="false">IFERROR(D1245/$F1245,"")</f>
        <v>0.6</v>
      </c>
      <c r="F1245" s="12" t="n">
        <f aca="false">B1245+D1245</f>
        <v>5</v>
      </c>
    </row>
    <row r="1246" customFormat="false" ht="15" hidden="false" customHeight="false" outlineLevel="0" collapsed="false">
      <c r="A1246" s="12" t="s">
        <v>715</v>
      </c>
      <c r="B1246" s="12" t="n">
        <f aca="false">COUNTIFS(Cleaned!$D$2:$D$125,12,Cleaned!BM$2:BM$125,0)</f>
        <v>0</v>
      </c>
      <c r="C1246" s="13" t="n">
        <f aca="false">IFERROR(B1246/$F1246,"")</f>
        <v>0</v>
      </c>
      <c r="D1246" s="12" t="n">
        <f aca="false">COUNTIFS(Cleaned!$D$2:$D$125,12,Cleaned!BM$2:BM$125,1)</f>
        <v>1</v>
      </c>
      <c r="E1246" s="13" t="n">
        <f aca="false">IFERROR(D1246/$F1246,"")</f>
        <v>1</v>
      </c>
      <c r="F1246" s="12" t="n">
        <f aca="false">B1246+D1246</f>
        <v>1</v>
      </c>
    </row>
    <row r="1247" customFormat="false" ht="15" hidden="false" customHeight="false" outlineLevel="0" collapsed="false">
      <c r="A1247" s="11" t="s">
        <v>716</v>
      </c>
      <c r="B1247" s="11" t="n">
        <f aca="false">SUM(B1235:B1246)</f>
        <v>22</v>
      </c>
      <c r="C1247" s="14" t="n">
        <f aca="false">IFERROR(B1247/$F1247,"")</f>
        <v>0.468085106382979</v>
      </c>
      <c r="D1247" s="11" t="n">
        <f aca="false">SUM(D1235:D1246)</f>
        <v>25</v>
      </c>
      <c r="E1247" s="14" t="n">
        <f aca="false">IFERROR(D1247/$F1247,"")</f>
        <v>0.531914893617021</v>
      </c>
      <c r="F1247" s="11" t="n">
        <f aca="false">SUM(F1235:F1246)</f>
        <v>47</v>
      </c>
    </row>
    <row r="1250" customFormat="false" ht="15" hidden="false" customHeight="false" outlineLevel="0" collapsed="false">
      <c r="A1250" s="6" t="s">
        <v>65</v>
      </c>
      <c r="B1250" s="7" t="s">
        <v>783</v>
      </c>
    </row>
    <row r="1251" customFormat="false" ht="15" hidden="false" customHeight="false" outlineLevel="0" collapsed="false">
      <c r="A1251" s="8"/>
      <c r="B1251" s="9" t="s">
        <v>718</v>
      </c>
      <c r="C1251" s="8"/>
      <c r="D1251" s="9" t="s">
        <v>719</v>
      </c>
      <c r="E1251" s="8"/>
      <c r="F1251" s="9" t="s">
        <v>694</v>
      </c>
    </row>
    <row r="1252" customFormat="false" ht="15" hidden="false" customHeight="false" outlineLevel="0" collapsed="false">
      <c r="B1252" s="10" t="s">
        <v>695</v>
      </c>
      <c r="C1252" s="10" t="s">
        <v>696</v>
      </c>
      <c r="D1252" s="10" t="s">
        <v>695</v>
      </c>
      <c r="E1252" s="10" t="s">
        <v>696</v>
      </c>
    </row>
    <row r="1253" customFormat="false" ht="15" hidden="false" customHeight="false" outlineLevel="0" collapsed="false">
      <c r="A1253" s="11" t="s">
        <v>697</v>
      </c>
    </row>
    <row r="1254" customFormat="false" ht="15" hidden="false" customHeight="false" outlineLevel="0" collapsed="false">
      <c r="A1254" s="12" t="s">
        <v>698</v>
      </c>
      <c r="B1254" s="12" t="n">
        <f aca="false">COUNTIFS(Cleaned!$C$2:$C$125,1,Cleaned!BN$2:BN$125,0)</f>
        <v>4</v>
      </c>
      <c r="C1254" s="13" t="n">
        <f aca="false">IFERROR(B1254/$F1254,"")</f>
        <v>1</v>
      </c>
      <c r="D1254" s="12" t="n">
        <f aca="false">COUNTIFS(Cleaned!$C$2:$C$125,1,Cleaned!BN$2:BN$125,1)</f>
        <v>0</v>
      </c>
      <c r="E1254" s="13" t="n">
        <f aca="false">IFERROR(D1254/$F1254,"")</f>
        <v>0</v>
      </c>
      <c r="F1254" s="12" t="n">
        <f aca="false">B1254+D1254</f>
        <v>4</v>
      </c>
    </row>
    <row r="1255" customFormat="false" ht="15" hidden="false" customHeight="false" outlineLevel="0" collapsed="false">
      <c r="A1255" s="12" t="s">
        <v>699</v>
      </c>
      <c r="B1255" s="12" t="n">
        <f aca="false">COUNTIFS(Cleaned!$C$2:$C$125,2,Cleaned!BN$2:BN$125,0)</f>
        <v>4</v>
      </c>
      <c r="C1255" s="13" t="n">
        <f aca="false">IFERROR(B1255/$F1255,"")</f>
        <v>1</v>
      </c>
      <c r="D1255" s="12" t="n">
        <f aca="false">COUNTIFS(Cleaned!$C$2:$C$125,2,Cleaned!BN$2:BN$125,1)</f>
        <v>0</v>
      </c>
      <c r="E1255" s="13" t="n">
        <f aca="false">IFERROR(D1255/$F1255,"")</f>
        <v>0</v>
      </c>
      <c r="F1255" s="12" t="n">
        <f aca="false">B1255+D1255</f>
        <v>4</v>
      </c>
    </row>
    <row r="1256" customFormat="false" ht="15" hidden="false" customHeight="false" outlineLevel="0" collapsed="false">
      <c r="A1256" s="12" t="s">
        <v>700</v>
      </c>
      <c r="B1256" s="12" t="n">
        <f aca="false">COUNTIFS(Cleaned!$C$2:$C$125,3,Cleaned!BN$2:BN$125,0)</f>
        <v>11</v>
      </c>
      <c r="C1256" s="13" t="n">
        <f aca="false">IFERROR(B1256/$F1256,"")</f>
        <v>0.916666666666667</v>
      </c>
      <c r="D1256" s="12" t="n">
        <f aca="false">COUNTIFS(Cleaned!$C$2:$C$125,3,Cleaned!BN$2:BN$125,1)</f>
        <v>1</v>
      </c>
      <c r="E1256" s="13" t="n">
        <f aca="false">IFERROR(D1256/$F1256,"")</f>
        <v>0.0833333333333333</v>
      </c>
      <c r="F1256" s="12" t="n">
        <f aca="false">B1256+D1256</f>
        <v>12</v>
      </c>
    </row>
    <row r="1257" customFormat="false" ht="15" hidden="false" customHeight="false" outlineLevel="0" collapsed="false">
      <c r="A1257" s="12" t="s">
        <v>701</v>
      </c>
      <c r="B1257" s="12" t="n">
        <f aca="false">COUNTIFS(Cleaned!$C$2:$C$125,4,Cleaned!BN$2:BN$125,0)</f>
        <v>8</v>
      </c>
      <c r="C1257" s="13" t="n">
        <f aca="false">IFERROR(B1257/$F1257,"")</f>
        <v>1</v>
      </c>
      <c r="D1257" s="12" t="n">
        <f aca="false">COUNTIFS(Cleaned!$C$2:$C$125,4,Cleaned!BN$2:BN$125,1)</f>
        <v>0</v>
      </c>
      <c r="E1257" s="13" t="n">
        <f aca="false">IFERROR(D1257/$F1257,"")</f>
        <v>0</v>
      </c>
      <c r="F1257" s="12" t="n">
        <f aca="false">B1257+D1257</f>
        <v>8</v>
      </c>
    </row>
    <row r="1258" customFormat="false" ht="15" hidden="false" customHeight="false" outlineLevel="0" collapsed="false">
      <c r="A1258" s="12" t="s">
        <v>702</v>
      </c>
      <c r="B1258" s="12" t="n">
        <f aca="false">COUNTIFS(Cleaned!$C$2:$C$125,5,Cleaned!BN$2:BN$125,0)</f>
        <v>15</v>
      </c>
      <c r="C1258" s="13" t="n">
        <f aca="false">IFERROR(B1258/$F1258,"")</f>
        <v>0.789473684210526</v>
      </c>
      <c r="D1258" s="12" t="n">
        <f aca="false">COUNTIFS(Cleaned!$C$2:$C$125,5,Cleaned!BN$2:BN$125,1)</f>
        <v>4</v>
      </c>
      <c r="E1258" s="13" t="n">
        <f aca="false">IFERROR(D1258/$F1258,"")</f>
        <v>0.210526315789474</v>
      </c>
      <c r="F1258" s="12" t="n">
        <f aca="false">B1258+D1258</f>
        <v>19</v>
      </c>
    </row>
    <row r="1259" customFormat="false" ht="15" hidden="false" customHeight="false" outlineLevel="0" collapsed="false">
      <c r="A1259" s="11" t="s">
        <v>703</v>
      </c>
      <c r="B1259" s="11" t="n">
        <f aca="false">SUM(B1254:B1258)</f>
        <v>42</v>
      </c>
      <c r="C1259" s="14" t="n">
        <f aca="false">IFERROR(B1259/$F1259,"")</f>
        <v>0.893617021276596</v>
      </c>
      <c r="D1259" s="11" t="n">
        <f aca="false">SUM(D1254:D1258)</f>
        <v>5</v>
      </c>
      <c r="E1259" s="14" t="n">
        <f aca="false">IFERROR(D1259/$F1259,"")</f>
        <v>0.106382978723404</v>
      </c>
      <c r="F1259" s="11" t="n">
        <f aca="false">SUM(F1254:F1258)</f>
        <v>47</v>
      </c>
    </row>
    <row r="1260" customFormat="false" ht="15" hidden="false" customHeight="false" outlineLevel="0" collapsed="false">
      <c r="A1260" s="11" t="s">
        <v>3</v>
      </c>
    </row>
    <row r="1261" customFormat="false" ht="15" hidden="false" customHeight="false" outlineLevel="0" collapsed="false">
      <c r="A1261" s="12" t="s">
        <v>704</v>
      </c>
      <c r="B1261" s="12" t="n">
        <f aca="false">COUNTIFS(Cleaned!$D$2:$D$125,1,Cleaned!BN$2:BN$125,0)</f>
        <v>5</v>
      </c>
      <c r="C1261" s="13" t="n">
        <f aca="false">IFERROR(B1261/$F1261,"")</f>
        <v>0.833333333333333</v>
      </c>
      <c r="D1261" s="12" t="n">
        <f aca="false">COUNTIFS(Cleaned!$D$2:$D$125,1,Cleaned!BN$2:BN$125,1)</f>
        <v>1</v>
      </c>
      <c r="E1261" s="13" t="n">
        <f aca="false">IFERROR(D1261/$F1261,"")</f>
        <v>0.166666666666667</v>
      </c>
      <c r="F1261" s="12" t="n">
        <f aca="false">B1261+D1261</f>
        <v>6</v>
      </c>
    </row>
    <row r="1262" customFormat="false" ht="15" hidden="false" customHeight="false" outlineLevel="0" collapsed="false">
      <c r="A1262" s="12" t="s">
        <v>705</v>
      </c>
      <c r="B1262" s="12" t="n">
        <f aca="false">COUNTIFS(Cleaned!$D$2:$D$125,2,Cleaned!BN$2:BN$125,0)</f>
        <v>11</v>
      </c>
      <c r="C1262" s="13" t="n">
        <f aca="false">IFERROR(B1262/$F1262,"")</f>
        <v>0.785714285714286</v>
      </c>
      <c r="D1262" s="12" t="n">
        <f aca="false">COUNTIFS(Cleaned!$D$2:$D$125,2,Cleaned!BN$2:BN$125,1)</f>
        <v>3</v>
      </c>
      <c r="E1262" s="13" t="n">
        <f aca="false">IFERROR(D1262/$F1262,"")</f>
        <v>0.214285714285714</v>
      </c>
      <c r="F1262" s="12" t="n">
        <f aca="false">B1262+D1262</f>
        <v>14</v>
      </c>
    </row>
    <row r="1263" customFormat="false" ht="15" hidden="false" customHeight="false" outlineLevel="0" collapsed="false">
      <c r="A1263" s="12" t="s">
        <v>706</v>
      </c>
      <c r="B1263" s="12" t="n">
        <f aca="false">COUNTIFS(Cleaned!$D$2:$D$125,3,Cleaned!BN$2:BN$125,0)</f>
        <v>8</v>
      </c>
      <c r="C1263" s="13" t="n">
        <f aca="false">IFERROR(B1263/$F1263,"")</f>
        <v>1</v>
      </c>
      <c r="D1263" s="12" t="n">
        <f aca="false">COUNTIFS(Cleaned!$D$2:$D$125,3,Cleaned!BN$2:BN$125,1)</f>
        <v>0</v>
      </c>
      <c r="E1263" s="13" t="n">
        <f aca="false">IFERROR(D1263/$F1263,"")</f>
        <v>0</v>
      </c>
      <c r="F1263" s="12" t="n">
        <f aca="false">B1263+D1263</f>
        <v>8</v>
      </c>
    </row>
    <row r="1264" customFormat="false" ht="15" hidden="false" customHeight="false" outlineLevel="0" collapsed="false">
      <c r="A1264" s="12" t="s">
        <v>707</v>
      </c>
      <c r="B1264" s="12" t="n">
        <f aca="false">COUNTIFS(Cleaned!$D$2:$D$125,4,Cleaned!BN$2:BN$125,0)</f>
        <v>4</v>
      </c>
      <c r="C1264" s="13" t="n">
        <f aca="false">IFERROR(B1264/$F1264,"")</f>
        <v>1</v>
      </c>
      <c r="D1264" s="12" t="n">
        <f aca="false">COUNTIFS(Cleaned!$D$2:$D$125,4,Cleaned!BN$2:BN$125,1)</f>
        <v>0</v>
      </c>
      <c r="E1264" s="13" t="n">
        <f aca="false">IFERROR(D1264/$F1264,"")</f>
        <v>0</v>
      </c>
      <c r="F1264" s="12" t="n">
        <f aca="false">B1264+D1264</f>
        <v>4</v>
      </c>
    </row>
    <row r="1265" customFormat="false" ht="15" hidden="false" customHeight="false" outlineLevel="0" collapsed="false">
      <c r="A1265" s="12" t="s">
        <v>708</v>
      </c>
      <c r="B1265" s="12" t="n">
        <f aca="false">COUNTIFS(Cleaned!$D$2:$D$125,5,Cleaned!BN$2:BN$125,0)</f>
        <v>1</v>
      </c>
      <c r="C1265" s="13" t="n">
        <f aca="false">IFERROR(B1265/$F1265,"")</f>
        <v>1</v>
      </c>
      <c r="D1265" s="12" t="n">
        <f aca="false">COUNTIFS(Cleaned!$D$2:$D$125,5,Cleaned!BN$2:BN$125,1)</f>
        <v>0</v>
      </c>
      <c r="E1265" s="13" t="n">
        <f aca="false">IFERROR(D1265/$F1265,"")</f>
        <v>0</v>
      </c>
      <c r="F1265" s="12" t="n">
        <f aca="false">B1265+D1265</f>
        <v>1</v>
      </c>
    </row>
    <row r="1266" customFormat="false" ht="15" hidden="false" customHeight="false" outlineLevel="0" collapsed="false">
      <c r="A1266" s="12" t="s">
        <v>709</v>
      </c>
      <c r="B1266" s="12" t="n">
        <f aca="false">COUNTIFS(Cleaned!$D$2:$D$125,6,Cleaned!BN$2:BN$125,0)</f>
        <v>1</v>
      </c>
      <c r="C1266" s="13" t="n">
        <f aca="false">IFERROR(B1266/$F1266,"")</f>
        <v>1</v>
      </c>
      <c r="D1266" s="12" t="n">
        <f aca="false">COUNTIFS(Cleaned!$D$2:$D$125,6,Cleaned!BN$2:BN$125,1)</f>
        <v>0</v>
      </c>
      <c r="E1266" s="13" t="n">
        <f aca="false">IFERROR(D1266/$F1266,"")</f>
        <v>0</v>
      </c>
      <c r="F1266" s="12" t="n">
        <f aca="false">B1266+D1266</f>
        <v>1</v>
      </c>
    </row>
    <row r="1267" customFormat="false" ht="15" hidden="false" customHeight="false" outlineLevel="0" collapsed="false">
      <c r="A1267" s="12" t="s">
        <v>710</v>
      </c>
      <c r="B1267" s="12" t="n">
        <f aca="false">COUNTIFS(Cleaned!$D$2:$D$125,7,Cleaned!BN$2:BN$125,0)</f>
        <v>5</v>
      </c>
      <c r="C1267" s="13" t="n">
        <f aca="false">IFERROR(B1267/$F1267,"")</f>
        <v>0.833333333333333</v>
      </c>
      <c r="D1267" s="12" t="n">
        <f aca="false">COUNTIFS(Cleaned!$D$2:$D$125,7,Cleaned!BN$2:BN$125,1)</f>
        <v>1</v>
      </c>
      <c r="E1267" s="13" t="n">
        <f aca="false">IFERROR(D1267/$F1267,"")</f>
        <v>0.166666666666667</v>
      </c>
      <c r="F1267" s="12" t="n">
        <f aca="false">B1267+D1267</f>
        <v>6</v>
      </c>
    </row>
    <row r="1268" customFormat="false" ht="15" hidden="false" customHeight="false" outlineLevel="0" collapsed="false">
      <c r="A1268" s="12" t="s">
        <v>711</v>
      </c>
      <c r="B1268" s="12" t="n">
        <f aca="false">COUNTIFS(Cleaned!$D$2:$D$125,8,Cleaned!BN$2:BN$125,0)</f>
        <v>0</v>
      </c>
      <c r="C1268" s="13" t="str">
        <f aca="false">IFERROR(B1268/$F1268,"")</f>
        <v/>
      </c>
      <c r="D1268" s="12" t="n">
        <f aca="false">COUNTIFS(Cleaned!$D$2:$D$125,8,Cleaned!BN$2:BN$125,1)</f>
        <v>0</v>
      </c>
      <c r="E1268" s="13" t="str">
        <f aca="false">IFERROR(D1268/$F1268,"")</f>
        <v/>
      </c>
      <c r="F1268" s="12" t="n">
        <f aca="false">B1268+D1268</f>
        <v>0</v>
      </c>
    </row>
    <row r="1269" customFormat="false" ht="15" hidden="false" customHeight="false" outlineLevel="0" collapsed="false">
      <c r="A1269" s="12" t="s">
        <v>712</v>
      </c>
      <c r="B1269" s="12" t="n">
        <f aca="false">COUNTIFS(Cleaned!$D$2:$D$125,9,Cleaned!BN$2:BN$125,0)</f>
        <v>1</v>
      </c>
      <c r="C1269" s="13" t="n">
        <f aca="false">IFERROR(B1269/$F1269,"")</f>
        <v>1</v>
      </c>
      <c r="D1269" s="12" t="n">
        <f aca="false">COUNTIFS(Cleaned!$D$2:$D$125,9,Cleaned!BN$2:BN$125,1)</f>
        <v>0</v>
      </c>
      <c r="E1269" s="13" t="n">
        <f aca="false">IFERROR(D1269/$F1269,"")</f>
        <v>0</v>
      </c>
      <c r="F1269" s="12" t="n">
        <f aca="false">B1269+D1269</f>
        <v>1</v>
      </c>
    </row>
    <row r="1270" customFormat="false" ht="15" hidden="false" customHeight="false" outlineLevel="0" collapsed="false">
      <c r="A1270" s="12" t="s">
        <v>713</v>
      </c>
      <c r="B1270" s="12" t="n">
        <f aca="false">COUNTIFS(Cleaned!$D$2:$D$125,10,Cleaned!BN$2:BN$125,0)</f>
        <v>0</v>
      </c>
      <c r="C1270" s="13" t="str">
        <f aca="false">IFERROR(B1270/$F1270,"")</f>
        <v/>
      </c>
      <c r="D1270" s="12" t="n">
        <f aca="false">COUNTIFS(Cleaned!$D$2:$D$125,10,Cleaned!BN$2:BN$125,1)</f>
        <v>0</v>
      </c>
      <c r="E1270" s="13" t="str">
        <f aca="false">IFERROR(D1270/$F1270,"")</f>
        <v/>
      </c>
      <c r="F1270" s="12" t="n">
        <f aca="false">B1270+D1270</f>
        <v>0</v>
      </c>
    </row>
    <row r="1271" customFormat="false" ht="15" hidden="false" customHeight="false" outlineLevel="0" collapsed="false">
      <c r="A1271" s="12" t="s">
        <v>714</v>
      </c>
      <c r="B1271" s="12" t="n">
        <f aca="false">COUNTIFS(Cleaned!$D$2:$D$125,11,Cleaned!BN$2:BN$125,0)</f>
        <v>5</v>
      </c>
      <c r="C1271" s="13" t="n">
        <f aca="false">IFERROR(B1271/$F1271,"")</f>
        <v>1</v>
      </c>
      <c r="D1271" s="12" t="n">
        <f aca="false">COUNTIFS(Cleaned!$D$2:$D$125,11,Cleaned!BN$2:BN$125,1)</f>
        <v>0</v>
      </c>
      <c r="E1271" s="13" t="n">
        <f aca="false">IFERROR(D1271/$F1271,"")</f>
        <v>0</v>
      </c>
      <c r="F1271" s="12" t="n">
        <f aca="false">B1271+D1271</f>
        <v>5</v>
      </c>
    </row>
    <row r="1272" customFormat="false" ht="15" hidden="false" customHeight="false" outlineLevel="0" collapsed="false">
      <c r="A1272" s="12" t="s">
        <v>715</v>
      </c>
      <c r="B1272" s="12" t="n">
        <f aca="false">COUNTIFS(Cleaned!$D$2:$D$125,12,Cleaned!BN$2:BN$125,0)</f>
        <v>1</v>
      </c>
      <c r="C1272" s="13" t="n">
        <f aca="false">IFERROR(B1272/$F1272,"")</f>
        <v>1</v>
      </c>
      <c r="D1272" s="12" t="n">
        <f aca="false">COUNTIFS(Cleaned!$D$2:$D$125,12,Cleaned!BN$2:BN$125,1)</f>
        <v>0</v>
      </c>
      <c r="E1272" s="13" t="n">
        <f aca="false">IFERROR(D1272/$F1272,"")</f>
        <v>0</v>
      </c>
      <c r="F1272" s="12" t="n">
        <f aca="false">B1272+D1272</f>
        <v>1</v>
      </c>
    </row>
    <row r="1273" customFormat="false" ht="15" hidden="false" customHeight="false" outlineLevel="0" collapsed="false">
      <c r="A1273" s="11" t="s">
        <v>716</v>
      </c>
      <c r="B1273" s="11" t="n">
        <f aca="false">SUM(B1261:B1272)</f>
        <v>42</v>
      </c>
      <c r="C1273" s="14" t="n">
        <f aca="false">IFERROR(B1273/$F1273,"")</f>
        <v>0.893617021276596</v>
      </c>
      <c r="D1273" s="11" t="n">
        <f aca="false">SUM(D1261:D1272)</f>
        <v>5</v>
      </c>
      <c r="E1273" s="14" t="n">
        <f aca="false">IFERROR(D1273/$F1273,"")</f>
        <v>0.106382978723404</v>
      </c>
      <c r="F1273" s="11" t="n">
        <f aca="false">SUM(F1261:F1272)</f>
        <v>47</v>
      </c>
    </row>
    <row r="1276" customFormat="false" ht="15" hidden="false" customHeight="false" outlineLevel="0" collapsed="false">
      <c r="A1276" s="6" t="s">
        <v>66</v>
      </c>
      <c r="B1276" s="7" t="s">
        <v>784</v>
      </c>
    </row>
    <row r="1277" customFormat="false" ht="15" hidden="false" customHeight="false" outlineLevel="0" collapsed="false">
      <c r="A1277" s="8"/>
      <c r="B1277" s="9" t="s">
        <v>718</v>
      </c>
      <c r="C1277" s="8"/>
      <c r="D1277" s="9" t="s">
        <v>719</v>
      </c>
      <c r="E1277" s="8"/>
      <c r="F1277" s="9" t="s">
        <v>694</v>
      </c>
    </row>
    <row r="1278" customFormat="false" ht="15" hidden="false" customHeight="false" outlineLevel="0" collapsed="false">
      <c r="B1278" s="10" t="s">
        <v>695</v>
      </c>
      <c r="C1278" s="10" t="s">
        <v>696</v>
      </c>
      <c r="D1278" s="10" t="s">
        <v>695</v>
      </c>
      <c r="E1278" s="10" t="s">
        <v>696</v>
      </c>
    </row>
    <row r="1279" customFormat="false" ht="15" hidden="false" customHeight="false" outlineLevel="0" collapsed="false">
      <c r="A1279" s="11" t="s">
        <v>697</v>
      </c>
    </row>
    <row r="1280" customFormat="false" ht="15" hidden="false" customHeight="false" outlineLevel="0" collapsed="false">
      <c r="A1280" s="12" t="s">
        <v>698</v>
      </c>
      <c r="B1280" s="12" t="n">
        <f aca="false">COUNTIFS(Cleaned!$C$2:$C$125,1,Cleaned!BO$2:BO$125,0)</f>
        <v>4</v>
      </c>
      <c r="C1280" s="13" t="n">
        <f aca="false">IFERROR(B1280/$F1280,"")</f>
        <v>1</v>
      </c>
      <c r="D1280" s="12" t="n">
        <f aca="false">COUNTIFS(Cleaned!$C$2:$C$125,1,Cleaned!BO$2:BO$125,1)</f>
        <v>0</v>
      </c>
      <c r="E1280" s="13" t="n">
        <f aca="false">IFERROR(D1280/$F1280,"")</f>
        <v>0</v>
      </c>
      <c r="F1280" s="12" t="n">
        <f aca="false">B1280+D1280</f>
        <v>4</v>
      </c>
    </row>
    <row r="1281" customFormat="false" ht="15" hidden="false" customHeight="false" outlineLevel="0" collapsed="false">
      <c r="A1281" s="12" t="s">
        <v>699</v>
      </c>
      <c r="B1281" s="12" t="n">
        <f aca="false">COUNTIFS(Cleaned!$C$2:$C$125,2,Cleaned!BO$2:BO$125,0)</f>
        <v>3</v>
      </c>
      <c r="C1281" s="13" t="n">
        <f aca="false">IFERROR(B1281/$F1281,"")</f>
        <v>0.75</v>
      </c>
      <c r="D1281" s="12" t="n">
        <f aca="false">COUNTIFS(Cleaned!$C$2:$C$125,2,Cleaned!BO$2:BO$125,1)</f>
        <v>1</v>
      </c>
      <c r="E1281" s="13" t="n">
        <f aca="false">IFERROR(D1281/$F1281,"")</f>
        <v>0.25</v>
      </c>
      <c r="F1281" s="12" t="n">
        <f aca="false">B1281+D1281</f>
        <v>4</v>
      </c>
    </row>
    <row r="1282" customFormat="false" ht="15" hidden="false" customHeight="false" outlineLevel="0" collapsed="false">
      <c r="A1282" s="12" t="s">
        <v>700</v>
      </c>
      <c r="B1282" s="12" t="n">
        <f aca="false">COUNTIFS(Cleaned!$C$2:$C$125,3,Cleaned!BO$2:BO$125,0)</f>
        <v>9</v>
      </c>
      <c r="C1282" s="13" t="n">
        <f aca="false">IFERROR(B1282/$F1282,"")</f>
        <v>0.75</v>
      </c>
      <c r="D1282" s="12" t="n">
        <f aca="false">COUNTIFS(Cleaned!$C$2:$C$125,3,Cleaned!BO$2:BO$125,1)</f>
        <v>3</v>
      </c>
      <c r="E1282" s="13" t="n">
        <f aca="false">IFERROR(D1282/$F1282,"")</f>
        <v>0.25</v>
      </c>
      <c r="F1282" s="12" t="n">
        <f aca="false">B1282+D1282</f>
        <v>12</v>
      </c>
    </row>
    <row r="1283" customFormat="false" ht="15" hidden="false" customHeight="false" outlineLevel="0" collapsed="false">
      <c r="A1283" s="12" t="s">
        <v>701</v>
      </c>
      <c r="B1283" s="12" t="n">
        <f aca="false">COUNTIFS(Cleaned!$C$2:$C$125,4,Cleaned!BO$2:BO$125,0)</f>
        <v>5</v>
      </c>
      <c r="C1283" s="13" t="n">
        <f aca="false">IFERROR(B1283/$F1283,"")</f>
        <v>0.625</v>
      </c>
      <c r="D1283" s="12" t="n">
        <f aca="false">COUNTIFS(Cleaned!$C$2:$C$125,4,Cleaned!BO$2:BO$125,1)</f>
        <v>3</v>
      </c>
      <c r="E1283" s="13" t="n">
        <f aca="false">IFERROR(D1283/$F1283,"")</f>
        <v>0.375</v>
      </c>
      <c r="F1283" s="12" t="n">
        <f aca="false">B1283+D1283</f>
        <v>8</v>
      </c>
    </row>
    <row r="1284" customFormat="false" ht="15" hidden="false" customHeight="false" outlineLevel="0" collapsed="false">
      <c r="A1284" s="12" t="s">
        <v>702</v>
      </c>
      <c r="B1284" s="12" t="n">
        <f aca="false">COUNTIFS(Cleaned!$C$2:$C$125,5,Cleaned!BO$2:BO$125,0)</f>
        <v>11</v>
      </c>
      <c r="C1284" s="13" t="n">
        <f aca="false">IFERROR(B1284/$F1284,"")</f>
        <v>0.578947368421053</v>
      </c>
      <c r="D1284" s="12" t="n">
        <f aca="false">COUNTIFS(Cleaned!$C$2:$C$125,5,Cleaned!BO$2:BO$125,1)</f>
        <v>8</v>
      </c>
      <c r="E1284" s="13" t="n">
        <f aca="false">IFERROR(D1284/$F1284,"")</f>
        <v>0.421052631578947</v>
      </c>
      <c r="F1284" s="12" t="n">
        <f aca="false">B1284+D1284</f>
        <v>19</v>
      </c>
    </row>
    <row r="1285" customFormat="false" ht="15" hidden="false" customHeight="false" outlineLevel="0" collapsed="false">
      <c r="A1285" s="11" t="s">
        <v>703</v>
      </c>
      <c r="B1285" s="11" t="n">
        <f aca="false">SUM(B1280:B1284)</f>
        <v>32</v>
      </c>
      <c r="C1285" s="14" t="n">
        <f aca="false">IFERROR(B1285/$F1285,"")</f>
        <v>0.680851063829787</v>
      </c>
      <c r="D1285" s="11" t="n">
        <f aca="false">SUM(D1280:D1284)</f>
        <v>15</v>
      </c>
      <c r="E1285" s="14" t="n">
        <f aca="false">IFERROR(D1285/$F1285,"")</f>
        <v>0.319148936170213</v>
      </c>
      <c r="F1285" s="11" t="n">
        <f aca="false">SUM(F1280:F1284)</f>
        <v>47</v>
      </c>
    </row>
    <row r="1286" customFormat="false" ht="15" hidden="false" customHeight="false" outlineLevel="0" collapsed="false">
      <c r="A1286" s="11" t="s">
        <v>3</v>
      </c>
    </row>
    <row r="1287" customFormat="false" ht="15" hidden="false" customHeight="false" outlineLevel="0" collapsed="false">
      <c r="A1287" s="12" t="s">
        <v>704</v>
      </c>
      <c r="B1287" s="12" t="n">
        <f aca="false">COUNTIFS(Cleaned!$D$2:$D$125,1,Cleaned!BO$2:BO$125,0)</f>
        <v>6</v>
      </c>
      <c r="C1287" s="13" t="n">
        <f aca="false">IFERROR(B1287/$F1287,"")</f>
        <v>1</v>
      </c>
      <c r="D1287" s="12" t="n">
        <f aca="false">COUNTIFS(Cleaned!$D$2:$D$125,1,Cleaned!BO$2:BO$125,1)</f>
        <v>0</v>
      </c>
      <c r="E1287" s="13" t="n">
        <f aca="false">IFERROR(D1287/$F1287,"")</f>
        <v>0</v>
      </c>
      <c r="F1287" s="12" t="n">
        <f aca="false">B1287+D1287</f>
        <v>6</v>
      </c>
    </row>
    <row r="1288" customFormat="false" ht="15" hidden="false" customHeight="false" outlineLevel="0" collapsed="false">
      <c r="A1288" s="12" t="s">
        <v>705</v>
      </c>
      <c r="B1288" s="12" t="n">
        <f aca="false">COUNTIFS(Cleaned!$D$2:$D$125,2,Cleaned!BO$2:BO$125,0)</f>
        <v>9</v>
      </c>
      <c r="C1288" s="13" t="n">
        <f aca="false">IFERROR(B1288/$F1288,"")</f>
        <v>0.642857142857143</v>
      </c>
      <c r="D1288" s="12" t="n">
        <f aca="false">COUNTIFS(Cleaned!$D$2:$D$125,2,Cleaned!BO$2:BO$125,1)</f>
        <v>5</v>
      </c>
      <c r="E1288" s="13" t="n">
        <f aca="false">IFERROR(D1288/$F1288,"")</f>
        <v>0.357142857142857</v>
      </c>
      <c r="F1288" s="12" t="n">
        <f aca="false">B1288+D1288</f>
        <v>14</v>
      </c>
    </row>
    <row r="1289" customFormat="false" ht="15" hidden="false" customHeight="false" outlineLevel="0" collapsed="false">
      <c r="A1289" s="12" t="s">
        <v>706</v>
      </c>
      <c r="B1289" s="12" t="n">
        <f aca="false">COUNTIFS(Cleaned!$D$2:$D$125,3,Cleaned!BO$2:BO$125,0)</f>
        <v>5</v>
      </c>
      <c r="C1289" s="13" t="n">
        <f aca="false">IFERROR(B1289/$F1289,"")</f>
        <v>0.625</v>
      </c>
      <c r="D1289" s="12" t="n">
        <f aca="false">COUNTIFS(Cleaned!$D$2:$D$125,3,Cleaned!BO$2:BO$125,1)</f>
        <v>3</v>
      </c>
      <c r="E1289" s="13" t="n">
        <f aca="false">IFERROR(D1289/$F1289,"")</f>
        <v>0.375</v>
      </c>
      <c r="F1289" s="12" t="n">
        <f aca="false">B1289+D1289</f>
        <v>8</v>
      </c>
    </row>
    <row r="1290" customFormat="false" ht="15" hidden="false" customHeight="false" outlineLevel="0" collapsed="false">
      <c r="A1290" s="12" t="s">
        <v>707</v>
      </c>
      <c r="B1290" s="12" t="n">
        <f aca="false">COUNTIFS(Cleaned!$D$2:$D$125,4,Cleaned!BO$2:BO$125,0)</f>
        <v>3</v>
      </c>
      <c r="C1290" s="13" t="n">
        <f aca="false">IFERROR(B1290/$F1290,"")</f>
        <v>0.75</v>
      </c>
      <c r="D1290" s="12" t="n">
        <f aca="false">COUNTIFS(Cleaned!$D$2:$D$125,4,Cleaned!BO$2:BO$125,1)</f>
        <v>1</v>
      </c>
      <c r="E1290" s="13" t="n">
        <f aca="false">IFERROR(D1290/$F1290,"")</f>
        <v>0.25</v>
      </c>
      <c r="F1290" s="12" t="n">
        <f aca="false">B1290+D1290</f>
        <v>4</v>
      </c>
    </row>
    <row r="1291" customFormat="false" ht="15" hidden="false" customHeight="false" outlineLevel="0" collapsed="false">
      <c r="A1291" s="12" t="s">
        <v>708</v>
      </c>
      <c r="B1291" s="12" t="n">
        <f aca="false">COUNTIFS(Cleaned!$D$2:$D$125,5,Cleaned!BO$2:BO$125,0)</f>
        <v>0</v>
      </c>
      <c r="C1291" s="13" t="n">
        <f aca="false">IFERROR(B1291/$F1291,"")</f>
        <v>0</v>
      </c>
      <c r="D1291" s="12" t="n">
        <f aca="false">COUNTIFS(Cleaned!$D$2:$D$125,5,Cleaned!BO$2:BO$125,1)</f>
        <v>1</v>
      </c>
      <c r="E1291" s="13" t="n">
        <f aca="false">IFERROR(D1291/$F1291,"")</f>
        <v>1</v>
      </c>
      <c r="F1291" s="12" t="n">
        <f aca="false">B1291+D1291</f>
        <v>1</v>
      </c>
    </row>
    <row r="1292" customFormat="false" ht="15" hidden="false" customHeight="false" outlineLevel="0" collapsed="false">
      <c r="A1292" s="12" t="s">
        <v>709</v>
      </c>
      <c r="B1292" s="12" t="n">
        <f aca="false">COUNTIFS(Cleaned!$D$2:$D$125,6,Cleaned!BO$2:BO$125,0)</f>
        <v>1</v>
      </c>
      <c r="C1292" s="13" t="n">
        <f aca="false">IFERROR(B1292/$F1292,"")</f>
        <v>1</v>
      </c>
      <c r="D1292" s="12" t="n">
        <f aca="false">COUNTIFS(Cleaned!$D$2:$D$125,6,Cleaned!BO$2:BO$125,1)</f>
        <v>0</v>
      </c>
      <c r="E1292" s="13" t="n">
        <f aca="false">IFERROR(D1292/$F1292,"")</f>
        <v>0</v>
      </c>
      <c r="F1292" s="12" t="n">
        <f aca="false">B1292+D1292</f>
        <v>1</v>
      </c>
    </row>
    <row r="1293" customFormat="false" ht="15" hidden="false" customHeight="false" outlineLevel="0" collapsed="false">
      <c r="A1293" s="12" t="s">
        <v>710</v>
      </c>
      <c r="B1293" s="12" t="n">
        <f aca="false">COUNTIFS(Cleaned!$D$2:$D$125,7,Cleaned!BO$2:BO$125,0)</f>
        <v>2</v>
      </c>
      <c r="C1293" s="13" t="n">
        <f aca="false">IFERROR(B1293/$F1293,"")</f>
        <v>0.333333333333333</v>
      </c>
      <c r="D1293" s="12" t="n">
        <f aca="false">COUNTIFS(Cleaned!$D$2:$D$125,7,Cleaned!BO$2:BO$125,1)</f>
        <v>4</v>
      </c>
      <c r="E1293" s="13" t="n">
        <f aca="false">IFERROR(D1293/$F1293,"")</f>
        <v>0.666666666666667</v>
      </c>
      <c r="F1293" s="12" t="n">
        <f aca="false">B1293+D1293</f>
        <v>6</v>
      </c>
    </row>
    <row r="1294" customFormat="false" ht="15" hidden="false" customHeight="false" outlineLevel="0" collapsed="false">
      <c r="A1294" s="12" t="s">
        <v>711</v>
      </c>
      <c r="B1294" s="12" t="n">
        <f aca="false">COUNTIFS(Cleaned!$D$2:$D$125,8,Cleaned!BO$2:BO$125,0)</f>
        <v>0</v>
      </c>
      <c r="C1294" s="13" t="str">
        <f aca="false">IFERROR(B1294/$F1294,"")</f>
        <v/>
      </c>
      <c r="D1294" s="12" t="n">
        <f aca="false">COUNTIFS(Cleaned!$D$2:$D$125,8,Cleaned!BO$2:BO$125,1)</f>
        <v>0</v>
      </c>
      <c r="E1294" s="13" t="str">
        <f aca="false">IFERROR(D1294/$F1294,"")</f>
        <v/>
      </c>
      <c r="F1294" s="12" t="n">
        <f aca="false">B1294+D1294</f>
        <v>0</v>
      </c>
    </row>
    <row r="1295" customFormat="false" ht="15" hidden="false" customHeight="false" outlineLevel="0" collapsed="false">
      <c r="A1295" s="12" t="s">
        <v>712</v>
      </c>
      <c r="B1295" s="12" t="n">
        <f aca="false">COUNTIFS(Cleaned!$D$2:$D$125,9,Cleaned!BO$2:BO$125,0)</f>
        <v>1</v>
      </c>
      <c r="C1295" s="13" t="n">
        <f aca="false">IFERROR(B1295/$F1295,"")</f>
        <v>1</v>
      </c>
      <c r="D1295" s="12" t="n">
        <f aca="false">COUNTIFS(Cleaned!$D$2:$D$125,9,Cleaned!BO$2:BO$125,1)</f>
        <v>0</v>
      </c>
      <c r="E1295" s="13" t="n">
        <f aca="false">IFERROR(D1295/$F1295,"")</f>
        <v>0</v>
      </c>
      <c r="F1295" s="12" t="n">
        <f aca="false">B1295+D1295</f>
        <v>1</v>
      </c>
    </row>
    <row r="1296" customFormat="false" ht="15" hidden="false" customHeight="false" outlineLevel="0" collapsed="false">
      <c r="A1296" s="12" t="s">
        <v>713</v>
      </c>
      <c r="B1296" s="12" t="n">
        <f aca="false">COUNTIFS(Cleaned!$D$2:$D$125,10,Cleaned!BO$2:BO$125,0)</f>
        <v>0</v>
      </c>
      <c r="C1296" s="13" t="str">
        <f aca="false">IFERROR(B1296/$F1296,"")</f>
        <v/>
      </c>
      <c r="D1296" s="12" t="n">
        <f aca="false">COUNTIFS(Cleaned!$D$2:$D$125,10,Cleaned!BO$2:BO$125,1)</f>
        <v>0</v>
      </c>
      <c r="E1296" s="13" t="str">
        <f aca="false">IFERROR(D1296/$F1296,"")</f>
        <v/>
      </c>
      <c r="F1296" s="12" t="n">
        <f aca="false">B1296+D1296</f>
        <v>0</v>
      </c>
    </row>
    <row r="1297" customFormat="false" ht="15" hidden="false" customHeight="false" outlineLevel="0" collapsed="false">
      <c r="A1297" s="12" t="s">
        <v>714</v>
      </c>
      <c r="B1297" s="12" t="n">
        <f aca="false">COUNTIFS(Cleaned!$D$2:$D$125,11,Cleaned!BO$2:BO$125,0)</f>
        <v>4</v>
      </c>
      <c r="C1297" s="13" t="n">
        <f aca="false">IFERROR(B1297/$F1297,"")</f>
        <v>0.8</v>
      </c>
      <c r="D1297" s="12" t="n">
        <f aca="false">COUNTIFS(Cleaned!$D$2:$D$125,11,Cleaned!BO$2:BO$125,1)</f>
        <v>1</v>
      </c>
      <c r="E1297" s="13" t="n">
        <f aca="false">IFERROR(D1297/$F1297,"")</f>
        <v>0.2</v>
      </c>
      <c r="F1297" s="12" t="n">
        <f aca="false">B1297+D1297</f>
        <v>5</v>
      </c>
    </row>
    <row r="1298" customFormat="false" ht="15" hidden="false" customHeight="false" outlineLevel="0" collapsed="false">
      <c r="A1298" s="12" t="s">
        <v>715</v>
      </c>
      <c r="B1298" s="12" t="n">
        <f aca="false">COUNTIFS(Cleaned!$D$2:$D$125,12,Cleaned!BO$2:BO$125,0)</f>
        <v>1</v>
      </c>
      <c r="C1298" s="13" t="n">
        <f aca="false">IFERROR(B1298/$F1298,"")</f>
        <v>1</v>
      </c>
      <c r="D1298" s="12" t="n">
        <f aca="false">COUNTIFS(Cleaned!$D$2:$D$125,12,Cleaned!BO$2:BO$125,1)</f>
        <v>0</v>
      </c>
      <c r="E1298" s="13" t="n">
        <f aca="false">IFERROR(D1298/$F1298,"")</f>
        <v>0</v>
      </c>
      <c r="F1298" s="12" t="n">
        <f aca="false">B1298+D1298</f>
        <v>1</v>
      </c>
    </row>
    <row r="1299" customFormat="false" ht="15" hidden="false" customHeight="false" outlineLevel="0" collapsed="false">
      <c r="A1299" s="11" t="s">
        <v>716</v>
      </c>
      <c r="B1299" s="11" t="n">
        <f aca="false">SUM(B1287:B1298)</f>
        <v>32</v>
      </c>
      <c r="C1299" s="14" t="n">
        <f aca="false">IFERROR(B1299/$F1299,"")</f>
        <v>0.680851063829787</v>
      </c>
      <c r="D1299" s="11" t="n">
        <f aca="false">SUM(D1287:D1298)</f>
        <v>15</v>
      </c>
      <c r="E1299" s="14" t="n">
        <f aca="false">IFERROR(D1299/$F1299,"")</f>
        <v>0.319148936170213</v>
      </c>
      <c r="F1299" s="11" t="n">
        <f aca="false">SUM(F1287:F1298)</f>
        <v>47</v>
      </c>
    </row>
    <row r="1302" customFormat="false" ht="15" hidden="false" customHeight="false" outlineLevel="0" collapsed="false">
      <c r="A1302" s="6" t="s">
        <v>67</v>
      </c>
      <c r="B1302" s="7" t="s">
        <v>785</v>
      </c>
    </row>
    <row r="1303" customFormat="false" ht="15" hidden="false" customHeight="false" outlineLevel="0" collapsed="false">
      <c r="A1303" s="8"/>
      <c r="B1303" s="9" t="s">
        <v>718</v>
      </c>
      <c r="C1303" s="8"/>
      <c r="D1303" s="9" t="s">
        <v>719</v>
      </c>
      <c r="E1303" s="8"/>
      <c r="F1303" s="9" t="s">
        <v>694</v>
      </c>
    </row>
    <row r="1304" customFormat="false" ht="15" hidden="false" customHeight="false" outlineLevel="0" collapsed="false">
      <c r="B1304" s="10" t="s">
        <v>695</v>
      </c>
      <c r="C1304" s="10" t="s">
        <v>696</v>
      </c>
      <c r="D1304" s="10" t="s">
        <v>695</v>
      </c>
      <c r="E1304" s="10" t="s">
        <v>696</v>
      </c>
    </row>
    <row r="1305" customFormat="false" ht="15" hidden="false" customHeight="false" outlineLevel="0" collapsed="false">
      <c r="A1305" s="11" t="s">
        <v>697</v>
      </c>
    </row>
    <row r="1306" customFormat="false" ht="15" hidden="false" customHeight="false" outlineLevel="0" collapsed="false">
      <c r="A1306" s="12" t="s">
        <v>698</v>
      </c>
      <c r="B1306" s="12" t="n">
        <f aca="false">COUNTIFS(Cleaned!$C$2:$C$125,1,Cleaned!BP$2:BP$125,0)</f>
        <v>4</v>
      </c>
      <c r="C1306" s="13" t="n">
        <f aca="false">IFERROR(B1306/$F1306,"")</f>
        <v>1</v>
      </c>
      <c r="D1306" s="12" t="n">
        <f aca="false">COUNTIFS(Cleaned!$C$2:$C$125,1,Cleaned!BP$2:BP$125,1)</f>
        <v>0</v>
      </c>
      <c r="E1306" s="13" t="n">
        <f aca="false">IFERROR(D1306/$F1306,"")</f>
        <v>0</v>
      </c>
      <c r="F1306" s="12" t="n">
        <f aca="false">B1306+D1306</f>
        <v>4</v>
      </c>
    </row>
    <row r="1307" customFormat="false" ht="15" hidden="false" customHeight="false" outlineLevel="0" collapsed="false">
      <c r="A1307" s="12" t="s">
        <v>699</v>
      </c>
      <c r="B1307" s="12" t="n">
        <f aca="false">COUNTIFS(Cleaned!$C$2:$C$125,2,Cleaned!BP$2:BP$125,0)</f>
        <v>3</v>
      </c>
      <c r="C1307" s="13" t="n">
        <f aca="false">IFERROR(B1307/$F1307,"")</f>
        <v>0.75</v>
      </c>
      <c r="D1307" s="12" t="n">
        <f aca="false">COUNTIFS(Cleaned!$C$2:$C$125,2,Cleaned!BP$2:BP$125,1)</f>
        <v>1</v>
      </c>
      <c r="E1307" s="13" t="n">
        <f aca="false">IFERROR(D1307/$F1307,"")</f>
        <v>0.25</v>
      </c>
      <c r="F1307" s="12" t="n">
        <f aca="false">B1307+D1307</f>
        <v>4</v>
      </c>
    </row>
    <row r="1308" customFormat="false" ht="15" hidden="false" customHeight="false" outlineLevel="0" collapsed="false">
      <c r="A1308" s="12" t="s">
        <v>700</v>
      </c>
      <c r="B1308" s="12" t="n">
        <f aca="false">COUNTIFS(Cleaned!$C$2:$C$125,3,Cleaned!BP$2:BP$125,0)</f>
        <v>10</v>
      </c>
      <c r="C1308" s="13" t="n">
        <f aca="false">IFERROR(B1308/$F1308,"")</f>
        <v>0.833333333333333</v>
      </c>
      <c r="D1308" s="12" t="n">
        <f aca="false">COUNTIFS(Cleaned!$C$2:$C$125,3,Cleaned!BP$2:BP$125,1)</f>
        <v>2</v>
      </c>
      <c r="E1308" s="13" t="n">
        <f aca="false">IFERROR(D1308/$F1308,"")</f>
        <v>0.166666666666667</v>
      </c>
      <c r="F1308" s="12" t="n">
        <f aca="false">B1308+D1308</f>
        <v>12</v>
      </c>
    </row>
    <row r="1309" customFormat="false" ht="15" hidden="false" customHeight="false" outlineLevel="0" collapsed="false">
      <c r="A1309" s="12" t="s">
        <v>701</v>
      </c>
      <c r="B1309" s="12" t="n">
        <f aca="false">COUNTIFS(Cleaned!$C$2:$C$125,4,Cleaned!BP$2:BP$125,0)</f>
        <v>5</v>
      </c>
      <c r="C1309" s="13" t="n">
        <f aca="false">IFERROR(B1309/$F1309,"")</f>
        <v>0.625</v>
      </c>
      <c r="D1309" s="12" t="n">
        <f aca="false">COUNTIFS(Cleaned!$C$2:$C$125,4,Cleaned!BP$2:BP$125,1)</f>
        <v>3</v>
      </c>
      <c r="E1309" s="13" t="n">
        <f aca="false">IFERROR(D1309/$F1309,"")</f>
        <v>0.375</v>
      </c>
      <c r="F1309" s="12" t="n">
        <f aca="false">B1309+D1309</f>
        <v>8</v>
      </c>
    </row>
    <row r="1310" customFormat="false" ht="15" hidden="false" customHeight="false" outlineLevel="0" collapsed="false">
      <c r="A1310" s="12" t="s">
        <v>702</v>
      </c>
      <c r="B1310" s="12" t="n">
        <f aca="false">COUNTIFS(Cleaned!$C$2:$C$125,5,Cleaned!BP$2:BP$125,0)</f>
        <v>11</v>
      </c>
      <c r="C1310" s="13" t="n">
        <f aca="false">IFERROR(B1310/$F1310,"")</f>
        <v>0.578947368421053</v>
      </c>
      <c r="D1310" s="12" t="n">
        <f aca="false">COUNTIFS(Cleaned!$C$2:$C$125,5,Cleaned!BP$2:BP$125,1)</f>
        <v>8</v>
      </c>
      <c r="E1310" s="13" t="n">
        <f aca="false">IFERROR(D1310/$F1310,"")</f>
        <v>0.421052631578947</v>
      </c>
      <c r="F1310" s="12" t="n">
        <f aca="false">B1310+D1310</f>
        <v>19</v>
      </c>
    </row>
    <row r="1311" customFormat="false" ht="15" hidden="false" customHeight="false" outlineLevel="0" collapsed="false">
      <c r="A1311" s="11" t="s">
        <v>703</v>
      </c>
      <c r="B1311" s="11" t="n">
        <f aca="false">SUM(B1306:B1310)</f>
        <v>33</v>
      </c>
      <c r="C1311" s="14" t="n">
        <f aca="false">IFERROR(B1311/$F1311,"")</f>
        <v>0.702127659574468</v>
      </c>
      <c r="D1311" s="11" t="n">
        <f aca="false">SUM(D1306:D1310)</f>
        <v>14</v>
      </c>
      <c r="E1311" s="14" t="n">
        <f aca="false">IFERROR(D1311/$F1311,"")</f>
        <v>0.297872340425532</v>
      </c>
      <c r="F1311" s="11" t="n">
        <f aca="false">SUM(F1306:F1310)</f>
        <v>47</v>
      </c>
    </row>
    <row r="1312" customFormat="false" ht="15" hidden="false" customHeight="false" outlineLevel="0" collapsed="false">
      <c r="A1312" s="11" t="s">
        <v>3</v>
      </c>
    </row>
    <row r="1313" customFormat="false" ht="15" hidden="false" customHeight="false" outlineLevel="0" collapsed="false">
      <c r="A1313" s="12" t="s">
        <v>704</v>
      </c>
      <c r="B1313" s="12" t="n">
        <f aca="false">COUNTIFS(Cleaned!$D$2:$D$125,1,Cleaned!BP$2:BP$125,0)</f>
        <v>5</v>
      </c>
      <c r="C1313" s="13" t="n">
        <f aca="false">IFERROR(B1313/$F1313,"")</f>
        <v>0.833333333333333</v>
      </c>
      <c r="D1313" s="12" t="n">
        <f aca="false">COUNTIFS(Cleaned!$D$2:$D$125,1,Cleaned!BP$2:BP$125,1)</f>
        <v>1</v>
      </c>
      <c r="E1313" s="13" t="n">
        <f aca="false">IFERROR(D1313/$F1313,"")</f>
        <v>0.166666666666667</v>
      </c>
      <c r="F1313" s="12" t="n">
        <f aca="false">B1313+D1313</f>
        <v>6</v>
      </c>
    </row>
    <row r="1314" customFormat="false" ht="15" hidden="false" customHeight="false" outlineLevel="0" collapsed="false">
      <c r="A1314" s="12" t="s">
        <v>705</v>
      </c>
      <c r="B1314" s="12" t="n">
        <f aca="false">COUNTIFS(Cleaned!$D$2:$D$125,2,Cleaned!BP$2:BP$125,0)</f>
        <v>7</v>
      </c>
      <c r="C1314" s="13" t="n">
        <f aca="false">IFERROR(B1314/$F1314,"")</f>
        <v>0.5</v>
      </c>
      <c r="D1314" s="12" t="n">
        <f aca="false">COUNTIFS(Cleaned!$D$2:$D$125,2,Cleaned!BP$2:BP$125,1)</f>
        <v>7</v>
      </c>
      <c r="E1314" s="13" t="n">
        <f aca="false">IFERROR(D1314/$F1314,"")</f>
        <v>0.5</v>
      </c>
      <c r="F1314" s="12" t="n">
        <f aca="false">B1314+D1314</f>
        <v>14</v>
      </c>
    </row>
    <row r="1315" customFormat="false" ht="15" hidden="false" customHeight="false" outlineLevel="0" collapsed="false">
      <c r="A1315" s="12" t="s">
        <v>706</v>
      </c>
      <c r="B1315" s="12" t="n">
        <f aca="false">COUNTIFS(Cleaned!$D$2:$D$125,3,Cleaned!BP$2:BP$125,0)</f>
        <v>8</v>
      </c>
      <c r="C1315" s="13" t="n">
        <f aca="false">IFERROR(B1315/$F1315,"")</f>
        <v>1</v>
      </c>
      <c r="D1315" s="12" t="n">
        <f aca="false">COUNTIFS(Cleaned!$D$2:$D$125,3,Cleaned!BP$2:BP$125,1)</f>
        <v>0</v>
      </c>
      <c r="E1315" s="13" t="n">
        <f aca="false">IFERROR(D1315/$F1315,"")</f>
        <v>0</v>
      </c>
      <c r="F1315" s="12" t="n">
        <f aca="false">B1315+D1315</f>
        <v>8</v>
      </c>
    </row>
    <row r="1316" customFormat="false" ht="15" hidden="false" customHeight="false" outlineLevel="0" collapsed="false">
      <c r="A1316" s="12" t="s">
        <v>707</v>
      </c>
      <c r="B1316" s="12" t="n">
        <f aca="false">COUNTIFS(Cleaned!$D$2:$D$125,4,Cleaned!BP$2:BP$125,0)</f>
        <v>3</v>
      </c>
      <c r="C1316" s="13" t="n">
        <f aca="false">IFERROR(B1316/$F1316,"")</f>
        <v>0.75</v>
      </c>
      <c r="D1316" s="12" t="n">
        <f aca="false">COUNTIFS(Cleaned!$D$2:$D$125,4,Cleaned!BP$2:BP$125,1)</f>
        <v>1</v>
      </c>
      <c r="E1316" s="13" t="n">
        <f aca="false">IFERROR(D1316/$F1316,"")</f>
        <v>0.25</v>
      </c>
      <c r="F1316" s="12" t="n">
        <f aca="false">B1316+D1316</f>
        <v>4</v>
      </c>
    </row>
    <row r="1317" customFormat="false" ht="15" hidden="false" customHeight="false" outlineLevel="0" collapsed="false">
      <c r="A1317" s="12" t="s">
        <v>708</v>
      </c>
      <c r="B1317" s="12" t="n">
        <f aca="false">COUNTIFS(Cleaned!$D$2:$D$125,5,Cleaned!BP$2:BP$125,0)</f>
        <v>0</v>
      </c>
      <c r="C1317" s="13" t="n">
        <f aca="false">IFERROR(B1317/$F1317,"")</f>
        <v>0</v>
      </c>
      <c r="D1317" s="12" t="n">
        <f aca="false">COUNTIFS(Cleaned!$D$2:$D$125,5,Cleaned!BP$2:BP$125,1)</f>
        <v>1</v>
      </c>
      <c r="E1317" s="13" t="n">
        <f aca="false">IFERROR(D1317/$F1317,"")</f>
        <v>1</v>
      </c>
      <c r="F1317" s="12" t="n">
        <f aca="false">B1317+D1317</f>
        <v>1</v>
      </c>
    </row>
    <row r="1318" customFormat="false" ht="15" hidden="false" customHeight="false" outlineLevel="0" collapsed="false">
      <c r="A1318" s="12" t="s">
        <v>709</v>
      </c>
      <c r="B1318" s="12" t="n">
        <f aca="false">COUNTIFS(Cleaned!$D$2:$D$125,6,Cleaned!BP$2:BP$125,0)</f>
        <v>1</v>
      </c>
      <c r="C1318" s="13" t="n">
        <f aca="false">IFERROR(B1318/$F1318,"")</f>
        <v>1</v>
      </c>
      <c r="D1318" s="12" t="n">
        <f aca="false">COUNTIFS(Cleaned!$D$2:$D$125,6,Cleaned!BP$2:BP$125,1)</f>
        <v>0</v>
      </c>
      <c r="E1318" s="13" t="n">
        <f aca="false">IFERROR(D1318/$F1318,"")</f>
        <v>0</v>
      </c>
      <c r="F1318" s="12" t="n">
        <f aca="false">B1318+D1318</f>
        <v>1</v>
      </c>
    </row>
    <row r="1319" customFormat="false" ht="15" hidden="false" customHeight="false" outlineLevel="0" collapsed="false">
      <c r="A1319" s="12" t="s">
        <v>710</v>
      </c>
      <c r="B1319" s="12" t="n">
        <f aca="false">COUNTIFS(Cleaned!$D$2:$D$125,7,Cleaned!BP$2:BP$125,0)</f>
        <v>4</v>
      </c>
      <c r="C1319" s="13" t="n">
        <f aca="false">IFERROR(B1319/$F1319,"")</f>
        <v>0.666666666666667</v>
      </c>
      <c r="D1319" s="12" t="n">
        <f aca="false">COUNTIFS(Cleaned!$D$2:$D$125,7,Cleaned!BP$2:BP$125,1)</f>
        <v>2</v>
      </c>
      <c r="E1319" s="13" t="n">
        <f aca="false">IFERROR(D1319/$F1319,"")</f>
        <v>0.333333333333333</v>
      </c>
      <c r="F1319" s="12" t="n">
        <f aca="false">B1319+D1319</f>
        <v>6</v>
      </c>
    </row>
    <row r="1320" customFormat="false" ht="15" hidden="false" customHeight="false" outlineLevel="0" collapsed="false">
      <c r="A1320" s="12" t="s">
        <v>711</v>
      </c>
      <c r="B1320" s="12" t="n">
        <f aca="false">COUNTIFS(Cleaned!$D$2:$D$125,8,Cleaned!BP$2:BP$125,0)</f>
        <v>0</v>
      </c>
      <c r="C1320" s="13" t="str">
        <f aca="false">IFERROR(B1320/$F1320,"")</f>
        <v/>
      </c>
      <c r="D1320" s="12" t="n">
        <f aca="false">COUNTIFS(Cleaned!$D$2:$D$125,8,Cleaned!BP$2:BP$125,1)</f>
        <v>0</v>
      </c>
      <c r="E1320" s="13" t="str">
        <f aca="false">IFERROR(D1320/$F1320,"")</f>
        <v/>
      </c>
      <c r="F1320" s="12" t="n">
        <f aca="false">B1320+D1320</f>
        <v>0</v>
      </c>
    </row>
    <row r="1321" customFormat="false" ht="15" hidden="false" customHeight="false" outlineLevel="0" collapsed="false">
      <c r="A1321" s="12" t="s">
        <v>712</v>
      </c>
      <c r="B1321" s="12" t="n">
        <f aca="false">COUNTIFS(Cleaned!$D$2:$D$125,9,Cleaned!BP$2:BP$125,0)</f>
        <v>1</v>
      </c>
      <c r="C1321" s="13" t="n">
        <f aca="false">IFERROR(B1321/$F1321,"")</f>
        <v>1</v>
      </c>
      <c r="D1321" s="12" t="n">
        <f aca="false">COUNTIFS(Cleaned!$D$2:$D$125,9,Cleaned!BP$2:BP$125,1)</f>
        <v>0</v>
      </c>
      <c r="E1321" s="13" t="n">
        <f aca="false">IFERROR(D1321/$F1321,"")</f>
        <v>0</v>
      </c>
      <c r="F1321" s="12" t="n">
        <f aca="false">B1321+D1321</f>
        <v>1</v>
      </c>
    </row>
    <row r="1322" customFormat="false" ht="15" hidden="false" customHeight="false" outlineLevel="0" collapsed="false">
      <c r="A1322" s="12" t="s">
        <v>713</v>
      </c>
      <c r="B1322" s="12" t="n">
        <f aca="false">COUNTIFS(Cleaned!$D$2:$D$125,10,Cleaned!BP$2:BP$125,0)</f>
        <v>0</v>
      </c>
      <c r="C1322" s="13" t="str">
        <f aca="false">IFERROR(B1322/$F1322,"")</f>
        <v/>
      </c>
      <c r="D1322" s="12" t="n">
        <f aca="false">COUNTIFS(Cleaned!$D$2:$D$125,10,Cleaned!BP$2:BP$125,1)</f>
        <v>0</v>
      </c>
      <c r="E1322" s="13" t="str">
        <f aca="false">IFERROR(D1322/$F1322,"")</f>
        <v/>
      </c>
      <c r="F1322" s="12" t="n">
        <f aca="false">B1322+D1322</f>
        <v>0</v>
      </c>
    </row>
    <row r="1323" customFormat="false" ht="15" hidden="false" customHeight="false" outlineLevel="0" collapsed="false">
      <c r="A1323" s="12" t="s">
        <v>714</v>
      </c>
      <c r="B1323" s="12" t="n">
        <f aca="false">COUNTIFS(Cleaned!$D$2:$D$125,11,Cleaned!BP$2:BP$125,0)</f>
        <v>3</v>
      </c>
      <c r="C1323" s="13" t="n">
        <f aca="false">IFERROR(B1323/$F1323,"")</f>
        <v>0.6</v>
      </c>
      <c r="D1323" s="12" t="n">
        <f aca="false">COUNTIFS(Cleaned!$D$2:$D$125,11,Cleaned!BP$2:BP$125,1)</f>
        <v>2</v>
      </c>
      <c r="E1323" s="13" t="n">
        <f aca="false">IFERROR(D1323/$F1323,"")</f>
        <v>0.4</v>
      </c>
      <c r="F1323" s="12" t="n">
        <f aca="false">B1323+D1323</f>
        <v>5</v>
      </c>
    </row>
    <row r="1324" customFormat="false" ht="15" hidden="false" customHeight="false" outlineLevel="0" collapsed="false">
      <c r="A1324" s="12" t="s">
        <v>715</v>
      </c>
      <c r="B1324" s="12" t="n">
        <f aca="false">COUNTIFS(Cleaned!$D$2:$D$125,12,Cleaned!BP$2:BP$125,0)</f>
        <v>1</v>
      </c>
      <c r="C1324" s="13" t="n">
        <f aca="false">IFERROR(B1324/$F1324,"")</f>
        <v>1</v>
      </c>
      <c r="D1324" s="12" t="n">
        <f aca="false">COUNTIFS(Cleaned!$D$2:$D$125,12,Cleaned!BP$2:BP$125,1)</f>
        <v>0</v>
      </c>
      <c r="E1324" s="13" t="n">
        <f aca="false">IFERROR(D1324/$F1324,"")</f>
        <v>0</v>
      </c>
      <c r="F1324" s="12" t="n">
        <f aca="false">B1324+D1324</f>
        <v>1</v>
      </c>
    </row>
    <row r="1325" customFormat="false" ht="15" hidden="false" customHeight="false" outlineLevel="0" collapsed="false">
      <c r="A1325" s="11" t="s">
        <v>716</v>
      </c>
      <c r="B1325" s="11" t="n">
        <f aca="false">SUM(B1313:B1324)</f>
        <v>33</v>
      </c>
      <c r="C1325" s="14" t="n">
        <f aca="false">IFERROR(B1325/$F1325,"")</f>
        <v>0.702127659574468</v>
      </c>
      <c r="D1325" s="11" t="n">
        <f aca="false">SUM(D1313:D1324)</f>
        <v>14</v>
      </c>
      <c r="E1325" s="14" t="n">
        <f aca="false">IFERROR(D1325/$F1325,"")</f>
        <v>0.297872340425532</v>
      </c>
      <c r="F1325" s="11" t="n">
        <f aca="false">SUM(F1313:F1324)</f>
        <v>47</v>
      </c>
    </row>
    <row r="1328" customFormat="false" ht="15" hidden="false" customHeight="false" outlineLevel="0" collapsed="false">
      <c r="A1328" s="6" t="s">
        <v>68</v>
      </c>
      <c r="B1328" s="7" t="s">
        <v>786</v>
      </c>
    </row>
    <row r="1329" customFormat="false" ht="15" hidden="false" customHeight="false" outlineLevel="0" collapsed="false">
      <c r="A1329" s="8"/>
      <c r="B1329" s="9" t="s">
        <v>718</v>
      </c>
      <c r="C1329" s="8"/>
      <c r="D1329" s="9" t="s">
        <v>719</v>
      </c>
      <c r="E1329" s="8"/>
      <c r="F1329" s="9" t="s">
        <v>694</v>
      </c>
    </row>
    <row r="1330" customFormat="false" ht="15" hidden="false" customHeight="false" outlineLevel="0" collapsed="false">
      <c r="B1330" s="10" t="s">
        <v>695</v>
      </c>
      <c r="C1330" s="10" t="s">
        <v>696</v>
      </c>
      <c r="D1330" s="10" t="s">
        <v>695</v>
      </c>
      <c r="E1330" s="10" t="s">
        <v>696</v>
      </c>
    </row>
    <row r="1331" customFormat="false" ht="15" hidden="false" customHeight="false" outlineLevel="0" collapsed="false">
      <c r="A1331" s="11" t="s">
        <v>697</v>
      </c>
    </row>
    <row r="1332" customFormat="false" ht="15" hidden="false" customHeight="false" outlineLevel="0" collapsed="false">
      <c r="A1332" s="12" t="s">
        <v>698</v>
      </c>
      <c r="B1332" s="12" t="n">
        <f aca="false">COUNTIFS(Cleaned!$C$2:$C$125,1,Cleaned!BQ$2:BQ$125,0)</f>
        <v>4</v>
      </c>
      <c r="C1332" s="13" t="n">
        <f aca="false">IFERROR(B1332/$F1332,"")</f>
        <v>1</v>
      </c>
      <c r="D1332" s="12" t="n">
        <f aca="false">COUNTIFS(Cleaned!$C$2:$C$125,1,Cleaned!BQ$2:BQ$125,1)</f>
        <v>0</v>
      </c>
      <c r="E1332" s="13" t="n">
        <f aca="false">IFERROR(D1332/$F1332,"")</f>
        <v>0</v>
      </c>
      <c r="F1332" s="12" t="n">
        <f aca="false">B1332+D1332</f>
        <v>4</v>
      </c>
    </row>
    <row r="1333" customFormat="false" ht="15" hidden="false" customHeight="false" outlineLevel="0" collapsed="false">
      <c r="A1333" s="12" t="s">
        <v>699</v>
      </c>
      <c r="B1333" s="12" t="n">
        <f aca="false">COUNTIFS(Cleaned!$C$2:$C$125,2,Cleaned!BQ$2:BQ$125,0)</f>
        <v>4</v>
      </c>
      <c r="C1333" s="13" t="n">
        <f aca="false">IFERROR(B1333/$F1333,"")</f>
        <v>1</v>
      </c>
      <c r="D1333" s="12" t="n">
        <f aca="false">COUNTIFS(Cleaned!$C$2:$C$125,2,Cleaned!BQ$2:BQ$125,1)</f>
        <v>0</v>
      </c>
      <c r="E1333" s="13" t="n">
        <f aca="false">IFERROR(D1333/$F1333,"")</f>
        <v>0</v>
      </c>
      <c r="F1333" s="12" t="n">
        <f aca="false">B1333+D1333</f>
        <v>4</v>
      </c>
    </row>
    <row r="1334" customFormat="false" ht="15" hidden="false" customHeight="false" outlineLevel="0" collapsed="false">
      <c r="A1334" s="12" t="s">
        <v>700</v>
      </c>
      <c r="B1334" s="12" t="n">
        <f aca="false">COUNTIFS(Cleaned!$C$2:$C$125,3,Cleaned!BQ$2:BQ$125,0)</f>
        <v>12</v>
      </c>
      <c r="C1334" s="13" t="n">
        <f aca="false">IFERROR(B1334/$F1334,"")</f>
        <v>1</v>
      </c>
      <c r="D1334" s="12" t="n">
        <f aca="false">COUNTIFS(Cleaned!$C$2:$C$125,3,Cleaned!BQ$2:BQ$125,1)</f>
        <v>0</v>
      </c>
      <c r="E1334" s="13" t="n">
        <f aca="false">IFERROR(D1334/$F1334,"")</f>
        <v>0</v>
      </c>
      <c r="F1334" s="12" t="n">
        <f aca="false">B1334+D1334</f>
        <v>12</v>
      </c>
    </row>
    <row r="1335" customFormat="false" ht="15" hidden="false" customHeight="false" outlineLevel="0" collapsed="false">
      <c r="A1335" s="12" t="s">
        <v>701</v>
      </c>
      <c r="B1335" s="12" t="n">
        <f aca="false">COUNTIFS(Cleaned!$C$2:$C$125,4,Cleaned!BQ$2:BQ$125,0)</f>
        <v>6</v>
      </c>
      <c r="C1335" s="13" t="n">
        <f aca="false">IFERROR(B1335/$F1335,"")</f>
        <v>0.75</v>
      </c>
      <c r="D1335" s="12" t="n">
        <f aca="false">COUNTIFS(Cleaned!$C$2:$C$125,4,Cleaned!BQ$2:BQ$125,1)</f>
        <v>2</v>
      </c>
      <c r="E1335" s="13" t="n">
        <f aca="false">IFERROR(D1335/$F1335,"")</f>
        <v>0.25</v>
      </c>
      <c r="F1335" s="12" t="n">
        <f aca="false">B1335+D1335</f>
        <v>8</v>
      </c>
    </row>
    <row r="1336" customFormat="false" ht="15" hidden="false" customHeight="false" outlineLevel="0" collapsed="false">
      <c r="A1336" s="12" t="s">
        <v>702</v>
      </c>
      <c r="B1336" s="12" t="n">
        <f aca="false">COUNTIFS(Cleaned!$C$2:$C$125,5,Cleaned!BQ$2:BQ$125,0)</f>
        <v>12</v>
      </c>
      <c r="C1336" s="13" t="n">
        <f aca="false">IFERROR(B1336/$F1336,"")</f>
        <v>0.631578947368421</v>
      </c>
      <c r="D1336" s="12" t="n">
        <f aca="false">COUNTIFS(Cleaned!$C$2:$C$125,5,Cleaned!BQ$2:BQ$125,1)</f>
        <v>7</v>
      </c>
      <c r="E1336" s="13" t="n">
        <f aca="false">IFERROR(D1336/$F1336,"")</f>
        <v>0.368421052631579</v>
      </c>
      <c r="F1336" s="12" t="n">
        <f aca="false">B1336+D1336</f>
        <v>19</v>
      </c>
    </row>
    <row r="1337" customFormat="false" ht="15" hidden="false" customHeight="false" outlineLevel="0" collapsed="false">
      <c r="A1337" s="11" t="s">
        <v>703</v>
      </c>
      <c r="B1337" s="11" t="n">
        <f aca="false">SUM(B1332:B1336)</f>
        <v>38</v>
      </c>
      <c r="C1337" s="14" t="n">
        <f aca="false">IFERROR(B1337/$F1337,"")</f>
        <v>0.808510638297872</v>
      </c>
      <c r="D1337" s="11" t="n">
        <f aca="false">SUM(D1332:D1336)</f>
        <v>9</v>
      </c>
      <c r="E1337" s="14" t="n">
        <f aca="false">IFERROR(D1337/$F1337,"")</f>
        <v>0.191489361702128</v>
      </c>
      <c r="F1337" s="11" t="n">
        <f aca="false">SUM(F1332:F1336)</f>
        <v>47</v>
      </c>
    </row>
    <row r="1338" customFormat="false" ht="15" hidden="false" customHeight="false" outlineLevel="0" collapsed="false">
      <c r="A1338" s="11" t="s">
        <v>3</v>
      </c>
    </row>
    <row r="1339" customFormat="false" ht="15" hidden="false" customHeight="false" outlineLevel="0" collapsed="false">
      <c r="A1339" s="12" t="s">
        <v>704</v>
      </c>
      <c r="B1339" s="12" t="n">
        <f aca="false">COUNTIFS(Cleaned!$D$2:$D$125,1,Cleaned!BQ$2:BQ$125,0)</f>
        <v>6</v>
      </c>
      <c r="C1339" s="13" t="n">
        <f aca="false">IFERROR(B1339/$F1339,"")</f>
        <v>1</v>
      </c>
      <c r="D1339" s="12" t="n">
        <f aca="false">COUNTIFS(Cleaned!$D$2:$D$125,1,Cleaned!BQ$2:BQ$125,1)</f>
        <v>0</v>
      </c>
      <c r="E1339" s="13" t="n">
        <f aca="false">IFERROR(D1339/$F1339,"")</f>
        <v>0</v>
      </c>
      <c r="F1339" s="12" t="n">
        <f aca="false">B1339+D1339</f>
        <v>6</v>
      </c>
    </row>
    <row r="1340" customFormat="false" ht="15" hidden="false" customHeight="false" outlineLevel="0" collapsed="false">
      <c r="A1340" s="12" t="s">
        <v>705</v>
      </c>
      <c r="B1340" s="12" t="n">
        <f aca="false">COUNTIFS(Cleaned!$D$2:$D$125,2,Cleaned!BQ$2:BQ$125,0)</f>
        <v>9</v>
      </c>
      <c r="C1340" s="13" t="n">
        <f aca="false">IFERROR(B1340/$F1340,"")</f>
        <v>0.642857142857143</v>
      </c>
      <c r="D1340" s="12" t="n">
        <f aca="false">COUNTIFS(Cleaned!$D$2:$D$125,2,Cleaned!BQ$2:BQ$125,1)</f>
        <v>5</v>
      </c>
      <c r="E1340" s="13" t="n">
        <f aca="false">IFERROR(D1340/$F1340,"")</f>
        <v>0.357142857142857</v>
      </c>
      <c r="F1340" s="12" t="n">
        <f aca="false">B1340+D1340</f>
        <v>14</v>
      </c>
    </row>
    <row r="1341" customFormat="false" ht="15" hidden="false" customHeight="false" outlineLevel="0" collapsed="false">
      <c r="A1341" s="12" t="s">
        <v>706</v>
      </c>
      <c r="B1341" s="12" t="n">
        <f aca="false">COUNTIFS(Cleaned!$D$2:$D$125,3,Cleaned!BQ$2:BQ$125,0)</f>
        <v>8</v>
      </c>
      <c r="C1341" s="13" t="n">
        <f aca="false">IFERROR(B1341/$F1341,"")</f>
        <v>1</v>
      </c>
      <c r="D1341" s="12" t="n">
        <f aca="false">COUNTIFS(Cleaned!$D$2:$D$125,3,Cleaned!BQ$2:BQ$125,1)</f>
        <v>0</v>
      </c>
      <c r="E1341" s="13" t="n">
        <f aca="false">IFERROR(D1341/$F1341,"")</f>
        <v>0</v>
      </c>
      <c r="F1341" s="12" t="n">
        <f aca="false">B1341+D1341</f>
        <v>8</v>
      </c>
    </row>
    <row r="1342" customFormat="false" ht="15" hidden="false" customHeight="false" outlineLevel="0" collapsed="false">
      <c r="A1342" s="12" t="s">
        <v>707</v>
      </c>
      <c r="B1342" s="12" t="n">
        <f aca="false">COUNTIFS(Cleaned!$D$2:$D$125,4,Cleaned!BQ$2:BQ$125,0)</f>
        <v>3</v>
      </c>
      <c r="C1342" s="13" t="n">
        <f aca="false">IFERROR(B1342/$F1342,"")</f>
        <v>0.75</v>
      </c>
      <c r="D1342" s="12" t="n">
        <f aca="false">COUNTIFS(Cleaned!$D$2:$D$125,4,Cleaned!BQ$2:BQ$125,1)</f>
        <v>1</v>
      </c>
      <c r="E1342" s="13" t="n">
        <f aca="false">IFERROR(D1342/$F1342,"")</f>
        <v>0.25</v>
      </c>
      <c r="F1342" s="12" t="n">
        <f aca="false">B1342+D1342</f>
        <v>4</v>
      </c>
    </row>
    <row r="1343" customFormat="false" ht="15" hidden="false" customHeight="false" outlineLevel="0" collapsed="false">
      <c r="A1343" s="12" t="s">
        <v>708</v>
      </c>
      <c r="B1343" s="12" t="n">
        <f aca="false">COUNTIFS(Cleaned!$D$2:$D$125,5,Cleaned!BQ$2:BQ$125,0)</f>
        <v>1</v>
      </c>
      <c r="C1343" s="13" t="n">
        <f aca="false">IFERROR(B1343/$F1343,"")</f>
        <v>1</v>
      </c>
      <c r="D1343" s="12" t="n">
        <f aca="false">COUNTIFS(Cleaned!$D$2:$D$125,5,Cleaned!BQ$2:BQ$125,1)</f>
        <v>0</v>
      </c>
      <c r="E1343" s="13" t="n">
        <f aca="false">IFERROR(D1343/$F1343,"")</f>
        <v>0</v>
      </c>
      <c r="F1343" s="12" t="n">
        <f aca="false">B1343+D1343</f>
        <v>1</v>
      </c>
    </row>
    <row r="1344" customFormat="false" ht="15" hidden="false" customHeight="false" outlineLevel="0" collapsed="false">
      <c r="A1344" s="12" t="s">
        <v>709</v>
      </c>
      <c r="B1344" s="12" t="n">
        <f aca="false">COUNTIFS(Cleaned!$D$2:$D$125,6,Cleaned!BQ$2:BQ$125,0)</f>
        <v>0</v>
      </c>
      <c r="C1344" s="13" t="n">
        <f aca="false">IFERROR(B1344/$F1344,"")</f>
        <v>0</v>
      </c>
      <c r="D1344" s="12" t="n">
        <f aca="false">COUNTIFS(Cleaned!$D$2:$D$125,6,Cleaned!BQ$2:BQ$125,1)</f>
        <v>1</v>
      </c>
      <c r="E1344" s="13" t="n">
        <f aca="false">IFERROR(D1344/$F1344,"")</f>
        <v>1</v>
      </c>
      <c r="F1344" s="12" t="n">
        <f aca="false">B1344+D1344</f>
        <v>1</v>
      </c>
    </row>
    <row r="1345" customFormat="false" ht="15" hidden="false" customHeight="false" outlineLevel="0" collapsed="false">
      <c r="A1345" s="12" t="s">
        <v>710</v>
      </c>
      <c r="B1345" s="12" t="n">
        <f aca="false">COUNTIFS(Cleaned!$D$2:$D$125,7,Cleaned!BQ$2:BQ$125,0)</f>
        <v>4</v>
      </c>
      <c r="C1345" s="13" t="n">
        <f aca="false">IFERROR(B1345/$F1345,"")</f>
        <v>0.666666666666667</v>
      </c>
      <c r="D1345" s="12" t="n">
        <f aca="false">COUNTIFS(Cleaned!$D$2:$D$125,7,Cleaned!BQ$2:BQ$125,1)</f>
        <v>2</v>
      </c>
      <c r="E1345" s="13" t="n">
        <f aca="false">IFERROR(D1345/$F1345,"")</f>
        <v>0.333333333333333</v>
      </c>
      <c r="F1345" s="12" t="n">
        <f aca="false">B1345+D1345</f>
        <v>6</v>
      </c>
    </row>
    <row r="1346" customFormat="false" ht="15" hidden="false" customHeight="false" outlineLevel="0" collapsed="false">
      <c r="A1346" s="12" t="s">
        <v>711</v>
      </c>
      <c r="B1346" s="12" t="n">
        <f aca="false">COUNTIFS(Cleaned!$D$2:$D$125,8,Cleaned!BQ$2:BQ$125,0)</f>
        <v>0</v>
      </c>
      <c r="C1346" s="13" t="str">
        <f aca="false">IFERROR(B1346/$F1346,"")</f>
        <v/>
      </c>
      <c r="D1346" s="12" t="n">
        <f aca="false">COUNTIFS(Cleaned!$D$2:$D$125,8,Cleaned!BQ$2:BQ$125,1)</f>
        <v>0</v>
      </c>
      <c r="E1346" s="13" t="str">
        <f aca="false">IFERROR(D1346/$F1346,"")</f>
        <v/>
      </c>
      <c r="F1346" s="12" t="n">
        <f aca="false">B1346+D1346</f>
        <v>0</v>
      </c>
    </row>
    <row r="1347" customFormat="false" ht="15" hidden="false" customHeight="false" outlineLevel="0" collapsed="false">
      <c r="A1347" s="12" t="s">
        <v>712</v>
      </c>
      <c r="B1347" s="12" t="n">
        <f aca="false">COUNTIFS(Cleaned!$D$2:$D$125,9,Cleaned!BQ$2:BQ$125,0)</f>
        <v>1</v>
      </c>
      <c r="C1347" s="13" t="n">
        <f aca="false">IFERROR(B1347/$F1347,"")</f>
        <v>1</v>
      </c>
      <c r="D1347" s="12" t="n">
        <f aca="false">COUNTIFS(Cleaned!$D$2:$D$125,9,Cleaned!BQ$2:BQ$125,1)</f>
        <v>0</v>
      </c>
      <c r="E1347" s="13" t="n">
        <f aca="false">IFERROR(D1347/$F1347,"")</f>
        <v>0</v>
      </c>
      <c r="F1347" s="12" t="n">
        <f aca="false">B1347+D1347</f>
        <v>1</v>
      </c>
    </row>
    <row r="1348" customFormat="false" ht="15" hidden="false" customHeight="false" outlineLevel="0" collapsed="false">
      <c r="A1348" s="12" t="s">
        <v>713</v>
      </c>
      <c r="B1348" s="12" t="n">
        <f aca="false">COUNTIFS(Cleaned!$D$2:$D$125,10,Cleaned!BQ$2:BQ$125,0)</f>
        <v>0</v>
      </c>
      <c r="C1348" s="13" t="str">
        <f aca="false">IFERROR(B1348/$F1348,"")</f>
        <v/>
      </c>
      <c r="D1348" s="12" t="n">
        <f aca="false">COUNTIFS(Cleaned!$D$2:$D$125,10,Cleaned!BQ$2:BQ$125,1)</f>
        <v>0</v>
      </c>
      <c r="E1348" s="13" t="str">
        <f aca="false">IFERROR(D1348/$F1348,"")</f>
        <v/>
      </c>
      <c r="F1348" s="12" t="n">
        <f aca="false">B1348+D1348</f>
        <v>0</v>
      </c>
    </row>
    <row r="1349" customFormat="false" ht="15" hidden="false" customHeight="false" outlineLevel="0" collapsed="false">
      <c r="A1349" s="12" t="s">
        <v>714</v>
      </c>
      <c r="B1349" s="12" t="n">
        <f aca="false">COUNTIFS(Cleaned!$D$2:$D$125,11,Cleaned!BQ$2:BQ$125,0)</f>
        <v>5</v>
      </c>
      <c r="C1349" s="13" t="n">
        <f aca="false">IFERROR(B1349/$F1349,"")</f>
        <v>1</v>
      </c>
      <c r="D1349" s="12" t="n">
        <f aca="false">COUNTIFS(Cleaned!$D$2:$D$125,11,Cleaned!BQ$2:BQ$125,1)</f>
        <v>0</v>
      </c>
      <c r="E1349" s="13" t="n">
        <f aca="false">IFERROR(D1349/$F1349,"")</f>
        <v>0</v>
      </c>
      <c r="F1349" s="12" t="n">
        <f aca="false">B1349+D1349</f>
        <v>5</v>
      </c>
    </row>
    <row r="1350" customFormat="false" ht="15" hidden="false" customHeight="false" outlineLevel="0" collapsed="false">
      <c r="A1350" s="12" t="s">
        <v>715</v>
      </c>
      <c r="B1350" s="12" t="n">
        <f aca="false">COUNTIFS(Cleaned!$D$2:$D$125,12,Cleaned!BQ$2:BQ$125,0)</f>
        <v>1</v>
      </c>
      <c r="C1350" s="13" t="n">
        <f aca="false">IFERROR(B1350/$F1350,"")</f>
        <v>1</v>
      </c>
      <c r="D1350" s="12" t="n">
        <f aca="false">COUNTIFS(Cleaned!$D$2:$D$125,12,Cleaned!BQ$2:BQ$125,1)</f>
        <v>0</v>
      </c>
      <c r="E1350" s="13" t="n">
        <f aca="false">IFERROR(D1350/$F1350,"")</f>
        <v>0</v>
      </c>
      <c r="F1350" s="12" t="n">
        <f aca="false">B1350+D1350</f>
        <v>1</v>
      </c>
    </row>
    <row r="1351" customFormat="false" ht="15" hidden="false" customHeight="false" outlineLevel="0" collapsed="false">
      <c r="A1351" s="11" t="s">
        <v>716</v>
      </c>
      <c r="B1351" s="11" t="n">
        <f aca="false">SUM(B1339:B1350)</f>
        <v>38</v>
      </c>
      <c r="C1351" s="14" t="n">
        <f aca="false">IFERROR(B1351/$F1351,"")</f>
        <v>0.808510638297872</v>
      </c>
      <c r="D1351" s="11" t="n">
        <f aca="false">SUM(D1339:D1350)</f>
        <v>9</v>
      </c>
      <c r="E1351" s="14" t="n">
        <f aca="false">IFERROR(D1351/$F1351,"")</f>
        <v>0.191489361702128</v>
      </c>
      <c r="F1351" s="11" t="n">
        <f aca="false">SUM(F1339:F1350)</f>
        <v>47</v>
      </c>
    </row>
    <row r="1354" customFormat="false" ht="15" hidden="false" customHeight="false" outlineLevel="0" collapsed="false">
      <c r="A1354" s="6" t="s">
        <v>70</v>
      </c>
      <c r="B1354" s="7" t="s">
        <v>787</v>
      </c>
    </row>
    <row r="1355" customFormat="false" ht="15" hidden="false" customHeight="false" outlineLevel="0" collapsed="false">
      <c r="A1355" s="8"/>
      <c r="B1355" s="9" t="s">
        <v>726</v>
      </c>
      <c r="C1355" s="8"/>
      <c r="D1355" s="9" t="s">
        <v>362</v>
      </c>
      <c r="E1355" s="8"/>
      <c r="F1355" s="9" t="s">
        <v>694</v>
      </c>
    </row>
    <row r="1356" customFormat="false" ht="15" hidden="false" customHeight="false" outlineLevel="0" collapsed="false">
      <c r="B1356" s="10" t="s">
        <v>695</v>
      </c>
      <c r="C1356" s="10" t="s">
        <v>696</v>
      </c>
      <c r="D1356" s="10" t="s">
        <v>695</v>
      </c>
      <c r="E1356" s="10" t="s">
        <v>696</v>
      </c>
    </row>
    <row r="1357" customFormat="false" ht="15" hidden="false" customHeight="false" outlineLevel="0" collapsed="false">
      <c r="A1357" s="11" t="s">
        <v>697</v>
      </c>
    </row>
    <row r="1358" customFormat="false" ht="15" hidden="false" customHeight="false" outlineLevel="0" collapsed="false">
      <c r="A1358" s="12" t="s">
        <v>698</v>
      </c>
      <c r="B1358" s="12" t="n">
        <f aca="false">COUNTIFS(Cleaned!$C$2:$C$125,1,Cleaned!BS$2:BS$125,1)</f>
        <v>0</v>
      </c>
      <c r="C1358" s="13" t="n">
        <f aca="false">IFERROR(B1358/$F1358,"")</f>
        <v>0</v>
      </c>
      <c r="D1358" s="12" t="n">
        <f aca="false">COUNTIFS(Cleaned!$C$2:$C$125,1,Cleaned!BS$2:BS$125,2)</f>
        <v>8</v>
      </c>
      <c r="E1358" s="13" t="n">
        <f aca="false">IFERROR(D1358/$F1358,"")</f>
        <v>1</v>
      </c>
      <c r="F1358" s="12" t="n">
        <f aca="false">B1358+D1358</f>
        <v>8</v>
      </c>
    </row>
    <row r="1359" customFormat="false" ht="15" hidden="false" customHeight="false" outlineLevel="0" collapsed="false">
      <c r="A1359" s="12" t="s">
        <v>699</v>
      </c>
      <c r="B1359" s="12" t="n">
        <f aca="false">COUNTIFS(Cleaned!$C$2:$C$125,2,Cleaned!BS$2:BS$125,1)</f>
        <v>3</v>
      </c>
      <c r="C1359" s="13" t="n">
        <f aca="false">IFERROR(B1359/$F1359,"")</f>
        <v>0.333333333333333</v>
      </c>
      <c r="D1359" s="12" t="n">
        <f aca="false">COUNTIFS(Cleaned!$C$2:$C$125,2,Cleaned!BS$2:BS$125,2)</f>
        <v>6</v>
      </c>
      <c r="E1359" s="13" t="n">
        <f aca="false">IFERROR(D1359/$F1359,"")</f>
        <v>0.666666666666667</v>
      </c>
      <c r="F1359" s="12" t="n">
        <f aca="false">B1359+D1359</f>
        <v>9</v>
      </c>
    </row>
    <row r="1360" customFormat="false" ht="15" hidden="false" customHeight="false" outlineLevel="0" collapsed="false">
      <c r="A1360" s="12" t="s">
        <v>700</v>
      </c>
      <c r="B1360" s="12" t="n">
        <f aca="false">COUNTIFS(Cleaned!$C$2:$C$125,3,Cleaned!BS$2:BS$125,1)</f>
        <v>5</v>
      </c>
      <c r="C1360" s="13" t="n">
        <f aca="false">IFERROR(B1360/$F1360,"")</f>
        <v>0.384615384615385</v>
      </c>
      <c r="D1360" s="12" t="n">
        <f aca="false">COUNTIFS(Cleaned!$C$2:$C$125,3,Cleaned!BS$2:BS$125,2)</f>
        <v>8</v>
      </c>
      <c r="E1360" s="13" t="n">
        <f aca="false">IFERROR(D1360/$F1360,"")</f>
        <v>0.615384615384615</v>
      </c>
      <c r="F1360" s="12" t="n">
        <f aca="false">B1360+D1360</f>
        <v>13</v>
      </c>
    </row>
    <row r="1361" customFormat="false" ht="15" hidden="false" customHeight="false" outlineLevel="0" collapsed="false">
      <c r="A1361" s="12" t="s">
        <v>701</v>
      </c>
      <c r="B1361" s="12" t="n">
        <f aca="false">COUNTIFS(Cleaned!$C$2:$C$125,4,Cleaned!BS$2:BS$125,1)</f>
        <v>0</v>
      </c>
      <c r="C1361" s="13" t="n">
        <f aca="false">IFERROR(B1361/$F1361,"")</f>
        <v>0</v>
      </c>
      <c r="D1361" s="12" t="n">
        <f aca="false">COUNTIFS(Cleaned!$C$2:$C$125,4,Cleaned!BS$2:BS$125,2)</f>
        <v>11</v>
      </c>
      <c r="E1361" s="13" t="n">
        <f aca="false">IFERROR(D1361/$F1361,"")</f>
        <v>1</v>
      </c>
      <c r="F1361" s="12" t="n">
        <f aca="false">B1361+D1361</f>
        <v>11</v>
      </c>
    </row>
    <row r="1362" customFormat="false" ht="15" hidden="false" customHeight="false" outlineLevel="0" collapsed="false">
      <c r="A1362" s="12" t="s">
        <v>702</v>
      </c>
      <c r="B1362" s="12" t="n">
        <f aca="false">COUNTIFS(Cleaned!$C$2:$C$125,5,Cleaned!BS$2:BS$125,1)</f>
        <v>3</v>
      </c>
      <c r="C1362" s="13" t="n">
        <f aca="false">IFERROR(B1362/$F1362,"")</f>
        <v>0.166666666666667</v>
      </c>
      <c r="D1362" s="12" t="n">
        <f aca="false">COUNTIFS(Cleaned!$C$2:$C$125,5,Cleaned!BS$2:BS$125,2)</f>
        <v>15</v>
      </c>
      <c r="E1362" s="13" t="n">
        <f aca="false">IFERROR(D1362/$F1362,"")</f>
        <v>0.833333333333333</v>
      </c>
      <c r="F1362" s="12" t="n">
        <f aca="false">B1362+D1362</f>
        <v>18</v>
      </c>
    </row>
    <row r="1363" customFormat="false" ht="15" hidden="false" customHeight="false" outlineLevel="0" collapsed="false">
      <c r="A1363" s="11" t="s">
        <v>703</v>
      </c>
      <c r="B1363" s="11" t="n">
        <f aca="false">SUM(B1358:B1362)</f>
        <v>11</v>
      </c>
      <c r="C1363" s="14" t="n">
        <f aca="false">IFERROR(B1363/$F1363,"")</f>
        <v>0.186440677966102</v>
      </c>
      <c r="D1363" s="11" t="n">
        <f aca="false">SUM(D1358:D1362)</f>
        <v>48</v>
      </c>
      <c r="E1363" s="14" t="n">
        <f aca="false">IFERROR(D1363/$F1363,"")</f>
        <v>0.813559322033898</v>
      </c>
      <c r="F1363" s="11" t="n">
        <f aca="false">SUM(F1358:F1362)</f>
        <v>59</v>
      </c>
    </row>
    <row r="1364" customFormat="false" ht="15" hidden="false" customHeight="false" outlineLevel="0" collapsed="false">
      <c r="A1364" s="11" t="s">
        <v>3</v>
      </c>
    </row>
    <row r="1365" customFormat="false" ht="15" hidden="false" customHeight="false" outlineLevel="0" collapsed="false">
      <c r="A1365" s="12" t="s">
        <v>704</v>
      </c>
      <c r="B1365" s="12" t="n">
        <f aca="false">COUNTIFS(Cleaned!$D$2:$D$125,1,Cleaned!BS$2:BS$125,1)</f>
        <v>1</v>
      </c>
      <c r="C1365" s="13" t="n">
        <f aca="false">IFERROR(B1365/$F1365,"")</f>
        <v>0.111111111111111</v>
      </c>
      <c r="D1365" s="12" t="n">
        <f aca="false">COUNTIFS(Cleaned!$D$2:$D$125,1,Cleaned!BS$2:BS$125,2)</f>
        <v>8</v>
      </c>
      <c r="E1365" s="13" t="n">
        <f aca="false">IFERROR(D1365/$F1365,"")</f>
        <v>0.888888888888889</v>
      </c>
      <c r="F1365" s="12" t="n">
        <f aca="false">B1365+D1365</f>
        <v>9</v>
      </c>
    </row>
    <row r="1366" customFormat="false" ht="15" hidden="false" customHeight="false" outlineLevel="0" collapsed="false">
      <c r="A1366" s="12" t="s">
        <v>705</v>
      </c>
      <c r="B1366" s="12" t="n">
        <f aca="false">COUNTIFS(Cleaned!$D$2:$D$125,2,Cleaned!BS$2:BS$125,1)</f>
        <v>1</v>
      </c>
      <c r="C1366" s="13" t="n">
        <f aca="false">IFERROR(B1366/$F1366,"")</f>
        <v>0.0909090909090909</v>
      </c>
      <c r="D1366" s="12" t="n">
        <f aca="false">COUNTIFS(Cleaned!$D$2:$D$125,2,Cleaned!BS$2:BS$125,2)</f>
        <v>10</v>
      </c>
      <c r="E1366" s="13" t="n">
        <f aca="false">IFERROR(D1366/$F1366,"")</f>
        <v>0.909090909090909</v>
      </c>
      <c r="F1366" s="12" t="n">
        <f aca="false">B1366+D1366</f>
        <v>11</v>
      </c>
    </row>
    <row r="1367" customFormat="false" ht="15" hidden="false" customHeight="false" outlineLevel="0" collapsed="false">
      <c r="A1367" s="12" t="s">
        <v>706</v>
      </c>
      <c r="B1367" s="12" t="n">
        <f aca="false">COUNTIFS(Cleaned!$D$2:$D$125,3,Cleaned!BS$2:BS$125,1)</f>
        <v>1</v>
      </c>
      <c r="C1367" s="13" t="n">
        <f aca="false">IFERROR(B1367/$F1367,"")</f>
        <v>0.125</v>
      </c>
      <c r="D1367" s="12" t="n">
        <f aca="false">COUNTIFS(Cleaned!$D$2:$D$125,3,Cleaned!BS$2:BS$125,2)</f>
        <v>7</v>
      </c>
      <c r="E1367" s="13" t="n">
        <f aca="false">IFERROR(D1367/$F1367,"")</f>
        <v>0.875</v>
      </c>
      <c r="F1367" s="12" t="n">
        <f aca="false">B1367+D1367</f>
        <v>8</v>
      </c>
    </row>
    <row r="1368" customFormat="false" ht="15" hidden="false" customHeight="false" outlineLevel="0" collapsed="false">
      <c r="A1368" s="12" t="s">
        <v>707</v>
      </c>
      <c r="B1368" s="12" t="n">
        <f aca="false">COUNTIFS(Cleaned!$D$2:$D$125,4,Cleaned!BS$2:BS$125,1)</f>
        <v>2</v>
      </c>
      <c r="C1368" s="13" t="n">
        <f aca="false">IFERROR(B1368/$F1368,"")</f>
        <v>0.333333333333333</v>
      </c>
      <c r="D1368" s="12" t="n">
        <f aca="false">COUNTIFS(Cleaned!$D$2:$D$125,4,Cleaned!BS$2:BS$125,2)</f>
        <v>4</v>
      </c>
      <c r="E1368" s="13" t="n">
        <f aca="false">IFERROR(D1368/$F1368,"")</f>
        <v>0.666666666666667</v>
      </c>
      <c r="F1368" s="12" t="n">
        <f aca="false">B1368+D1368</f>
        <v>6</v>
      </c>
    </row>
    <row r="1369" customFormat="false" ht="15" hidden="false" customHeight="false" outlineLevel="0" collapsed="false">
      <c r="A1369" s="12" t="s">
        <v>708</v>
      </c>
      <c r="B1369" s="12" t="n">
        <f aca="false">COUNTIFS(Cleaned!$D$2:$D$125,5,Cleaned!BS$2:BS$125,1)</f>
        <v>0</v>
      </c>
      <c r="C1369" s="13" t="n">
        <f aca="false">IFERROR(B1369/$F1369,"")</f>
        <v>0</v>
      </c>
      <c r="D1369" s="12" t="n">
        <f aca="false">COUNTIFS(Cleaned!$D$2:$D$125,5,Cleaned!BS$2:BS$125,2)</f>
        <v>1</v>
      </c>
      <c r="E1369" s="13" t="n">
        <f aca="false">IFERROR(D1369/$F1369,"")</f>
        <v>1</v>
      </c>
      <c r="F1369" s="12" t="n">
        <f aca="false">B1369+D1369</f>
        <v>1</v>
      </c>
    </row>
    <row r="1370" customFormat="false" ht="15" hidden="false" customHeight="false" outlineLevel="0" collapsed="false">
      <c r="A1370" s="12" t="s">
        <v>709</v>
      </c>
      <c r="B1370" s="12" t="n">
        <f aca="false">COUNTIFS(Cleaned!$D$2:$D$125,6,Cleaned!BS$2:BS$125,1)</f>
        <v>0</v>
      </c>
      <c r="C1370" s="13" t="n">
        <f aca="false">IFERROR(B1370/$F1370,"")</f>
        <v>0</v>
      </c>
      <c r="D1370" s="12" t="n">
        <f aca="false">COUNTIFS(Cleaned!$D$2:$D$125,6,Cleaned!BS$2:BS$125,2)</f>
        <v>2</v>
      </c>
      <c r="E1370" s="13" t="n">
        <f aca="false">IFERROR(D1370/$F1370,"")</f>
        <v>1</v>
      </c>
      <c r="F1370" s="12" t="n">
        <f aca="false">B1370+D1370</f>
        <v>2</v>
      </c>
    </row>
    <row r="1371" customFormat="false" ht="15" hidden="false" customHeight="false" outlineLevel="0" collapsed="false">
      <c r="A1371" s="12" t="s">
        <v>710</v>
      </c>
      <c r="B1371" s="12" t="n">
        <f aca="false">COUNTIFS(Cleaned!$D$2:$D$125,7,Cleaned!BS$2:BS$125,1)</f>
        <v>5</v>
      </c>
      <c r="C1371" s="13" t="n">
        <f aca="false">IFERROR(B1371/$F1371,"")</f>
        <v>0.625</v>
      </c>
      <c r="D1371" s="12" t="n">
        <f aca="false">COUNTIFS(Cleaned!$D$2:$D$125,7,Cleaned!BS$2:BS$125,2)</f>
        <v>3</v>
      </c>
      <c r="E1371" s="13" t="n">
        <f aca="false">IFERROR(D1371/$F1371,"")</f>
        <v>0.375</v>
      </c>
      <c r="F1371" s="12" t="n">
        <f aca="false">B1371+D1371</f>
        <v>8</v>
      </c>
    </row>
    <row r="1372" customFormat="false" ht="15" hidden="false" customHeight="false" outlineLevel="0" collapsed="false">
      <c r="A1372" s="12" t="s">
        <v>711</v>
      </c>
      <c r="B1372" s="12" t="n">
        <f aca="false">COUNTIFS(Cleaned!$D$2:$D$125,8,Cleaned!BS$2:BS$125,1)</f>
        <v>0</v>
      </c>
      <c r="C1372" s="13" t="n">
        <f aca="false">IFERROR(B1372/$F1372,"")</f>
        <v>0</v>
      </c>
      <c r="D1372" s="12" t="n">
        <f aca="false">COUNTIFS(Cleaned!$D$2:$D$125,8,Cleaned!BS$2:BS$125,2)</f>
        <v>4</v>
      </c>
      <c r="E1372" s="13" t="n">
        <f aca="false">IFERROR(D1372/$F1372,"")</f>
        <v>1</v>
      </c>
      <c r="F1372" s="12" t="n">
        <f aca="false">B1372+D1372</f>
        <v>4</v>
      </c>
    </row>
    <row r="1373" customFormat="false" ht="15" hidden="false" customHeight="false" outlineLevel="0" collapsed="false">
      <c r="A1373" s="12" t="s">
        <v>712</v>
      </c>
      <c r="B1373" s="12" t="n">
        <f aca="false">COUNTIFS(Cleaned!$D$2:$D$125,9,Cleaned!BS$2:BS$125,1)</f>
        <v>0</v>
      </c>
      <c r="C1373" s="13" t="n">
        <f aca="false">IFERROR(B1373/$F1373,"")</f>
        <v>0</v>
      </c>
      <c r="D1373" s="12" t="n">
        <f aca="false">COUNTIFS(Cleaned!$D$2:$D$125,9,Cleaned!BS$2:BS$125,2)</f>
        <v>1</v>
      </c>
      <c r="E1373" s="13" t="n">
        <f aca="false">IFERROR(D1373/$F1373,"")</f>
        <v>1</v>
      </c>
      <c r="F1373" s="12" t="n">
        <f aca="false">B1373+D1373</f>
        <v>1</v>
      </c>
    </row>
    <row r="1374" customFormat="false" ht="15" hidden="false" customHeight="false" outlineLevel="0" collapsed="false">
      <c r="A1374" s="12" t="s">
        <v>713</v>
      </c>
      <c r="B1374" s="12" t="n">
        <f aca="false">COUNTIFS(Cleaned!$D$2:$D$125,10,Cleaned!BS$2:BS$125,1)</f>
        <v>0</v>
      </c>
      <c r="C1374" s="13" t="str">
        <f aca="false">IFERROR(B1374/$F1374,"")</f>
        <v/>
      </c>
      <c r="D1374" s="12" t="n">
        <f aca="false">COUNTIFS(Cleaned!$D$2:$D$125,10,Cleaned!BS$2:BS$125,2)</f>
        <v>0</v>
      </c>
      <c r="E1374" s="13" t="str">
        <f aca="false">IFERROR(D1374/$F1374,"")</f>
        <v/>
      </c>
      <c r="F1374" s="12" t="n">
        <f aca="false">B1374+D1374</f>
        <v>0</v>
      </c>
    </row>
    <row r="1375" customFormat="false" ht="15" hidden="false" customHeight="false" outlineLevel="0" collapsed="false">
      <c r="A1375" s="12" t="s">
        <v>714</v>
      </c>
      <c r="B1375" s="12" t="n">
        <f aca="false">COUNTIFS(Cleaned!$D$2:$D$125,11,Cleaned!BS$2:BS$125,1)</f>
        <v>1</v>
      </c>
      <c r="C1375" s="13" t="n">
        <f aca="false">IFERROR(B1375/$F1375,"")</f>
        <v>0.142857142857143</v>
      </c>
      <c r="D1375" s="12" t="n">
        <f aca="false">COUNTIFS(Cleaned!$D$2:$D$125,11,Cleaned!BS$2:BS$125,2)</f>
        <v>6</v>
      </c>
      <c r="E1375" s="13" t="n">
        <f aca="false">IFERROR(D1375/$F1375,"")</f>
        <v>0.857142857142857</v>
      </c>
      <c r="F1375" s="12" t="n">
        <f aca="false">B1375+D1375</f>
        <v>7</v>
      </c>
    </row>
    <row r="1376" customFormat="false" ht="15" hidden="false" customHeight="false" outlineLevel="0" collapsed="false">
      <c r="A1376" s="12" t="s">
        <v>715</v>
      </c>
      <c r="B1376" s="12" t="n">
        <f aca="false">COUNTIFS(Cleaned!$D$2:$D$125,12,Cleaned!BS$2:BS$125,1)</f>
        <v>0</v>
      </c>
      <c r="C1376" s="13" t="n">
        <f aca="false">IFERROR(B1376/$F1376,"")</f>
        <v>0</v>
      </c>
      <c r="D1376" s="12" t="n">
        <f aca="false">COUNTIFS(Cleaned!$D$2:$D$125,12,Cleaned!BS$2:BS$125,2)</f>
        <v>2</v>
      </c>
      <c r="E1376" s="13" t="n">
        <f aca="false">IFERROR(D1376/$F1376,"")</f>
        <v>1</v>
      </c>
      <c r="F1376" s="12" t="n">
        <f aca="false">B1376+D1376</f>
        <v>2</v>
      </c>
    </row>
    <row r="1377" customFormat="false" ht="15" hidden="false" customHeight="false" outlineLevel="0" collapsed="false">
      <c r="A1377" s="11" t="s">
        <v>716</v>
      </c>
      <c r="B1377" s="11" t="n">
        <f aca="false">SUM(B1365:B1376)</f>
        <v>11</v>
      </c>
      <c r="C1377" s="14" t="n">
        <f aca="false">IFERROR(B1377/$F1377,"")</f>
        <v>0.186440677966102</v>
      </c>
      <c r="D1377" s="11" t="n">
        <f aca="false">SUM(D1365:D1376)</f>
        <v>48</v>
      </c>
      <c r="E1377" s="14" t="n">
        <f aca="false">IFERROR(D1377/$F1377,"")</f>
        <v>0.813559322033898</v>
      </c>
      <c r="F1377" s="11" t="n">
        <f aca="false">SUM(F1365:F1376)</f>
        <v>59</v>
      </c>
    </row>
    <row r="1380" customFormat="false" ht="15" hidden="false" customHeight="false" outlineLevel="0" collapsed="false">
      <c r="A1380" s="6" t="s">
        <v>71</v>
      </c>
      <c r="B1380" s="7" t="s">
        <v>788</v>
      </c>
    </row>
    <row r="1381" customFormat="false" ht="15" hidden="false" customHeight="false" outlineLevel="0" collapsed="false">
      <c r="A1381" s="8"/>
      <c r="B1381" s="9" t="s">
        <v>726</v>
      </c>
      <c r="C1381" s="8"/>
      <c r="D1381" s="9" t="s">
        <v>362</v>
      </c>
      <c r="E1381" s="8"/>
      <c r="F1381" s="9" t="s">
        <v>694</v>
      </c>
    </row>
    <row r="1382" customFormat="false" ht="15" hidden="false" customHeight="false" outlineLevel="0" collapsed="false">
      <c r="B1382" s="10" t="s">
        <v>695</v>
      </c>
      <c r="C1382" s="10" t="s">
        <v>696</v>
      </c>
      <c r="D1382" s="10" t="s">
        <v>695</v>
      </c>
      <c r="E1382" s="10" t="s">
        <v>696</v>
      </c>
    </row>
    <row r="1383" customFormat="false" ht="15" hidden="false" customHeight="false" outlineLevel="0" collapsed="false">
      <c r="A1383" s="11" t="s">
        <v>697</v>
      </c>
    </row>
    <row r="1384" customFormat="false" ht="15" hidden="false" customHeight="false" outlineLevel="0" collapsed="false">
      <c r="A1384" s="12" t="s">
        <v>698</v>
      </c>
      <c r="B1384" s="12" t="n">
        <f aca="false">COUNTIFS(Cleaned!$C$2:$C$125,1,Cleaned!BT$2:BT$125,1)</f>
        <v>0</v>
      </c>
      <c r="C1384" s="13" t="n">
        <f aca="false">IFERROR(B1384/$F1384,"")</f>
        <v>0</v>
      </c>
      <c r="D1384" s="12" t="n">
        <f aca="false">COUNTIFS(Cleaned!$C$2:$C$125,1,Cleaned!BT$2:BT$125,2)</f>
        <v>3</v>
      </c>
      <c r="E1384" s="13" t="n">
        <f aca="false">IFERROR(D1384/$F1384,"")</f>
        <v>1</v>
      </c>
      <c r="F1384" s="12" t="n">
        <f aca="false">B1384+D1384</f>
        <v>3</v>
      </c>
    </row>
    <row r="1385" customFormat="false" ht="15" hidden="false" customHeight="false" outlineLevel="0" collapsed="false">
      <c r="A1385" s="12" t="s">
        <v>699</v>
      </c>
      <c r="B1385" s="12" t="n">
        <f aca="false">COUNTIFS(Cleaned!$C$2:$C$125,2,Cleaned!BT$2:BT$125,1)</f>
        <v>3</v>
      </c>
      <c r="C1385" s="13" t="n">
        <f aca="false">IFERROR(B1385/$F1385,"")</f>
        <v>0.375</v>
      </c>
      <c r="D1385" s="12" t="n">
        <f aca="false">COUNTIFS(Cleaned!$C$2:$C$125,2,Cleaned!BT$2:BT$125,2)</f>
        <v>5</v>
      </c>
      <c r="E1385" s="13" t="n">
        <f aca="false">IFERROR(D1385/$F1385,"")</f>
        <v>0.625</v>
      </c>
      <c r="F1385" s="12" t="n">
        <f aca="false">B1385+D1385</f>
        <v>8</v>
      </c>
    </row>
    <row r="1386" customFormat="false" ht="15" hidden="false" customHeight="false" outlineLevel="0" collapsed="false">
      <c r="A1386" s="12" t="s">
        <v>700</v>
      </c>
      <c r="B1386" s="12" t="n">
        <f aca="false">COUNTIFS(Cleaned!$C$2:$C$125,3,Cleaned!BT$2:BT$125,1)</f>
        <v>5</v>
      </c>
      <c r="C1386" s="13" t="n">
        <f aca="false">IFERROR(B1386/$F1386,"")</f>
        <v>0.384615384615385</v>
      </c>
      <c r="D1386" s="12" t="n">
        <f aca="false">COUNTIFS(Cleaned!$C$2:$C$125,3,Cleaned!BT$2:BT$125,2)</f>
        <v>8</v>
      </c>
      <c r="E1386" s="13" t="n">
        <f aca="false">IFERROR(D1386/$F1386,"")</f>
        <v>0.615384615384615</v>
      </c>
      <c r="F1386" s="12" t="n">
        <f aca="false">B1386+D1386</f>
        <v>13</v>
      </c>
    </row>
    <row r="1387" customFormat="false" ht="15" hidden="false" customHeight="false" outlineLevel="0" collapsed="false">
      <c r="A1387" s="12" t="s">
        <v>701</v>
      </c>
      <c r="B1387" s="12" t="n">
        <f aca="false">COUNTIFS(Cleaned!$C$2:$C$125,4,Cleaned!BT$2:BT$125,1)</f>
        <v>0</v>
      </c>
      <c r="C1387" s="13" t="n">
        <f aca="false">IFERROR(B1387/$F1387,"")</f>
        <v>0</v>
      </c>
      <c r="D1387" s="12" t="n">
        <f aca="false">COUNTIFS(Cleaned!$C$2:$C$125,4,Cleaned!BT$2:BT$125,2)</f>
        <v>10</v>
      </c>
      <c r="E1387" s="13" t="n">
        <f aca="false">IFERROR(D1387/$F1387,"")</f>
        <v>1</v>
      </c>
      <c r="F1387" s="12" t="n">
        <f aca="false">B1387+D1387</f>
        <v>10</v>
      </c>
    </row>
    <row r="1388" customFormat="false" ht="15" hidden="false" customHeight="false" outlineLevel="0" collapsed="false">
      <c r="A1388" s="12" t="s">
        <v>702</v>
      </c>
      <c r="B1388" s="12" t="n">
        <f aca="false">COUNTIFS(Cleaned!$C$2:$C$125,5,Cleaned!BT$2:BT$125,1)</f>
        <v>2</v>
      </c>
      <c r="C1388" s="13" t="n">
        <f aca="false">IFERROR(B1388/$F1388,"")</f>
        <v>0.117647058823529</v>
      </c>
      <c r="D1388" s="12" t="n">
        <f aca="false">COUNTIFS(Cleaned!$C$2:$C$125,5,Cleaned!BT$2:BT$125,2)</f>
        <v>15</v>
      </c>
      <c r="E1388" s="13" t="n">
        <f aca="false">IFERROR(D1388/$F1388,"")</f>
        <v>0.882352941176471</v>
      </c>
      <c r="F1388" s="12" t="n">
        <f aca="false">B1388+D1388</f>
        <v>17</v>
      </c>
    </row>
    <row r="1389" customFormat="false" ht="15" hidden="false" customHeight="false" outlineLevel="0" collapsed="false">
      <c r="A1389" s="11" t="s">
        <v>703</v>
      </c>
      <c r="B1389" s="11" t="n">
        <f aca="false">SUM(B1384:B1388)</f>
        <v>10</v>
      </c>
      <c r="C1389" s="14" t="n">
        <f aca="false">IFERROR(B1389/$F1389,"")</f>
        <v>0.196078431372549</v>
      </c>
      <c r="D1389" s="11" t="n">
        <f aca="false">SUM(D1384:D1388)</f>
        <v>41</v>
      </c>
      <c r="E1389" s="14" t="n">
        <f aca="false">IFERROR(D1389/$F1389,"")</f>
        <v>0.803921568627451</v>
      </c>
      <c r="F1389" s="11" t="n">
        <f aca="false">SUM(F1384:F1388)</f>
        <v>51</v>
      </c>
    </row>
    <row r="1390" customFormat="false" ht="15" hidden="false" customHeight="false" outlineLevel="0" collapsed="false">
      <c r="A1390" s="11" t="s">
        <v>3</v>
      </c>
    </row>
    <row r="1391" customFormat="false" ht="15" hidden="false" customHeight="false" outlineLevel="0" collapsed="false">
      <c r="A1391" s="12" t="s">
        <v>704</v>
      </c>
      <c r="B1391" s="12" t="n">
        <f aca="false">COUNTIFS(Cleaned!$D$2:$D$125,1,Cleaned!BT$2:BT$125,1)</f>
        <v>1</v>
      </c>
      <c r="C1391" s="13" t="n">
        <f aca="false">IFERROR(B1391/$F1391,"")</f>
        <v>0.142857142857143</v>
      </c>
      <c r="D1391" s="12" t="n">
        <f aca="false">COUNTIFS(Cleaned!$D$2:$D$125,1,Cleaned!BT$2:BT$125,2)</f>
        <v>6</v>
      </c>
      <c r="E1391" s="13" t="n">
        <f aca="false">IFERROR(D1391/$F1391,"")</f>
        <v>0.857142857142857</v>
      </c>
      <c r="F1391" s="12" t="n">
        <f aca="false">B1391+D1391</f>
        <v>7</v>
      </c>
    </row>
    <row r="1392" customFormat="false" ht="15" hidden="false" customHeight="false" outlineLevel="0" collapsed="false">
      <c r="A1392" s="12" t="s">
        <v>705</v>
      </c>
      <c r="B1392" s="12" t="n">
        <f aca="false">COUNTIFS(Cleaned!$D$2:$D$125,2,Cleaned!BT$2:BT$125,1)</f>
        <v>1</v>
      </c>
      <c r="C1392" s="13" t="n">
        <f aca="false">IFERROR(B1392/$F1392,"")</f>
        <v>0.1</v>
      </c>
      <c r="D1392" s="12" t="n">
        <f aca="false">COUNTIFS(Cleaned!$D$2:$D$125,2,Cleaned!BT$2:BT$125,2)</f>
        <v>9</v>
      </c>
      <c r="E1392" s="13" t="n">
        <f aca="false">IFERROR(D1392/$F1392,"")</f>
        <v>0.9</v>
      </c>
      <c r="F1392" s="12" t="n">
        <f aca="false">B1392+D1392</f>
        <v>10</v>
      </c>
    </row>
    <row r="1393" customFormat="false" ht="15" hidden="false" customHeight="false" outlineLevel="0" collapsed="false">
      <c r="A1393" s="12" t="s">
        <v>706</v>
      </c>
      <c r="B1393" s="12" t="n">
        <f aca="false">COUNTIFS(Cleaned!$D$2:$D$125,3,Cleaned!BT$2:BT$125,1)</f>
        <v>1</v>
      </c>
      <c r="C1393" s="13" t="n">
        <f aca="false">IFERROR(B1393/$F1393,"")</f>
        <v>0.142857142857143</v>
      </c>
      <c r="D1393" s="12" t="n">
        <f aca="false">COUNTIFS(Cleaned!$D$2:$D$125,3,Cleaned!BT$2:BT$125,2)</f>
        <v>6</v>
      </c>
      <c r="E1393" s="13" t="n">
        <f aca="false">IFERROR(D1393/$F1393,"")</f>
        <v>0.857142857142857</v>
      </c>
      <c r="F1393" s="12" t="n">
        <f aca="false">B1393+D1393</f>
        <v>7</v>
      </c>
    </row>
    <row r="1394" customFormat="false" ht="15" hidden="false" customHeight="false" outlineLevel="0" collapsed="false">
      <c r="A1394" s="12" t="s">
        <v>707</v>
      </c>
      <c r="B1394" s="12" t="n">
        <f aca="false">COUNTIFS(Cleaned!$D$2:$D$125,4,Cleaned!BT$2:BT$125,1)</f>
        <v>2</v>
      </c>
      <c r="C1394" s="13" t="n">
        <f aca="false">IFERROR(B1394/$F1394,"")</f>
        <v>0.333333333333333</v>
      </c>
      <c r="D1394" s="12" t="n">
        <f aca="false">COUNTIFS(Cleaned!$D$2:$D$125,4,Cleaned!BT$2:BT$125,2)</f>
        <v>4</v>
      </c>
      <c r="E1394" s="13" t="n">
        <f aca="false">IFERROR(D1394/$F1394,"")</f>
        <v>0.666666666666667</v>
      </c>
      <c r="F1394" s="12" t="n">
        <f aca="false">B1394+D1394</f>
        <v>6</v>
      </c>
    </row>
    <row r="1395" customFormat="false" ht="15" hidden="false" customHeight="false" outlineLevel="0" collapsed="false">
      <c r="A1395" s="12" t="s">
        <v>708</v>
      </c>
      <c r="B1395" s="12" t="n">
        <f aca="false">COUNTIFS(Cleaned!$D$2:$D$125,5,Cleaned!BT$2:BT$125,1)</f>
        <v>0</v>
      </c>
      <c r="C1395" s="13" t="n">
        <f aca="false">IFERROR(B1395/$F1395,"")</f>
        <v>0</v>
      </c>
      <c r="D1395" s="12" t="n">
        <f aca="false">COUNTIFS(Cleaned!$D$2:$D$125,5,Cleaned!BT$2:BT$125,2)</f>
        <v>1</v>
      </c>
      <c r="E1395" s="13" t="n">
        <f aca="false">IFERROR(D1395/$F1395,"")</f>
        <v>1</v>
      </c>
      <c r="F1395" s="12" t="n">
        <f aca="false">B1395+D1395</f>
        <v>1</v>
      </c>
    </row>
    <row r="1396" customFormat="false" ht="15" hidden="false" customHeight="false" outlineLevel="0" collapsed="false">
      <c r="A1396" s="12" t="s">
        <v>709</v>
      </c>
      <c r="B1396" s="12" t="n">
        <f aca="false">COUNTIFS(Cleaned!$D$2:$D$125,6,Cleaned!BT$2:BT$125,1)</f>
        <v>0</v>
      </c>
      <c r="C1396" s="13" t="n">
        <f aca="false">IFERROR(B1396/$F1396,"")</f>
        <v>0</v>
      </c>
      <c r="D1396" s="12" t="n">
        <f aca="false">COUNTIFS(Cleaned!$D$2:$D$125,6,Cleaned!BT$2:BT$125,2)</f>
        <v>2</v>
      </c>
      <c r="E1396" s="13" t="n">
        <f aca="false">IFERROR(D1396/$F1396,"")</f>
        <v>1</v>
      </c>
      <c r="F1396" s="12" t="n">
        <f aca="false">B1396+D1396</f>
        <v>2</v>
      </c>
    </row>
    <row r="1397" customFormat="false" ht="15" hidden="false" customHeight="false" outlineLevel="0" collapsed="false">
      <c r="A1397" s="12" t="s">
        <v>710</v>
      </c>
      <c r="B1397" s="12" t="n">
        <f aca="false">COUNTIFS(Cleaned!$D$2:$D$125,7,Cleaned!BT$2:BT$125,1)</f>
        <v>4</v>
      </c>
      <c r="C1397" s="13" t="n">
        <f aca="false">IFERROR(B1397/$F1397,"")</f>
        <v>0.571428571428571</v>
      </c>
      <c r="D1397" s="12" t="n">
        <f aca="false">COUNTIFS(Cleaned!$D$2:$D$125,7,Cleaned!BT$2:BT$125,2)</f>
        <v>3</v>
      </c>
      <c r="E1397" s="13" t="n">
        <f aca="false">IFERROR(D1397/$F1397,"")</f>
        <v>0.428571428571429</v>
      </c>
      <c r="F1397" s="12" t="n">
        <f aca="false">B1397+D1397</f>
        <v>7</v>
      </c>
    </row>
    <row r="1398" customFormat="false" ht="15" hidden="false" customHeight="false" outlineLevel="0" collapsed="false">
      <c r="A1398" s="12" t="s">
        <v>711</v>
      </c>
      <c r="B1398" s="12" t="n">
        <f aca="false">COUNTIFS(Cleaned!$D$2:$D$125,8,Cleaned!BT$2:BT$125,1)</f>
        <v>0</v>
      </c>
      <c r="C1398" s="13" t="n">
        <f aca="false">IFERROR(B1398/$F1398,"")</f>
        <v>0</v>
      </c>
      <c r="D1398" s="12" t="n">
        <f aca="false">COUNTIFS(Cleaned!$D$2:$D$125,8,Cleaned!BT$2:BT$125,2)</f>
        <v>4</v>
      </c>
      <c r="E1398" s="13" t="n">
        <f aca="false">IFERROR(D1398/$F1398,"")</f>
        <v>1</v>
      </c>
      <c r="F1398" s="12" t="n">
        <f aca="false">B1398+D1398</f>
        <v>4</v>
      </c>
    </row>
    <row r="1399" customFormat="false" ht="15" hidden="false" customHeight="false" outlineLevel="0" collapsed="false">
      <c r="A1399" s="12" t="s">
        <v>712</v>
      </c>
      <c r="B1399" s="12" t="n">
        <f aca="false">COUNTIFS(Cleaned!$D$2:$D$125,9,Cleaned!BT$2:BT$125,1)</f>
        <v>0</v>
      </c>
      <c r="C1399" s="13" t="n">
        <f aca="false">IFERROR(B1399/$F1399,"")</f>
        <v>0</v>
      </c>
      <c r="D1399" s="12" t="n">
        <f aca="false">COUNTIFS(Cleaned!$D$2:$D$125,9,Cleaned!BT$2:BT$125,2)</f>
        <v>1</v>
      </c>
      <c r="E1399" s="13" t="n">
        <f aca="false">IFERROR(D1399/$F1399,"")</f>
        <v>1</v>
      </c>
      <c r="F1399" s="12" t="n">
        <f aca="false">B1399+D1399</f>
        <v>1</v>
      </c>
    </row>
    <row r="1400" customFormat="false" ht="15" hidden="false" customHeight="false" outlineLevel="0" collapsed="false">
      <c r="A1400" s="12" t="s">
        <v>713</v>
      </c>
      <c r="B1400" s="12" t="n">
        <f aca="false">COUNTIFS(Cleaned!$D$2:$D$125,10,Cleaned!BT$2:BT$125,1)</f>
        <v>0</v>
      </c>
      <c r="C1400" s="13" t="str">
        <f aca="false">IFERROR(B1400/$F1400,"")</f>
        <v/>
      </c>
      <c r="D1400" s="12" t="n">
        <f aca="false">COUNTIFS(Cleaned!$D$2:$D$125,10,Cleaned!BT$2:BT$125,2)</f>
        <v>0</v>
      </c>
      <c r="E1400" s="13" t="str">
        <f aca="false">IFERROR(D1400/$F1400,"")</f>
        <v/>
      </c>
      <c r="F1400" s="12" t="n">
        <f aca="false">B1400+D1400</f>
        <v>0</v>
      </c>
    </row>
    <row r="1401" customFormat="false" ht="15" hidden="false" customHeight="false" outlineLevel="0" collapsed="false">
      <c r="A1401" s="12" t="s">
        <v>714</v>
      </c>
      <c r="B1401" s="12" t="n">
        <f aca="false">COUNTIFS(Cleaned!$D$2:$D$125,11,Cleaned!BT$2:BT$125,1)</f>
        <v>1</v>
      </c>
      <c r="C1401" s="13" t="n">
        <f aca="false">IFERROR(B1401/$F1401,"")</f>
        <v>0.25</v>
      </c>
      <c r="D1401" s="12" t="n">
        <f aca="false">COUNTIFS(Cleaned!$D$2:$D$125,11,Cleaned!BT$2:BT$125,2)</f>
        <v>3</v>
      </c>
      <c r="E1401" s="13" t="n">
        <f aca="false">IFERROR(D1401/$F1401,"")</f>
        <v>0.75</v>
      </c>
      <c r="F1401" s="12" t="n">
        <f aca="false">B1401+D1401</f>
        <v>4</v>
      </c>
    </row>
    <row r="1402" customFormat="false" ht="15" hidden="false" customHeight="false" outlineLevel="0" collapsed="false">
      <c r="A1402" s="12" t="s">
        <v>715</v>
      </c>
      <c r="B1402" s="12" t="n">
        <f aca="false">COUNTIFS(Cleaned!$D$2:$D$125,12,Cleaned!BT$2:BT$125,1)</f>
        <v>0</v>
      </c>
      <c r="C1402" s="13" t="n">
        <f aca="false">IFERROR(B1402/$F1402,"")</f>
        <v>0</v>
      </c>
      <c r="D1402" s="12" t="n">
        <f aca="false">COUNTIFS(Cleaned!$D$2:$D$125,12,Cleaned!BT$2:BT$125,2)</f>
        <v>2</v>
      </c>
      <c r="E1402" s="13" t="n">
        <f aca="false">IFERROR(D1402/$F1402,"")</f>
        <v>1</v>
      </c>
      <c r="F1402" s="12" t="n">
        <f aca="false">B1402+D1402</f>
        <v>2</v>
      </c>
    </row>
    <row r="1403" customFormat="false" ht="15" hidden="false" customHeight="false" outlineLevel="0" collapsed="false">
      <c r="A1403" s="11" t="s">
        <v>716</v>
      </c>
      <c r="B1403" s="11" t="n">
        <f aca="false">SUM(B1391:B1402)</f>
        <v>10</v>
      </c>
      <c r="C1403" s="14" t="n">
        <f aca="false">IFERROR(B1403/$F1403,"")</f>
        <v>0.196078431372549</v>
      </c>
      <c r="D1403" s="11" t="n">
        <f aca="false">SUM(D1391:D1402)</f>
        <v>41</v>
      </c>
      <c r="E1403" s="14" t="n">
        <f aca="false">IFERROR(D1403/$F1403,"")</f>
        <v>0.803921568627451</v>
      </c>
      <c r="F1403" s="11" t="n">
        <f aca="false">SUM(F1391:F1402)</f>
        <v>51</v>
      </c>
    </row>
    <row r="1406" customFormat="false" ht="15" hidden="false" customHeight="false" outlineLevel="0" collapsed="false">
      <c r="A1406" s="6" t="s">
        <v>72</v>
      </c>
      <c r="B1406" s="7" t="s">
        <v>789</v>
      </c>
    </row>
    <row r="1407" customFormat="false" ht="15" hidden="false" customHeight="false" outlineLevel="0" collapsed="false">
      <c r="A1407" s="8"/>
      <c r="B1407" s="9" t="s">
        <v>726</v>
      </c>
      <c r="C1407" s="8"/>
      <c r="D1407" s="9" t="s">
        <v>362</v>
      </c>
      <c r="E1407" s="8"/>
      <c r="F1407" s="9" t="s">
        <v>694</v>
      </c>
    </row>
    <row r="1408" customFormat="false" ht="15" hidden="false" customHeight="false" outlineLevel="0" collapsed="false">
      <c r="B1408" s="10" t="s">
        <v>695</v>
      </c>
      <c r="C1408" s="10" t="s">
        <v>696</v>
      </c>
      <c r="D1408" s="10" t="s">
        <v>695</v>
      </c>
      <c r="E1408" s="10" t="s">
        <v>696</v>
      </c>
    </row>
    <row r="1409" customFormat="false" ht="15" hidden="false" customHeight="false" outlineLevel="0" collapsed="false">
      <c r="A1409" s="11" t="s">
        <v>697</v>
      </c>
    </row>
    <row r="1410" customFormat="false" ht="15" hidden="false" customHeight="false" outlineLevel="0" collapsed="false">
      <c r="A1410" s="12" t="s">
        <v>698</v>
      </c>
      <c r="B1410" s="12" t="n">
        <f aca="false">COUNTIFS(Cleaned!$C$2:$C$125,1,Cleaned!BU$2:BU$125,1)</f>
        <v>0</v>
      </c>
      <c r="C1410" s="13" t="n">
        <f aca="false">IFERROR(B1410/$F1410,"")</f>
        <v>0</v>
      </c>
      <c r="D1410" s="12" t="n">
        <f aca="false">COUNTIFS(Cleaned!$C$2:$C$125,1,Cleaned!BU$2:BU$125,2)</f>
        <v>3</v>
      </c>
      <c r="E1410" s="13" t="n">
        <f aca="false">IFERROR(D1410/$F1410,"")</f>
        <v>1</v>
      </c>
      <c r="F1410" s="12" t="n">
        <f aca="false">B1410+D1410</f>
        <v>3</v>
      </c>
    </row>
    <row r="1411" customFormat="false" ht="15" hidden="false" customHeight="false" outlineLevel="0" collapsed="false">
      <c r="A1411" s="12" t="s">
        <v>699</v>
      </c>
      <c r="B1411" s="12" t="n">
        <f aca="false">COUNTIFS(Cleaned!$C$2:$C$125,2,Cleaned!BU$2:BU$125,1)</f>
        <v>0</v>
      </c>
      <c r="C1411" s="13" t="n">
        <f aca="false">IFERROR(B1411/$F1411,"")</f>
        <v>0</v>
      </c>
      <c r="D1411" s="12" t="n">
        <f aca="false">COUNTIFS(Cleaned!$C$2:$C$125,2,Cleaned!BU$2:BU$125,2)</f>
        <v>5</v>
      </c>
      <c r="E1411" s="13" t="n">
        <f aca="false">IFERROR(D1411/$F1411,"")</f>
        <v>1</v>
      </c>
      <c r="F1411" s="12" t="n">
        <f aca="false">B1411+D1411</f>
        <v>5</v>
      </c>
    </row>
    <row r="1412" customFormat="false" ht="15" hidden="false" customHeight="false" outlineLevel="0" collapsed="false">
      <c r="A1412" s="12" t="s">
        <v>700</v>
      </c>
      <c r="B1412" s="12" t="n">
        <f aca="false">COUNTIFS(Cleaned!$C$2:$C$125,3,Cleaned!BU$2:BU$125,1)</f>
        <v>1</v>
      </c>
      <c r="C1412" s="13" t="n">
        <f aca="false">IFERROR(B1412/$F1412,"")</f>
        <v>0.2</v>
      </c>
      <c r="D1412" s="12" t="n">
        <f aca="false">COUNTIFS(Cleaned!$C$2:$C$125,3,Cleaned!BU$2:BU$125,2)</f>
        <v>4</v>
      </c>
      <c r="E1412" s="13" t="n">
        <f aca="false">IFERROR(D1412/$F1412,"")</f>
        <v>0.8</v>
      </c>
      <c r="F1412" s="12" t="n">
        <f aca="false">B1412+D1412</f>
        <v>5</v>
      </c>
    </row>
    <row r="1413" customFormat="false" ht="15" hidden="false" customHeight="false" outlineLevel="0" collapsed="false">
      <c r="A1413" s="12" t="s">
        <v>701</v>
      </c>
      <c r="B1413" s="12" t="n">
        <f aca="false">COUNTIFS(Cleaned!$C$2:$C$125,4,Cleaned!BU$2:BU$125,1)</f>
        <v>0</v>
      </c>
      <c r="C1413" s="13" t="n">
        <f aca="false">IFERROR(B1413/$F1413,"")</f>
        <v>0</v>
      </c>
      <c r="D1413" s="12" t="n">
        <f aca="false">COUNTIFS(Cleaned!$C$2:$C$125,4,Cleaned!BU$2:BU$125,2)</f>
        <v>10</v>
      </c>
      <c r="E1413" s="13" t="n">
        <f aca="false">IFERROR(D1413/$F1413,"")</f>
        <v>1</v>
      </c>
      <c r="F1413" s="12" t="n">
        <f aca="false">B1413+D1413</f>
        <v>10</v>
      </c>
    </row>
    <row r="1414" customFormat="false" ht="15" hidden="false" customHeight="false" outlineLevel="0" collapsed="false">
      <c r="A1414" s="12" t="s">
        <v>702</v>
      </c>
      <c r="B1414" s="12" t="n">
        <f aca="false">COUNTIFS(Cleaned!$C$2:$C$125,5,Cleaned!BU$2:BU$125,1)</f>
        <v>3</v>
      </c>
      <c r="C1414" s="13" t="n">
        <f aca="false">IFERROR(B1414/$F1414,"")</f>
        <v>0.166666666666667</v>
      </c>
      <c r="D1414" s="12" t="n">
        <f aca="false">COUNTIFS(Cleaned!$C$2:$C$125,5,Cleaned!BU$2:BU$125,2)</f>
        <v>15</v>
      </c>
      <c r="E1414" s="13" t="n">
        <f aca="false">IFERROR(D1414/$F1414,"")</f>
        <v>0.833333333333333</v>
      </c>
      <c r="F1414" s="12" t="n">
        <f aca="false">B1414+D1414</f>
        <v>18</v>
      </c>
    </row>
    <row r="1415" customFormat="false" ht="15" hidden="false" customHeight="false" outlineLevel="0" collapsed="false">
      <c r="A1415" s="11" t="s">
        <v>703</v>
      </c>
      <c r="B1415" s="11" t="n">
        <f aca="false">SUM(B1410:B1414)</f>
        <v>4</v>
      </c>
      <c r="C1415" s="14" t="n">
        <f aca="false">IFERROR(B1415/$F1415,"")</f>
        <v>0.0975609756097561</v>
      </c>
      <c r="D1415" s="11" t="n">
        <f aca="false">SUM(D1410:D1414)</f>
        <v>37</v>
      </c>
      <c r="E1415" s="14" t="n">
        <f aca="false">IFERROR(D1415/$F1415,"")</f>
        <v>0.902439024390244</v>
      </c>
      <c r="F1415" s="11" t="n">
        <f aca="false">SUM(F1410:F1414)</f>
        <v>41</v>
      </c>
    </row>
    <row r="1416" customFormat="false" ht="15" hidden="false" customHeight="false" outlineLevel="0" collapsed="false">
      <c r="A1416" s="11" t="s">
        <v>3</v>
      </c>
    </row>
    <row r="1417" customFormat="false" ht="15" hidden="false" customHeight="false" outlineLevel="0" collapsed="false">
      <c r="A1417" s="12" t="s">
        <v>704</v>
      </c>
      <c r="B1417" s="12" t="n">
        <f aca="false">COUNTIFS(Cleaned!$D$2:$D$125,1,Cleaned!BU$2:BU$125,1)</f>
        <v>0</v>
      </c>
      <c r="C1417" s="13" t="n">
        <f aca="false">IFERROR(B1417/$F1417,"")</f>
        <v>0</v>
      </c>
      <c r="D1417" s="12" t="n">
        <f aca="false">COUNTIFS(Cleaned!$D$2:$D$125,1,Cleaned!BU$2:BU$125,2)</f>
        <v>3</v>
      </c>
      <c r="E1417" s="13" t="n">
        <f aca="false">IFERROR(D1417/$F1417,"")</f>
        <v>1</v>
      </c>
      <c r="F1417" s="12" t="n">
        <f aca="false">B1417+D1417</f>
        <v>3</v>
      </c>
    </row>
    <row r="1418" customFormat="false" ht="15" hidden="false" customHeight="false" outlineLevel="0" collapsed="false">
      <c r="A1418" s="12" t="s">
        <v>705</v>
      </c>
      <c r="B1418" s="12" t="n">
        <f aca="false">COUNTIFS(Cleaned!$D$2:$D$125,2,Cleaned!BU$2:BU$125,1)</f>
        <v>1</v>
      </c>
      <c r="C1418" s="13" t="n">
        <f aca="false">IFERROR(B1418/$F1418,"")</f>
        <v>0.0909090909090909</v>
      </c>
      <c r="D1418" s="12" t="n">
        <f aca="false">COUNTIFS(Cleaned!$D$2:$D$125,2,Cleaned!BU$2:BU$125,2)</f>
        <v>10</v>
      </c>
      <c r="E1418" s="13" t="n">
        <f aca="false">IFERROR(D1418/$F1418,"")</f>
        <v>0.909090909090909</v>
      </c>
      <c r="F1418" s="12" t="n">
        <f aca="false">B1418+D1418</f>
        <v>11</v>
      </c>
    </row>
    <row r="1419" customFormat="false" ht="15" hidden="false" customHeight="false" outlineLevel="0" collapsed="false">
      <c r="A1419" s="12" t="s">
        <v>706</v>
      </c>
      <c r="B1419" s="12" t="n">
        <f aca="false">COUNTIFS(Cleaned!$D$2:$D$125,3,Cleaned!BU$2:BU$125,1)</f>
        <v>0</v>
      </c>
      <c r="C1419" s="13" t="n">
        <f aca="false">IFERROR(B1419/$F1419,"")</f>
        <v>0</v>
      </c>
      <c r="D1419" s="12" t="n">
        <f aca="false">COUNTIFS(Cleaned!$D$2:$D$125,3,Cleaned!BU$2:BU$125,2)</f>
        <v>6</v>
      </c>
      <c r="E1419" s="13" t="n">
        <f aca="false">IFERROR(D1419/$F1419,"")</f>
        <v>1</v>
      </c>
      <c r="F1419" s="12" t="n">
        <f aca="false">B1419+D1419</f>
        <v>6</v>
      </c>
    </row>
    <row r="1420" customFormat="false" ht="15" hidden="false" customHeight="false" outlineLevel="0" collapsed="false">
      <c r="A1420" s="12" t="s">
        <v>707</v>
      </c>
      <c r="B1420" s="12" t="n">
        <f aca="false">COUNTIFS(Cleaned!$D$2:$D$125,4,Cleaned!BU$2:BU$125,1)</f>
        <v>1</v>
      </c>
      <c r="C1420" s="13" t="n">
        <f aca="false">IFERROR(B1420/$F1420,"")</f>
        <v>0.2</v>
      </c>
      <c r="D1420" s="12" t="n">
        <f aca="false">COUNTIFS(Cleaned!$D$2:$D$125,4,Cleaned!BU$2:BU$125,2)</f>
        <v>4</v>
      </c>
      <c r="E1420" s="13" t="n">
        <f aca="false">IFERROR(D1420/$F1420,"")</f>
        <v>0.8</v>
      </c>
      <c r="F1420" s="12" t="n">
        <f aca="false">B1420+D1420</f>
        <v>5</v>
      </c>
    </row>
    <row r="1421" customFormat="false" ht="15" hidden="false" customHeight="false" outlineLevel="0" collapsed="false">
      <c r="A1421" s="12" t="s">
        <v>708</v>
      </c>
      <c r="B1421" s="12" t="n">
        <f aca="false">COUNTIFS(Cleaned!$D$2:$D$125,5,Cleaned!BU$2:BU$125,1)</f>
        <v>0</v>
      </c>
      <c r="C1421" s="13" t="n">
        <f aca="false">IFERROR(B1421/$F1421,"")</f>
        <v>0</v>
      </c>
      <c r="D1421" s="12" t="n">
        <f aca="false">COUNTIFS(Cleaned!$D$2:$D$125,5,Cleaned!BU$2:BU$125,2)</f>
        <v>1</v>
      </c>
      <c r="E1421" s="13" t="n">
        <f aca="false">IFERROR(D1421/$F1421,"")</f>
        <v>1</v>
      </c>
      <c r="F1421" s="12" t="n">
        <f aca="false">B1421+D1421</f>
        <v>1</v>
      </c>
    </row>
    <row r="1422" customFormat="false" ht="15" hidden="false" customHeight="false" outlineLevel="0" collapsed="false">
      <c r="A1422" s="12" t="s">
        <v>709</v>
      </c>
      <c r="B1422" s="12" t="n">
        <f aca="false">COUNTIFS(Cleaned!$D$2:$D$125,6,Cleaned!BU$2:BU$125,1)</f>
        <v>0</v>
      </c>
      <c r="C1422" s="13" t="n">
        <f aca="false">IFERROR(B1422/$F1422,"")</f>
        <v>0</v>
      </c>
      <c r="D1422" s="12" t="n">
        <f aca="false">COUNTIFS(Cleaned!$D$2:$D$125,6,Cleaned!BU$2:BU$125,2)</f>
        <v>2</v>
      </c>
      <c r="E1422" s="13" t="n">
        <f aca="false">IFERROR(D1422/$F1422,"")</f>
        <v>1</v>
      </c>
      <c r="F1422" s="12" t="n">
        <f aca="false">B1422+D1422</f>
        <v>2</v>
      </c>
    </row>
    <row r="1423" customFormat="false" ht="15" hidden="false" customHeight="false" outlineLevel="0" collapsed="false">
      <c r="A1423" s="12" t="s">
        <v>710</v>
      </c>
      <c r="B1423" s="12" t="n">
        <f aca="false">COUNTIFS(Cleaned!$D$2:$D$125,7,Cleaned!BU$2:BU$125,1)</f>
        <v>2</v>
      </c>
      <c r="C1423" s="13" t="n">
        <f aca="false">IFERROR(B1423/$F1423,"")</f>
        <v>0.333333333333333</v>
      </c>
      <c r="D1423" s="12" t="n">
        <f aca="false">COUNTIFS(Cleaned!$D$2:$D$125,7,Cleaned!BU$2:BU$125,2)</f>
        <v>4</v>
      </c>
      <c r="E1423" s="13" t="n">
        <f aca="false">IFERROR(D1423/$F1423,"")</f>
        <v>0.666666666666667</v>
      </c>
      <c r="F1423" s="12" t="n">
        <f aca="false">B1423+D1423</f>
        <v>6</v>
      </c>
    </row>
    <row r="1424" customFormat="false" ht="15" hidden="false" customHeight="false" outlineLevel="0" collapsed="false">
      <c r="A1424" s="12" t="s">
        <v>711</v>
      </c>
      <c r="B1424" s="12" t="n">
        <f aca="false">COUNTIFS(Cleaned!$D$2:$D$125,8,Cleaned!BU$2:BU$125,1)</f>
        <v>0</v>
      </c>
      <c r="C1424" s="13" t="n">
        <f aca="false">IFERROR(B1424/$F1424,"")</f>
        <v>0</v>
      </c>
      <c r="D1424" s="12" t="n">
        <f aca="false">COUNTIFS(Cleaned!$D$2:$D$125,8,Cleaned!BU$2:BU$125,2)</f>
        <v>4</v>
      </c>
      <c r="E1424" s="13" t="n">
        <f aca="false">IFERROR(D1424/$F1424,"")</f>
        <v>1</v>
      </c>
      <c r="F1424" s="12" t="n">
        <f aca="false">B1424+D1424</f>
        <v>4</v>
      </c>
    </row>
    <row r="1425" customFormat="false" ht="15" hidden="false" customHeight="false" outlineLevel="0" collapsed="false">
      <c r="A1425" s="12" t="s">
        <v>712</v>
      </c>
      <c r="B1425" s="12" t="n">
        <f aca="false">COUNTIFS(Cleaned!$D$2:$D$125,9,Cleaned!BU$2:BU$125,1)</f>
        <v>0</v>
      </c>
      <c r="C1425" s="13" t="n">
        <f aca="false">IFERROR(B1425/$F1425,"")</f>
        <v>0</v>
      </c>
      <c r="D1425" s="12" t="n">
        <f aca="false">COUNTIFS(Cleaned!$D$2:$D$125,9,Cleaned!BU$2:BU$125,2)</f>
        <v>1</v>
      </c>
      <c r="E1425" s="13" t="n">
        <f aca="false">IFERROR(D1425/$F1425,"")</f>
        <v>1</v>
      </c>
      <c r="F1425" s="12" t="n">
        <f aca="false">B1425+D1425</f>
        <v>1</v>
      </c>
    </row>
    <row r="1426" customFormat="false" ht="15" hidden="false" customHeight="false" outlineLevel="0" collapsed="false">
      <c r="A1426" s="12" t="s">
        <v>713</v>
      </c>
      <c r="B1426" s="12" t="n">
        <f aca="false">COUNTIFS(Cleaned!$D$2:$D$125,10,Cleaned!BU$2:BU$125,1)</f>
        <v>0</v>
      </c>
      <c r="C1426" s="13" t="str">
        <f aca="false">IFERROR(B1426/$F1426,"")</f>
        <v/>
      </c>
      <c r="D1426" s="12" t="n">
        <f aca="false">COUNTIFS(Cleaned!$D$2:$D$125,10,Cleaned!BU$2:BU$125,2)</f>
        <v>0</v>
      </c>
      <c r="E1426" s="13" t="str">
        <f aca="false">IFERROR(D1426/$F1426,"")</f>
        <v/>
      </c>
      <c r="F1426" s="12" t="n">
        <f aca="false">B1426+D1426</f>
        <v>0</v>
      </c>
    </row>
    <row r="1427" customFormat="false" ht="15" hidden="false" customHeight="false" outlineLevel="0" collapsed="false">
      <c r="A1427" s="12" t="s">
        <v>714</v>
      </c>
      <c r="B1427" s="12" t="n">
        <f aca="false">COUNTIFS(Cleaned!$D$2:$D$125,11,Cleaned!BU$2:BU$125,1)</f>
        <v>0</v>
      </c>
      <c r="C1427" s="13" t="n">
        <f aca="false">IFERROR(B1427/$F1427,"")</f>
        <v>0</v>
      </c>
      <c r="D1427" s="12" t="n">
        <f aca="false">COUNTIFS(Cleaned!$D$2:$D$125,11,Cleaned!BU$2:BU$125,2)</f>
        <v>1</v>
      </c>
      <c r="E1427" s="13" t="n">
        <f aca="false">IFERROR(D1427/$F1427,"")</f>
        <v>1</v>
      </c>
      <c r="F1427" s="12" t="n">
        <f aca="false">B1427+D1427</f>
        <v>1</v>
      </c>
    </row>
    <row r="1428" customFormat="false" ht="15" hidden="false" customHeight="false" outlineLevel="0" collapsed="false">
      <c r="A1428" s="12" t="s">
        <v>715</v>
      </c>
      <c r="B1428" s="12" t="n">
        <f aca="false">COUNTIFS(Cleaned!$D$2:$D$125,12,Cleaned!BU$2:BU$125,1)</f>
        <v>0</v>
      </c>
      <c r="C1428" s="13" t="n">
        <f aca="false">IFERROR(B1428/$F1428,"")</f>
        <v>0</v>
      </c>
      <c r="D1428" s="12" t="n">
        <f aca="false">COUNTIFS(Cleaned!$D$2:$D$125,12,Cleaned!BU$2:BU$125,2)</f>
        <v>1</v>
      </c>
      <c r="E1428" s="13" t="n">
        <f aca="false">IFERROR(D1428/$F1428,"")</f>
        <v>1</v>
      </c>
      <c r="F1428" s="12" t="n">
        <f aca="false">B1428+D1428</f>
        <v>1</v>
      </c>
    </row>
    <row r="1429" customFormat="false" ht="15" hidden="false" customHeight="false" outlineLevel="0" collapsed="false">
      <c r="A1429" s="11" t="s">
        <v>716</v>
      </c>
      <c r="B1429" s="11" t="n">
        <f aca="false">SUM(B1417:B1428)</f>
        <v>4</v>
      </c>
      <c r="C1429" s="14" t="n">
        <f aca="false">IFERROR(B1429/$F1429,"")</f>
        <v>0.0975609756097561</v>
      </c>
      <c r="D1429" s="11" t="n">
        <f aca="false">SUM(D1417:D1428)</f>
        <v>37</v>
      </c>
      <c r="E1429" s="14" t="n">
        <f aca="false">IFERROR(D1429/$F1429,"")</f>
        <v>0.902439024390244</v>
      </c>
      <c r="F1429" s="11" t="n">
        <f aca="false">SUM(F1417:F1428)</f>
        <v>41</v>
      </c>
    </row>
    <row r="1432" customFormat="false" ht="15" hidden="false" customHeight="false" outlineLevel="0" collapsed="false">
      <c r="A1432" s="6" t="s">
        <v>73</v>
      </c>
      <c r="B1432" s="7" t="s">
        <v>790</v>
      </c>
    </row>
    <row r="1433" customFormat="false" ht="15" hidden="false" customHeight="false" outlineLevel="0" collapsed="false">
      <c r="A1433" s="8"/>
      <c r="B1433" s="9" t="s">
        <v>726</v>
      </c>
      <c r="C1433" s="8"/>
      <c r="D1433" s="9" t="s">
        <v>362</v>
      </c>
      <c r="E1433" s="8"/>
      <c r="F1433" s="9" t="s">
        <v>694</v>
      </c>
    </row>
    <row r="1434" customFormat="false" ht="15" hidden="false" customHeight="false" outlineLevel="0" collapsed="false">
      <c r="B1434" s="10" t="s">
        <v>695</v>
      </c>
      <c r="C1434" s="10" t="s">
        <v>696</v>
      </c>
      <c r="D1434" s="10" t="s">
        <v>695</v>
      </c>
      <c r="E1434" s="10" t="s">
        <v>696</v>
      </c>
    </row>
    <row r="1435" customFormat="false" ht="15" hidden="false" customHeight="false" outlineLevel="0" collapsed="false">
      <c r="A1435" s="11" t="s">
        <v>697</v>
      </c>
    </row>
    <row r="1436" customFormat="false" ht="15" hidden="false" customHeight="false" outlineLevel="0" collapsed="false">
      <c r="A1436" s="12" t="s">
        <v>698</v>
      </c>
      <c r="B1436" s="12" t="n">
        <f aca="false">COUNTIFS(Cleaned!$C$2:$C$125,1,Cleaned!BV$2:BV$125,1)</f>
        <v>8</v>
      </c>
      <c r="C1436" s="13" t="n">
        <f aca="false">IFERROR(B1436/$F1436,"")</f>
        <v>0.666666666666667</v>
      </c>
      <c r="D1436" s="12" t="n">
        <f aca="false">COUNTIFS(Cleaned!$C$2:$C$125,1,Cleaned!BV$2:BV$125,2)</f>
        <v>4</v>
      </c>
      <c r="E1436" s="13" t="n">
        <f aca="false">IFERROR(D1436/$F1436,"")</f>
        <v>0.333333333333333</v>
      </c>
      <c r="F1436" s="12" t="n">
        <f aca="false">B1436+D1436</f>
        <v>12</v>
      </c>
    </row>
    <row r="1437" customFormat="false" ht="15" hidden="false" customHeight="false" outlineLevel="0" collapsed="false">
      <c r="A1437" s="12" t="s">
        <v>699</v>
      </c>
      <c r="B1437" s="12" t="n">
        <f aca="false">COUNTIFS(Cleaned!$C$2:$C$125,2,Cleaned!BV$2:BV$125,1)</f>
        <v>8</v>
      </c>
      <c r="C1437" s="13" t="n">
        <f aca="false">IFERROR(B1437/$F1437,"")</f>
        <v>0.888888888888889</v>
      </c>
      <c r="D1437" s="12" t="n">
        <f aca="false">COUNTIFS(Cleaned!$C$2:$C$125,2,Cleaned!BV$2:BV$125,2)</f>
        <v>1</v>
      </c>
      <c r="E1437" s="13" t="n">
        <f aca="false">IFERROR(D1437/$F1437,"")</f>
        <v>0.111111111111111</v>
      </c>
      <c r="F1437" s="12" t="n">
        <f aca="false">B1437+D1437</f>
        <v>9</v>
      </c>
    </row>
    <row r="1438" customFormat="false" ht="15" hidden="false" customHeight="false" outlineLevel="0" collapsed="false">
      <c r="A1438" s="12" t="s">
        <v>700</v>
      </c>
      <c r="B1438" s="12" t="n">
        <f aca="false">COUNTIFS(Cleaned!$C$2:$C$125,3,Cleaned!BV$2:BV$125,1)</f>
        <v>11</v>
      </c>
      <c r="C1438" s="13" t="n">
        <f aca="false">IFERROR(B1438/$F1438,"")</f>
        <v>0.846153846153846</v>
      </c>
      <c r="D1438" s="12" t="n">
        <f aca="false">COUNTIFS(Cleaned!$C$2:$C$125,3,Cleaned!BV$2:BV$125,2)</f>
        <v>2</v>
      </c>
      <c r="E1438" s="13" t="n">
        <f aca="false">IFERROR(D1438/$F1438,"")</f>
        <v>0.153846153846154</v>
      </c>
      <c r="F1438" s="12" t="n">
        <f aca="false">B1438+D1438</f>
        <v>13</v>
      </c>
    </row>
    <row r="1439" customFormat="false" ht="15" hidden="false" customHeight="false" outlineLevel="0" collapsed="false">
      <c r="A1439" s="12" t="s">
        <v>701</v>
      </c>
      <c r="B1439" s="12" t="n">
        <f aca="false">COUNTIFS(Cleaned!$C$2:$C$125,4,Cleaned!BV$2:BV$125,1)</f>
        <v>10</v>
      </c>
      <c r="C1439" s="13" t="n">
        <f aca="false">IFERROR(B1439/$F1439,"")</f>
        <v>0.909090909090909</v>
      </c>
      <c r="D1439" s="12" t="n">
        <f aca="false">COUNTIFS(Cleaned!$C$2:$C$125,4,Cleaned!BV$2:BV$125,2)</f>
        <v>1</v>
      </c>
      <c r="E1439" s="13" t="n">
        <f aca="false">IFERROR(D1439/$F1439,"")</f>
        <v>0.0909090909090909</v>
      </c>
      <c r="F1439" s="12" t="n">
        <f aca="false">B1439+D1439</f>
        <v>11</v>
      </c>
    </row>
    <row r="1440" customFormat="false" ht="15" hidden="false" customHeight="false" outlineLevel="0" collapsed="false">
      <c r="A1440" s="12" t="s">
        <v>702</v>
      </c>
      <c r="B1440" s="12" t="n">
        <f aca="false">COUNTIFS(Cleaned!$C$2:$C$125,5,Cleaned!BV$2:BV$125,1)</f>
        <v>20</v>
      </c>
      <c r="C1440" s="13" t="n">
        <f aca="false">IFERROR(B1440/$F1440,"")</f>
        <v>0.909090909090909</v>
      </c>
      <c r="D1440" s="12" t="n">
        <f aca="false">COUNTIFS(Cleaned!$C$2:$C$125,5,Cleaned!BV$2:BV$125,2)</f>
        <v>2</v>
      </c>
      <c r="E1440" s="13" t="n">
        <f aca="false">IFERROR(D1440/$F1440,"")</f>
        <v>0.0909090909090909</v>
      </c>
      <c r="F1440" s="12" t="n">
        <f aca="false">B1440+D1440</f>
        <v>22</v>
      </c>
    </row>
    <row r="1441" customFormat="false" ht="15" hidden="false" customHeight="false" outlineLevel="0" collapsed="false">
      <c r="A1441" s="11" t="s">
        <v>703</v>
      </c>
      <c r="B1441" s="11" t="n">
        <f aca="false">SUM(B1436:B1440)</f>
        <v>57</v>
      </c>
      <c r="C1441" s="14" t="n">
        <f aca="false">IFERROR(B1441/$F1441,"")</f>
        <v>0.850746268656716</v>
      </c>
      <c r="D1441" s="11" t="n">
        <f aca="false">SUM(D1436:D1440)</f>
        <v>10</v>
      </c>
      <c r="E1441" s="14" t="n">
        <f aca="false">IFERROR(D1441/$F1441,"")</f>
        <v>0.149253731343284</v>
      </c>
      <c r="F1441" s="11" t="n">
        <f aca="false">SUM(F1436:F1440)</f>
        <v>67</v>
      </c>
    </row>
    <row r="1442" customFormat="false" ht="15" hidden="false" customHeight="false" outlineLevel="0" collapsed="false">
      <c r="A1442" s="11" t="s">
        <v>3</v>
      </c>
    </row>
    <row r="1443" customFormat="false" ht="15" hidden="false" customHeight="false" outlineLevel="0" collapsed="false">
      <c r="A1443" s="12" t="s">
        <v>704</v>
      </c>
      <c r="B1443" s="12" t="n">
        <f aca="false">COUNTIFS(Cleaned!$D$2:$D$125,1,Cleaned!BV$2:BV$125,1)</f>
        <v>5</v>
      </c>
      <c r="C1443" s="13" t="n">
        <f aca="false">IFERROR(B1443/$F1443,"")</f>
        <v>0.5</v>
      </c>
      <c r="D1443" s="12" t="n">
        <f aca="false">COUNTIFS(Cleaned!$D$2:$D$125,1,Cleaned!BV$2:BV$125,2)</f>
        <v>5</v>
      </c>
      <c r="E1443" s="13" t="n">
        <f aca="false">IFERROR(D1443/$F1443,"")</f>
        <v>0.5</v>
      </c>
      <c r="F1443" s="12" t="n">
        <f aca="false">B1443+D1443</f>
        <v>10</v>
      </c>
    </row>
    <row r="1444" customFormat="false" ht="15" hidden="false" customHeight="false" outlineLevel="0" collapsed="false">
      <c r="A1444" s="12" t="s">
        <v>705</v>
      </c>
      <c r="B1444" s="12" t="n">
        <f aca="false">COUNTIFS(Cleaned!$D$2:$D$125,2,Cleaned!BV$2:BV$125,1)</f>
        <v>12</v>
      </c>
      <c r="C1444" s="13" t="n">
        <f aca="false">IFERROR(B1444/$F1444,"")</f>
        <v>0.857142857142857</v>
      </c>
      <c r="D1444" s="12" t="n">
        <f aca="false">COUNTIFS(Cleaned!$D$2:$D$125,2,Cleaned!BV$2:BV$125,2)</f>
        <v>2</v>
      </c>
      <c r="E1444" s="13" t="n">
        <f aca="false">IFERROR(D1444/$F1444,"")</f>
        <v>0.142857142857143</v>
      </c>
      <c r="F1444" s="12" t="n">
        <f aca="false">B1444+D1444</f>
        <v>14</v>
      </c>
    </row>
    <row r="1445" customFormat="false" ht="15" hidden="false" customHeight="false" outlineLevel="0" collapsed="false">
      <c r="A1445" s="12" t="s">
        <v>706</v>
      </c>
      <c r="B1445" s="12" t="n">
        <f aca="false">COUNTIFS(Cleaned!$D$2:$D$125,3,Cleaned!BV$2:BV$125,1)</f>
        <v>8</v>
      </c>
      <c r="C1445" s="13" t="n">
        <f aca="false">IFERROR(B1445/$F1445,"")</f>
        <v>0.888888888888889</v>
      </c>
      <c r="D1445" s="12" t="n">
        <f aca="false">COUNTIFS(Cleaned!$D$2:$D$125,3,Cleaned!BV$2:BV$125,2)</f>
        <v>1</v>
      </c>
      <c r="E1445" s="13" t="n">
        <f aca="false">IFERROR(D1445/$F1445,"")</f>
        <v>0.111111111111111</v>
      </c>
      <c r="F1445" s="12" t="n">
        <f aca="false">B1445+D1445</f>
        <v>9</v>
      </c>
    </row>
    <row r="1446" customFormat="false" ht="15" hidden="false" customHeight="false" outlineLevel="0" collapsed="false">
      <c r="A1446" s="12" t="s">
        <v>707</v>
      </c>
      <c r="B1446" s="12" t="n">
        <f aca="false">COUNTIFS(Cleaned!$D$2:$D$125,4,Cleaned!BV$2:BV$125,1)</f>
        <v>6</v>
      </c>
      <c r="C1446" s="13" t="n">
        <f aca="false">IFERROR(B1446/$F1446,"")</f>
        <v>1</v>
      </c>
      <c r="D1446" s="12" t="n">
        <f aca="false">COUNTIFS(Cleaned!$D$2:$D$125,4,Cleaned!BV$2:BV$125,2)</f>
        <v>0</v>
      </c>
      <c r="E1446" s="13" t="n">
        <f aca="false">IFERROR(D1446/$F1446,"")</f>
        <v>0</v>
      </c>
      <c r="F1446" s="12" t="n">
        <f aca="false">B1446+D1446</f>
        <v>6</v>
      </c>
    </row>
    <row r="1447" customFormat="false" ht="15" hidden="false" customHeight="false" outlineLevel="0" collapsed="false">
      <c r="A1447" s="12" t="s">
        <v>708</v>
      </c>
      <c r="B1447" s="12" t="n">
        <f aca="false">COUNTIFS(Cleaned!$D$2:$D$125,5,Cleaned!BV$2:BV$125,1)</f>
        <v>1</v>
      </c>
      <c r="C1447" s="13" t="n">
        <f aca="false">IFERROR(B1447/$F1447,"")</f>
        <v>1</v>
      </c>
      <c r="D1447" s="12" t="n">
        <f aca="false">COUNTIFS(Cleaned!$D$2:$D$125,5,Cleaned!BV$2:BV$125,2)</f>
        <v>0</v>
      </c>
      <c r="E1447" s="13" t="n">
        <f aca="false">IFERROR(D1447/$F1447,"")</f>
        <v>0</v>
      </c>
      <c r="F1447" s="12" t="n">
        <f aca="false">B1447+D1447</f>
        <v>1</v>
      </c>
    </row>
    <row r="1448" customFormat="false" ht="15" hidden="false" customHeight="false" outlineLevel="0" collapsed="false">
      <c r="A1448" s="12" t="s">
        <v>709</v>
      </c>
      <c r="B1448" s="12" t="n">
        <f aca="false">COUNTIFS(Cleaned!$D$2:$D$125,6,Cleaned!BV$2:BV$125,1)</f>
        <v>2</v>
      </c>
      <c r="C1448" s="13" t="n">
        <f aca="false">IFERROR(B1448/$F1448,"")</f>
        <v>1</v>
      </c>
      <c r="D1448" s="12" t="n">
        <f aca="false">COUNTIFS(Cleaned!$D$2:$D$125,6,Cleaned!BV$2:BV$125,2)</f>
        <v>0</v>
      </c>
      <c r="E1448" s="13" t="n">
        <f aca="false">IFERROR(D1448/$F1448,"")</f>
        <v>0</v>
      </c>
      <c r="F1448" s="12" t="n">
        <f aca="false">B1448+D1448</f>
        <v>2</v>
      </c>
    </row>
    <row r="1449" customFormat="false" ht="15" hidden="false" customHeight="false" outlineLevel="0" collapsed="false">
      <c r="A1449" s="12" t="s">
        <v>710</v>
      </c>
      <c r="B1449" s="12" t="n">
        <f aca="false">COUNTIFS(Cleaned!$D$2:$D$125,7,Cleaned!BV$2:BV$125,1)</f>
        <v>8</v>
      </c>
      <c r="C1449" s="13" t="n">
        <f aca="false">IFERROR(B1449/$F1449,"")</f>
        <v>1</v>
      </c>
      <c r="D1449" s="12" t="n">
        <f aca="false">COUNTIFS(Cleaned!$D$2:$D$125,7,Cleaned!BV$2:BV$125,2)</f>
        <v>0</v>
      </c>
      <c r="E1449" s="13" t="n">
        <f aca="false">IFERROR(D1449/$F1449,"")</f>
        <v>0</v>
      </c>
      <c r="F1449" s="12" t="n">
        <f aca="false">B1449+D1449</f>
        <v>8</v>
      </c>
    </row>
    <row r="1450" customFormat="false" ht="15" hidden="false" customHeight="false" outlineLevel="0" collapsed="false">
      <c r="A1450" s="12" t="s">
        <v>711</v>
      </c>
      <c r="B1450" s="12" t="n">
        <f aca="false">COUNTIFS(Cleaned!$D$2:$D$125,8,Cleaned!BV$2:BV$125,1)</f>
        <v>3</v>
      </c>
      <c r="C1450" s="13" t="n">
        <f aca="false">IFERROR(B1450/$F1450,"")</f>
        <v>0.75</v>
      </c>
      <c r="D1450" s="12" t="n">
        <f aca="false">COUNTIFS(Cleaned!$D$2:$D$125,8,Cleaned!BV$2:BV$125,2)</f>
        <v>1</v>
      </c>
      <c r="E1450" s="13" t="n">
        <f aca="false">IFERROR(D1450/$F1450,"")</f>
        <v>0.25</v>
      </c>
      <c r="F1450" s="12" t="n">
        <f aca="false">B1450+D1450</f>
        <v>4</v>
      </c>
    </row>
    <row r="1451" customFormat="false" ht="15" hidden="false" customHeight="false" outlineLevel="0" collapsed="false">
      <c r="A1451" s="12" t="s">
        <v>712</v>
      </c>
      <c r="B1451" s="12" t="n">
        <f aca="false">COUNTIFS(Cleaned!$D$2:$D$125,9,Cleaned!BV$2:BV$125,1)</f>
        <v>2</v>
      </c>
      <c r="C1451" s="13" t="n">
        <f aca="false">IFERROR(B1451/$F1451,"")</f>
        <v>1</v>
      </c>
      <c r="D1451" s="12" t="n">
        <f aca="false">COUNTIFS(Cleaned!$D$2:$D$125,9,Cleaned!BV$2:BV$125,2)</f>
        <v>0</v>
      </c>
      <c r="E1451" s="13" t="n">
        <f aca="false">IFERROR(D1451/$F1451,"")</f>
        <v>0</v>
      </c>
      <c r="F1451" s="12" t="n">
        <f aca="false">B1451+D1451</f>
        <v>2</v>
      </c>
    </row>
    <row r="1452" customFormat="false" ht="15" hidden="false" customHeight="false" outlineLevel="0" collapsed="false">
      <c r="A1452" s="12" t="s">
        <v>713</v>
      </c>
      <c r="B1452" s="12" t="n">
        <f aca="false">COUNTIFS(Cleaned!$D$2:$D$125,10,Cleaned!BV$2:BV$125,1)</f>
        <v>0</v>
      </c>
      <c r="C1452" s="13" t="str">
        <f aca="false">IFERROR(B1452/$F1452,"")</f>
        <v/>
      </c>
      <c r="D1452" s="12" t="n">
        <f aca="false">COUNTIFS(Cleaned!$D$2:$D$125,10,Cleaned!BV$2:BV$125,2)</f>
        <v>0</v>
      </c>
      <c r="E1452" s="13" t="str">
        <f aca="false">IFERROR(D1452/$F1452,"")</f>
        <v/>
      </c>
      <c r="F1452" s="12" t="n">
        <f aca="false">B1452+D1452</f>
        <v>0</v>
      </c>
    </row>
    <row r="1453" customFormat="false" ht="15" hidden="false" customHeight="false" outlineLevel="0" collapsed="false">
      <c r="A1453" s="12" t="s">
        <v>714</v>
      </c>
      <c r="B1453" s="12" t="n">
        <f aca="false">COUNTIFS(Cleaned!$D$2:$D$125,11,Cleaned!BV$2:BV$125,1)</f>
        <v>6</v>
      </c>
      <c r="C1453" s="13" t="n">
        <f aca="false">IFERROR(B1453/$F1453,"")</f>
        <v>0.857142857142857</v>
      </c>
      <c r="D1453" s="12" t="n">
        <f aca="false">COUNTIFS(Cleaned!$D$2:$D$125,11,Cleaned!BV$2:BV$125,2)</f>
        <v>1</v>
      </c>
      <c r="E1453" s="13" t="n">
        <f aca="false">IFERROR(D1453/$F1453,"")</f>
        <v>0.142857142857143</v>
      </c>
      <c r="F1453" s="12" t="n">
        <f aca="false">B1453+D1453</f>
        <v>7</v>
      </c>
    </row>
    <row r="1454" customFormat="false" ht="15" hidden="false" customHeight="false" outlineLevel="0" collapsed="false">
      <c r="A1454" s="12" t="s">
        <v>715</v>
      </c>
      <c r="B1454" s="12" t="n">
        <f aca="false">COUNTIFS(Cleaned!$D$2:$D$125,12,Cleaned!BV$2:BV$125,1)</f>
        <v>4</v>
      </c>
      <c r="C1454" s="13" t="n">
        <f aca="false">IFERROR(B1454/$F1454,"")</f>
        <v>1</v>
      </c>
      <c r="D1454" s="12" t="n">
        <f aca="false">COUNTIFS(Cleaned!$D$2:$D$125,12,Cleaned!BV$2:BV$125,2)</f>
        <v>0</v>
      </c>
      <c r="E1454" s="13" t="n">
        <f aca="false">IFERROR(D1454/$F1454,"")</f>
        <v>0</v>
      </c>
      <c r="F1454" s="12" t="n">
        <f aca="false">B1454+D1454</f>
        <v>4</v>
      </c>
    </row>
    <row r="1455" customFormat="false" ht="15" hidden="false" customHeight="false" outlineLevel="0" collapsed="false">
      <c r="A1455" s="11" t="s">
        <v>716</v>
      </c>
      <c r="B1455" s="11" t="n">
        <f aca="false">SUM(B1443:B1454)</f>
        <v>57</v>
      </c>
      <c r="C1455" s="14" t="n">
        <f aca="false">IFERROR(B1455/$F1455,"")</f>
        <v>0.850746268656716</v>
      </c>
      <c r="D1455" s="11" t="n">
        <f aca="false">SUM(D1443:D1454)</f>
        <v>10</v>
      </c>
      <c r="E1455" s="14" t="n">
        <f aca="false">IFERROR(D1455/$F1455,"")</f>
        <v>0.149253731343284</v>
      </c>
      <c r="F1455" s="11" t="n">
        <f aca="false">SUM(F1443:F1454)</f>
        <v>67</v>
      </c>
    </row>
    <row r="1458" customFormat="false" ht="15" hidden="false" customHeight="false" outlineLevel="0" collapsed="false">
      <c r="A1458" s="6" t="s">
        <v>74</v>
      </c>
      <c r="B1458" s="7" t="s">
        <v>791</v>
      </c>
    </row>
    <row r="1459" customFormat="false" ht="15" hidden="false" customHeight="false" outlineLevel="0" collapsed="false">
      <c r="A1459" s="11" t="s">
        <v>734</v>
      </c>
      <c r="B1459" s="9" t="s">
        <v>694</v>
      </c>
      <c r="C1459" s="9" t="s">
        <v>735</v>
      </c>
      <c r="D1459" s="9" t="s">
        <v>736</v>
      </c>
      <c r="E1459" s="9" t="s">
        <v>737</v>
      </c>
      <c r="F1459" s="9" t="s">
        <v>738</v>
      </c>
    </row>
    <row r="1460" customFormat="false" ht="15" hidden="false" customHeight="false" outlineLevel="0" collapsed="false">
      <c r="B1460" s="12" t="n">
        <f aca="false">COUNT(Cleaned!$BW$2:$BW$125)</f>
        <v>50</v>
      </c>
      <c r="C1460" s="12" t="n">
        <f aca="false">IFERROR(AVERAGE(Cleaned!$BW$2:$BW$125),"")</f>
        <v>2024.04</v>
      </c>
      <c r="D1460" s="12" t="n">
        <f aca="false">IFERROR(MEDIAN(Cleaned!$BW$2:$BW$125),"")</f>
        <v>2025</v>
      </c>
      <c r="E1460" s="12" t="n">
        <f aca="false">IFERROR(MIN(Cleaned!$BW$2:$BW$125),"")</f>
        <v>2006</v>
      </c>
      <c r="F1460" s="12" t="n">
        <f aca="false">IFERROR(MAX(Cleaned!$BW$2:$BW$125),"")</f>
        <v>2025</v>
      </c>
    </row>
    <row r="1461" customFormat="false" ht="15" hidden="false" customHeight="false" outlineLevel="0" collapsed="false">
      <c r="A1461" s="11" t="s">
        <v>697</v>
      </c>
      <c r="B1461" s="9" t="s">
        <v>739</v>
      </c>
      <c r="C1461" s="9" t="s">
        <v>735</v>
      </c>
    </row>
    <row r="1462" customFormat="false" ht="15" hidden="false" customHeight="false" outlineLevel="0" collapsed="false">
      <c r="A1462" s="12" t="s">
        <v>698</v>
      </c>
      <c r="B1462" s="12" t="n">
        <f aca="false">COUNTIFS(Cleaned!$C$2:$C$125,1,Cleaned!BW$2:BW$125,"&lt;&gt;")</f>
        <v>8</v>
      </c>
      <c r="C1462" s="15" t="n">
        <f aca="false">IF(B1462=0,"",AVERAGEIF(Cleaned!$C$2:$C$125,1,Cleaned!BW$2:BW$125))</f>
        <v>2023</v>
      </c>
    </row>
    <row r="1463" customFormat="false" ht="15" hidden="false" customHeight="false" outlineLevel="0" collapsed="false">
      <c r="A1463" s="12" t="s">
        <v>699</v>
      </c>
      <c r="B1463" s="12" t="n">
        <f aca="false">COUNTIFS(Cleaned!$C$2:$C$125,2,Cleaned!BW$2:BW$125,"&lt;&gt;")</f>
        <v>8</v>
      </c>
      <c r="C1463" s="15" t="n">
        <f aca="false">IF(B1463=0,"",AVERAGEIF(Cleaned!$C$2:$C$125,2,Cleaned!BW$2:BW$125))</f>
        <v>2024.625</v>
      </c>
    </row>
    <row r="1464" customFormat="false" ht="15" hidden="false" customHeight="false" outlineLevel="0" collapsed="false">
      <c r="A1464" s="12" t="s">
        <v>700</v>
      </c>
      <c r="B1464" s="12" t="n">
        <f aca="false">COUNTIFS(Cleaned!$C$2:$C$125,3,Cleaned!BW$2:BW$125,"&lt;&gt;")</f>
        <v>7</v>
      </c>
      <c r="C1464" s="15" t="n">
        <f aca="false">IF(B1464=0,"",AVERAGEIF(Cleaned!$C$2:$C$125,3,Cleaned!BW$2:BW$125))</f>
        <v>2024.85714285714</v>
      </c>
    </row>
    <row r="1465" customFormat="false" ht="15" hidden="false" customHeight="false" outlineLevel="0" collapsed="false">
      <c r="A1465" s="12" t="s">
        <v>701</v>
      </c>
      <c r="B1465" s="12" t="n">
        <f aca="false">COUNTIFS(Cleaned!$C$2:$C$125,4,Cleaned!BW$2:BW$125,"&lt;&gt;")</f>
        <v>9</v>
      </c>
      <c r="C1465" s="15" t="n">
        <f aca="false">IF(B1465=0,"",AVERAGEIF(Cleaned!$C$2:$C$125,4,Cleaned!BW$2:BW$125))</f>
        <v>2022</v>
      </c>
    </row>
    <row r="1466" customFormat="false" ht="15" hidden="false" customHeight="false" outlineLevel="0" collapsed="false">
      <c r="A1466" s="12" t="s">
        <v>702</v>
      </c>
      <c r="B1466" s="12" t="n">
        <f aca="false">COUNTIFS(Cleaned!$C$2:$C$125,5,Cleaned!BW$2:BW$125,"&lt;&gt;")</f>
        <v>18</v>
      </c>
      <c r="C1466" s="15" t="n">
        <f aca="false">IF(B1466=0,"",AVERAGEIF(Cleaned!$C$2:$C$125,5,Cleaned!BW$2:BW$125))</f>
        <v>2024.94444444444</v>
      </c>
    </row>
    <row r="1467" customFormat="false" ht="15" hidden="false" customHeight="false" outlineLevel="0" collapsed="false">
      <c r="A1467" s="11" t="s">
        <v>3</v>
      </c>
      <c r="B1467" s="9" t="s">
        <v>739</v>
      </c>
      <c r="C1467" s="9" t="s">
        <v>735</v>
      </c>
    </row>
    <row r="1468" customFormat="false" ht="15" hidden="false" customHeight="false" outlineLevel="0" collapsed="false">
      <c r="A1468" s="12" t="s">
        <v>704</v>
      </c>
      <c r="B1468" s="12" t="n">
        <f aca="false">COUNTIFS(Cleaned!$D$2:$D$125,1,Cleaned!BW$2:BW$125,"&lt;&gt;")</f>
        <v>4</v>
      </c>
      <c r="C1468" s="15" t="n">
        <f aca="false">IF(B1468=0,"",AVERAGEIF(Cleaned!$D$2:$D$125,1,Cleaned!BW$2:BW$125))</f>
        <v>2025</v>
      </c>
    </row>
    <row r="1469" customFormat="false" ht="15" hidden="false" customHeight="false" outlineLevel="0" collapsed="false">
      <c r="A1469" s="12" t="s">
        <v>705</v>
      </c>
      <c r="B1469" s="12" t="n">
        <f aca="false">COUNTIFS(Cleaned!$D$2:$D$125,2,Cleaned!BW$2:BW$125,"&lt;&gt;")</f>
        <v>11</v>
      </c>
      <c r="C1469" s="15" t="n">
        <f aca="false">IF(B1469=0,"",AVERAGEIF(Cleaned!$D$2:$D$125,2,Cleaned!BW$2:BW$125))</f>
        <v>2024.90909090909</v>
      </c>
    </row>
    <row r="1470" customFormat="false" ht="15" hidden="false" customHeight="false" outlineLevel="0" collapsed="false">
      <c r="A1470" s="12" t="s">
        <v>706</v>
      </c>
      <c r="B1470" s="12" t="n">
        <f aca="false">COUNTIFS(Cleaned!$D$2:$D$125,3,Cleaned!BW$2:BW$125,"&lt;&gt;")</f>
        <v>8</v>
      </c>
      <c r="C1470" s="15" t="n">
        <f aca="false">IF(B1470=0,"",AVERAGEIF(Cleaned!$D$2:$D$125,3,Cleaned!BW$2:BW$125))</f>
        <v>2025</v>
      </c>
    </row>
    <row r="1471" customFormat="false" ht="15" hidden="false" customHeight="false" outlineLevel="0" collapsed="false">
      <c r="A1471" s="12" t="s">
        <v>707</v>
      </c>
      <c r="B1471" s="12" t="n">
        <f aca="false">COUNTIFS(Cleaned!$D$2:$D$125,4,Cleaned!BW$2:BW$125,"&lt;&gt;")</f>
        <v>5</v>
      </c>
      <c r="C1471" s="15" t="n">
        <f aca="false">IF(B1471=0,"",AVERAGEIF(Cleaned!$D$2:$D$125,4,Cleaned!BW$2:BW$125))</f>
        <v>2024.4</v>
      </c>
    </row>
    <row r="1472" customFormat="false" ht="15" hidden="false" customHeight="false" outlineLevel="0" collapsed="false">
      <c r="A1472" s="12" t="s">
        <v>708</v>
      </c>
      <c r="B1472" s="12" t="n">
        <f aca="false">COUNTIFS(Cleaned!$D$2:$D$125,5,Cleaned!BW$2:BW$125,"&lt;&gt;")</f>
        <v>0</v>
      </c>
      <c r="C1472" s="15" t="str">
        <f aca="false">IF(B1472=0,"",AVERAGEIF(Cleaned!$D$2:$D$125,5,Cleaned!BW$2:BW$125))</f>
        <v/>
      </c>
    </row>
    <row r="1473" customFormat="false" ht="15" hidden="false" customHeight="false" outlineLevel="0" collapsed="false">
      <c r="A1473" s="12" t="s">
        <v>709</v>
      </c>
      <c r="B1473" s="12" t="n">
        <f aca="false">COUNTIFS(Cleaned!$D$2:$D$125,6,Cleaned!BW$2:BW$125,"&lt;&gt;")</f>
        <v>2</v>
      </c>
      <c r="C1473" s="15" t="n">
        <f aca="false">IF(B1473=0,"",AVERAGEIF(Cleaned!$D$2:$D$125,6,Cleaned!BW$2:BW$125))</f>
        <v>2014.5</v>
      </c>
    </row>
    <row r="1474" customFormat="false" ht="15" hidden="false" customHeight="false" outlineLevel="0" collapsed="false">
      <c r="A1474" s="12" t="s">
        <v>710</v>
      </c>
      <c r="B1474" s="12" t="n">
        <f aca="false">COUNTIFS(Cleaned!$D$2:$D$125,7,Cleaned!BW$2:BW$125,"&lt;&gt;")</f>
        <v>6</v>
      </c>
      <c r="C1474" s="15" t="n">
        <f aca="false">IF(B1474=0,"",AVERAGEIF(Cleaned!$D$2:$D$125,7,Cleaned!BW$2:BW$125))</f>
        <v>2024.83333333333</v>
      </c>
    </row>
    <row r="1475" customFormat="false" ht="15" hidden="false" customHeight="false" outlineLevel="0" collapsed="false">
      <c r="A1475" s="12" t="s">
        <v>711</v>
      </c>
      <c r="B1475" s="12" t="n">
        <f aca="false">COUNTIFS(Cleaned!$D$2:$D$125,8,Cleaned!BW$2:BW$125,"&lt;&gt;")</f>
        <v>3</v>
      </c>
      <c r="C1475" s="15" t="n">
        <f aca="false">IF(B1475=0,"",AVERAGEIF(Cleaned!$D$2:$D$125,8,Cleaned!BW$2:BW$125))</f>
        <v>2023.33333333333</v>
      </c>
    </row>
    <row r="1476" customFormat="false" ht="15" hidden="false" customHeight="false" outlineLevel="0" collapsed="false">
      <c r="A1476" s="12" t="s">
        <v>712</v>
      </c>
      <c r="B1476" s="12" t="n">
        <f aca="false">COUNTIFS(Cleaned!$D$2:$D$125,9,Cleaned!BW$2:BW$125,"&lt;&gt;")</f>
        <v>2</v>
      </c>
      <c r="C1476" s="15" t="n">
        <f aca="false">IF(B1476=0,"",AVERAGEIF(Cleaned!$D$2:$D$125,9,Cleaned!BW$2:BW$125))</f>
        <v>2022</v>
      </c>
    </row>
    <row r="1477" customFormat="false" ht="15" hidden="false" customHeight="false" outlineLevel="0" collapsed="false">
      <c r="A1477" s="12" t="s">
        <v>713</v>
      </c>
      <c r="B1477" s="12" t="n">
        <f aca="false">COUNTIFS(Cleaned!$D$2:$D$125,10,Cleaned!BW$2:BW$125,"&lt;&gt;")</f>
        <v>0</v>
      </c>
      <c r="C1477" s="15" t="str">
        <f aca="false">IF(B1477=0,"",AVERAGEIF(Cleaned!$D$2:$D$125,10,Cleaned!BW$2:BW$125))</f>
        <v/>
      </c>
    </row>
    <row r="1478" customFormat="false" ht="15" hidden="false" customHeight="false" outlineLevel="0" collapsed="false">
      <c r="A1478" s="12" t="s">
        <v>714</v>
      </c>
      <c r="B1478" s="12" t="n">
        <f aca="false">COUNTIFS(Cleaned!$D$2:$D$125,11,Cleaned!BW$2:BW$125,"&lt;&gt;")</f>
        <v>5</v>
      </c>
      <c r="C1478" s="15" t="n">
        <f aca="false">IF(B1478=0,"",AVERAGEIF(Cleaned!$D$2:$D$125,11,Cleaned!BW$2:BW$125))</f>
        <v>2023.2</v>
      </c>
    </row>
    <row r="1479" customFormat="false" ht="15" hidden="false" customHeight="false" outlineLevel="0" collapsed="false">
      <c r="A1479" s="12" t="s">
        <v>715</v>
      </c>
      <c r="B1479" s="12" t="n">
        <f aca="false">COUNTIFS(Cleaned!$D$2:$D$125,12,Cleaned!BW$2:BW$125,"&lt;&gt;")</f>
        <v>4</v>
      </c>
      <c r="C1479" s="15" t="n">
        <f aca="false">IF(B1479=0,"",AVERAGEIF(Cleaned!$D$2:$D$125,12,Cleaned!BW$2:BW$125))</f>
        <v>2024.5</v>
      </c>
    </row>
    <row r="1482" customFormat="false" ht="15" hidden="false" customHeight="false" outlineLevel="0" collapsed="false">
      <c r="A1482" s="6" t="s">
        <v>75</v>
      </c>
      <c r="B1482" s="7" t="s">
        <v>792</v>
      </c>
    </row>
    <row r="1483" customFormat="false" ht="15" hidden="false" customHeight="false" outlineLevel="0" collapsed="false">
      <c r="A1483" s="8"/>
      <c r="B1483" s="9" t="s">
        <v>793</v>
      </c>
      <c r="C1483" s="8"/>
      <c r="D1483" s="9" t="s">
        <v>694</v>
      </c>
    </row>
    <row r="1484" customFormat="false" ht="15" hidden="false" customHeight="false" outlineLevel="0" collapsed="false">
      <c r="B1484" s="10" t="s">
        <v>695</v>
      </c>
      <c r="C1484" s="10" t="s">
        <v>696</v>
      </c>
    </row>
    <row r="1485" customFormat="false" ht="15" hidden="false" customHeight="false" outlineLevel="0" collapsed="false">
      <c r="A1485" s="11" t="s">
        <v>697</v>
      </c>
    </row>
    <row r="1486" customFormat="false" ht="15" hidden="false" customHeight="false" outlineLevel="0" collapsed="false">
      <c r="A1486" s="12" t="s">
        <v>698</v>
      </c>
      <c r="B1486" s="12" t="n">
        <f aca="false">COUNTIFS(Cleaned!$C$2:$C$125,1,Cleaned!BX$2:BX$125,1)</f>
        <v>8</v>
      </c>
      <c r="C1486" s="13" t="n">
        <f aca="false">IFERROR(B1486/$D1486,"")</f>
        <v>1</v>
      </c>
      <c r="D1486" s="12" t="n">
        <f aca="false">B1486</f>
        <v>8</v>
      </c>
    </row>
    <row r="1487" customFormat="false" ht="15" hidden="false" customHeight="false" outlineLevel="0" collapsed="false">
      <c r="A1487" s="12" t="s">
        <v>699</v>
      </c>
      <c r="B1487" s="12" t="n">
        <f aca="false">COUNTIFS(Cleaned!$C$2:$C$125,2,Cleaned!BX$2:BX$125,1)</f>
        <v>8</v>
      </c>
      <c r="C1487" s="13" t="n">
        <f aca="false">IFERROR(B1487/$D1487,"")</f>
        <v>1</v>
      </c>
      <c r="D1487" s="12" t="n">
        <f aca="false">B1487</f>
        <v>8</v>
      </c>
    </row>
    <row r="1488" customFormat="false" ht="15" hidden="false" customHeight="false" outlineLevel="0" collapsed="false">
      <c r="A1488" s="12" t="s">
        <v>700</v>
      </c>
      <c r="B1488" s="12" t="n">
        <f aca="false">COUNTIFS(Cleaned!$C$2:$C$125,3,Cleaned!BX$2:BX$125,1)</f>
        <v>11</v>
      </c>
      <c r="C1488" s="13" t="n">
        <f aca="false">IFERROR(B1488/$D1488,"")</f>
        <v>1</v>
      </c>
      <c r="D1488" s="12" t="n">
        <f aca="false">B1488</f>
        <v>11</v>
      </c>
    </row>
    <row r="1489" customFormat="false" ht="15" hidden="false" customHeight="false" outlineLevel="0" collapsed="false">
      <c r="A1489" s="12" t="s">
        <v>701</v>
      </c>
      <c r="B1489" s="12" t="n">
        <f aca="false">COUNTIFS(Cleaned!$C$2:$C$125,4,Cleaned!BX$2:BX$125,1)</f>
        <v>10</v>
      </c>
      <c r="C1489" s="13" t="n">
        <f aca="false">IFERROR(B1489/$D1489,"")</f>
        <v>1</v>
      </c>
      <c r="D1489" s="12" t="n">
        <f aca="false">B1489</f>
        <v>10</v>
      </c>
    </row>
    <row r="1490" customFormat="false" ht="15" hidden="false" customHeight="false" outlineLevel="0" collapsed="false">
      <c r="A1490" s="12" t="s">
        <v>702</v>
      </c>
      <c r="B1490" s="12" t="n">
        <f aca="false">COUNTIFS(Cleaned!$C$2:$C$125,5,Cleaned!BX$2:BX$125,1)</f>
        <v>18</v>
      </c>
      <c r="C1490" s="13" t="n">
        <f aca="false">IFERROR(B1490/$D1490,"")</f>
        <v>1</v>
      </c>
      <c r="D1490" s="12" t="n">
        <f aca="false">B1490</f>
        <v>18</v>
      </c>
    </row>
    <row r="1491" customFormat="false" ht="15" hidden="false" customHeight="false" outlineLevel="0" collapsed="false">
      <c r="A1491" s="11" t="s">
        <v>703</v>
      </c>
      <c r="B1491" s="11" t="n">
        <f aca="false">SUM(B1486:B1490)</f>
        <v>55</v>
      </c>
      <c r="C1491" s="14" t="n">
        <f aca="false">IFERROR(B1491/$D1491,"")</f>
        <v>1</v>
      </c>
      <c r="D1491" s="11" t="n">
        <f aca="false">SUM(D1486:D1490)</f>
        <v>55</v>
      </c>
    </row>
    <row r="1492" customFormat="false" ht="15" hidden="false" customHeight="false" outlineLevel="0" collapsed="false">
      <c r="A1492" s="11" t="s">
        <v>3</v>
      </c>
    </row>
    <row r="1493" customFormat="false" ht="15" hidden="false" customHeight="false" outlineLevel="0" collapsed="false">
      <c r="A1493" s="12" t="s">
        <v>704</v>
      </c>
      <c r="B1493" s="12" t="n">
        <f aca="false">COUNTIFS(Cleaned!$D$2:$D$125,1,Cleaned!BX$2:BX$125,1)</f>
        <v>4</v>
      </c>
      <c r="C1493" s="13" t="n">
        <f aca="false">IFERROR(B1493/$D1493,"")</f>
        <v>1</v>
      </c>
      <c r="D1493" s="12" t="n">
        <f aca="false">B1493</f>
        <v>4</v>
      </c>
    </row>
    <row r="1494" customFormat="false" ht="15" hidden="false" customHeight="false" outlineLevel="0" collapsed="false">
      <c r="A1494" s="12" t="s">
        <v>705</v>
      </c>
      <c r="B1494" s="12" t="n">
        <f aca="false">COUNTIFS(Cleaned!$D$2:$D$125,2,Cleaned!BX$2:BX$125,1)</f>
        <v>12</v>
      </c>
      <c r="C1494" s="13" t="n">
        <f aca="false">IFERROR(B1494/$D1494,"")</f>
        <v>1</v>
      </c>
      <c r="D1494" s="12" t="n">
        <f aca="false">B1494</f>
        <v>12</v>
      </c>
    </row>
    <row r="1495" customFormat="false" ht="15" hidden="false" customHeight="false" outlineLevel="0" collapsed="false">
      <c r="A1495" s="12" t="s">
        <v>706</v>
      </c>
      <c r="B1495" s="12" t="n">
        <f aca="false">COUNTIFS(Cleaned!$D$2:$D$125,3,Cleaned!BX$2:BX$125,1)</f>
        <v>8</v>
      </c>
      <c r="C1495" s="13" t="n">
        <f aca="false">IFERROR(B1495/$D1495,"")</f>
        <v>1</v>
      </c>
      <c r="D1495" s="12" t="n">
        <f aca="false">B1495</f>
        <v>8</v>
      </c>
    </row>
    <row r="1496" customFormat="false" ht="15" hidden="false" customHeight="false" outlineLevel="0" collapsed="false">
      <c r="A1496" s="12" t="s">
        <v>707</v>
      </c>
      <c r="B1496" s="12" t="n">
        <f aca="false">COUNTIFS(Cleaned!$D$2:$D$125,4,Cleaned!BX$2:BX$125,1)</f>
        <v>6</v>
      </c>
      <c r="C1496" s="13" t="n">
        <f aca="false">IFERROR(B1496/$D1496,"")</f>
        <v>1</v>
      </c>
      <c r="D1496" s="12" t="n">
        <f aca="false">B1496</f>
        <v>6</v>
      </c>
    </row>
    <row r="1497" customFormat="false" ht="15" hidden="false" customHeight="false" outlineLevel="0" collapsed="false">
      <c r="A1497" s="12" t="s">
        <v>708</v>
      </c>
      <c r="B1497" s="12" t="n">
        <f aca="false">COUNTIFS(Cleaned!$D$2:$D$125,5,Cleaned!BX$2:BX$125,1)</f>
        <v>1</v>
      </c>
      <c r="C1497" s="13" t="n">
        <f aca="false">IFERROR(B1497/$D1497,"")</f>
        <v>1</v>
      </c>
      <c r="D1497" s="12" t="n">
        <f aca="false">B1497</f>
        <v>1</v>
      </c>
    </row>
    <row r="1498" customFormat="false" ht="15" hidden="false" customHeight="false" outlineLevel="0" collapsed="false">
      <c r="A1498" s="12" t="s">
        <v>709</v>
      </c>
      <c r="B1498" s="12" t="n">
        <f aca="false">COUNTIFS(Cleaned!$D$2:$D$125,6,Cleaned!BX$2:BX$125,1)</f>
        <v>2</v>
      </c>
      <c r="C1498" s="13" t="n">
        <f aca="false">IFERROR(B1498/$D1498,"")</f>
        <v>1</v>
      </c>
      <c r="D1498" s="12" t="n">
        <f aca="false">B1498</f>
        <v>2</v>
      </c>
    </row>
    <row r="1499" customFormat="false" ht="15" hidden="false" customHeight="false" outlineLevel="0" collapsed="false">
      <c r="A1499" s="12" t="s">
        <v>710</v>
      </c>
      <c r="B1499" s="12" t="n">
        <f aca="false">COUNTIFS(Cleaned!$D$2:$D$125,7,Cleaned!BX$2:BX$125,1)</f>
        <v>7</v>
      </c>
      <c r="C1499" s="13" t="n">
        <f aca="false">IFERROR(B1499/$D1499,"")</f>
        <v>1</v>
      </c>
      <c r="D1499" s="12" t="n">
        <f aca="false">B1499</f>
        <v>7</v>
      </c>
    </row>
    <row r="1500" customFormat="false" ht="15" hidden="false" customHeight="false" outlineLevel="0" collapsed="false">
      <c r="A1500" s="12" t="s">
        <v>711</v>
      </c>
      <c r="B1500" s="12" t="n">
        <f aca="false">COUNTIFS(Cleaned!$D$2:$D$125,8,Cleaned!BX$2:BX$125,1)</f>
        <v>3</v>
      </c>
      <c r="C1500" s="13" t="n">
        <f aca="false">IFERROR(B1500/$D1500,"")</f>
        <v>1</v>
      </c>
      <c r="D1500" s="12" t="n">
        <f aca="false">B1500</f>
        <v>3</v>
      </c>
    </row>
    <row r="1501" customFormat="false" ht="15" hidden="false" customHeight="false" outlineLevel="0" collapsed="false">
      <c r="A1501" s="12" t="s">
        <v>712</v>
      </c>
      <c r="B1501" s="12" t="n">
        <f aca="false">COUNTIFS(Cleaned!$D$2:$D$125,9,Cleaned!BX$2:BX$125,1)</f>
        <v>2</v>
      </c>
      <c r="C1501" s="13" t="n">
        <f aca="false">IFERROR(B1501/$D1501,"")</f>
        <v>1</v>
      </c>
      <c r="D1501" s="12" t="n">
        <f aca="false">B1501</f>
        <v>2</v>
      </c>
    </row>
    <row r="1502" customFormat="false" ht="15" hidden="false" customHeight="false" outlineLevel="0" collapsed="false">
      <c r="A1502" s="12" t="s">
        <v>713</v>
      </c>
      <c r="B1502" s="12" t="n">
        <f aca="false">COUNTIFS(Cleaned!$D$2:$D$125,10,Cleaned!BX$2:BX$125,1)</f>
        <v>0</v>
      </c>
      <c r="C1502" s="13" t="str">
        <f aca="false">IFERROR(B1502/$D1502,"")</f>
        <v/>
      </c>
      <c r="D1502" s="12" t="n">
        <f aca="false">B1502</f>
        <v>0</v>
      </c>
    </row>
    <row r="1503" customFormat="false" ht="15" hidden="false" customHeight="false" outlineLevel="0" collapsed="false">
      <c r="A1503" s="12" t="s">
        <v>714</v>
      </c>
      <c r="B1503" s="12" t="n">
        <f aca="false">COUNTIFS(Cleaned!$D$2:$D$125,11,Cleaned!BX$2:BX$125,1)</f>
        <v>6</v>
      </c>
      <c r="C1503" s="13" t="n">
        <f aca="false">IFERROR(B1503/$D1503,"")</f>
        <v>1</v>
      </c>
      <c r="D1503" s="12" t="n">
        <f aca="false">B1503</f>
        <v>6</v>
      </c>
    </row>
    <row r="1504" customFormat="false" ht="15" hidden="false" customHeight="false" outlineLevel="0" collapsed="false">
      <c r="A1504" s="12" t="s">
        <v>715</v>
      </c>
      <c r="B1504" s="12" t="n">
        <f aca="false">COUNTIFS(Cleaned!$D$2:$D$125,12,Cleaned!BX$2:BX$125,1)</f>
        <v>4</v>
      </c>
      <c r="C1504" s="13" t="n">
        <f aca="false">IFERROR(B1504/$D1504,"")</f>
        <v>1</v>
      </c>
      <c r="D1504" s="12" t="n">
        <f aca="false">B1504</f>
        <v>4</v>
      </c>
    </row>
    <row r="1505" customFormat="false" ht="15" hidden="false" customHeight="false" outlineLevel="0" collapsed="false">
      <c r="A1505" s="11" t="s">
        <v>716</v>
      </c>
      <c r="B1505" s="11" t="n">
        <f aca="false">SUM(B1493:B1504)</f>
        <v>55</v>
      </c>
      <c r="C1505" s="14" t="n">
        <f aca="false">IFERROR(B1505/$D1505,"")</f>
        <v>1</v>
      </c>
      <c r="D1505" s="11" t="n">
        <f aca="false">SUM(D1493:D1504)</f>
        <v>55</v>
      </c>
    </row>
    <row r="1508" customFormat="false" ht="15" hidden="false" customHeight="false" outlineLevel="0" collapsed="false">
      <c r="A1508" s="6" t="s">
        <v>76</v>
      </c>
      <c r="B1508" s="7" t="s">
        <v>794</v>
      </c>
    </row>
    <row r="1509" customFormat="false" ht="15" hidden="false" customHeight="false" outlineLevel="0" collapsed="false">
      <c r="A1509" s="11" t="s">
        <v>734</v>
      </c>
      <c r="B1509" s="9" t="s">
        <v>694</v>
      </c>
      <c r="C1509" s="9" t="s">
        <v>735</v>
      </c>
      <c r="D1509" s="9" t="s">
        <v>736</v>
      </c>
      <c r="E1509" s="9" t="s">
        <v>737</v>
      </c>
      <c r="F1509" s="9" t="s">
        <v>738</v>
      </c>
    </row>
    <row r="1510" customFormat="false" ht="15" hidden="false" customHeight="false" outlineLevel="0" collapsed="false">
      <c r="B1510" s="12" t="n">
        <f aca="false">COUNT(Cleaned!$BY$2:$BY$125)</f>
        <v>51</v>
      </c>
      <c r="C1510" s="12" t="n">
        <f aca="false">IFERROR(AVERAGE(Cleaned!$BY$2:$BY$125),"")</f>
        <v>5.68754705882353</v>
      </c>
      <c r="D1510" s="12" t="n">
        <f aca="false">IFERROR(MEDIAN(Cleaned!$BY$2:$BY$125),"")</f>
        <v>2.2</v>
      </c>
      <c r="E1510" s="12" t="n">
        <f aca="false">IFERROR(MIN(Cleaned!$BY$2:$BY$125),"")</f>
        <v>0.0009</v>
      </c>
      <c r="F1510" s="12" t="n">
        <f aca="false">IFERROR(MAX(Cleaned!$BY$2:$BY$125),"")</f>
        <v>65</v>
      </c>
    </row>
    <row r="1511" customFormat="false" ht="15" hidden="false" customHeight="false" outlineLevel="0" collapsed="false">
      <c r="A1511" s="11" t="s">
        <v>697</v>
      </c>
      <c r="B1511" s="9" t="s">
        <v>739</v>
      </c>
      <c r="C1511" s="9" t="s">
        <v>735</v>
      </c>
    </row>
    <row r="1512" customFormat="false" ht="15" hidden="false" customHeight="false" outlineLevel="0" collapsed="false">
      <c r="A1512" s="12" t="s">
        <v>698</v>
      </c>
      <c r="B1512" s="12" t="n">
        <f aca="false">COUNTIFS(Cleaned!$C$2:$C$125,1,Cleaned!BY$2:BY$125,"&lt;&gt;")</f>
        <v>8</v>
      </c>
      <c r="C1512" s="15" t="n">
        <f aca="false">IF(B1512=0,"",AVERAGEIF(Cleaned!$C$2:$C$125,1,Cleaned!BY$2:BY$125))</f>
        <v>8.586875</v>
      </c>
    </row>
    <row r="1513" customFormat="false" ht="15" hidden="false" customHeight="false" outlineLevel="0" collapsed="false">
      <c r="A1513" s="12" t="s">
        <v>699</v>
      </c>
      <c r="B1513" s="12" t="n">
        <f aca="false">COUNTIFS(Cleaned!$C$2:$C$125,2,Cleaned!BY$2:BY$125,"&lt;&gt;")</f>
        <v>8</v>
      </c>
      <c r="C1513" s="15" t="n">
        <f aca="false">IF(B1513=0,"",AVERAGEIF(Cleaned!$C$2:$C$125,2,Cleaned!BY$2:BY$125))</f>
        <v>9.25</v>
      </c>
    </row>
    <row r="1514" customFormat="false" ht="15" hidden="false" customHeight="false" outlineLevel="0" collapsed="false">
      <c r="A1514" s="12" t="s">
        <v>700</v>
      </c>
      <c r="B1514" s="12" t="n">
        <f aca="false">COUNTIFS(Cleaned!$C$2:$C$125,3,Cleaned!BY$2:BY$125,"&lt;&gt;")</f>
        <v>11</v>
      </c>
      <c r="C1514" s="15" t="n">
        <f aca="false">IF(B1514=0,"",AVERAGEIF(Cleaned!$C$2:$C$125,3,Cleaned!BY$2:BY$125))</f>
        <v>6.62444545454545</v>
      </c>
    </row>
    <row r="1515" customFormat="false" ht="15" hidden="false" customHeight="false" outlineLevel="0" collapsed="false">
      <c r="A1515" s="12" t="s">
        <v>701</v>
      </c>
      <c r="B1515" s="12" t="n">
        <f aca="false">COUNTIFS(Cleaned!$C$2:$C$125,4,Cleaned!BY$2:BY$125,"&lt;&gt;")</f>
        <v>8</v>
      </c>
      <c r="C1515" s="15" t="n">
        <f aca="false">IF(B1515=0,"",AVERAGEIF(Cleaned!$C$2:$C$125,4,Cleaned!BY$2:BY$125))</f>
        <v>3.16</v>
      </c>
    </row>
    <row r="1516" customFormat="false" ht="15" hidden="false" customHeight="false" outlineLevel="0" collapsed="false">
      <c r="A1516" s="12" t="s">
        <v>702</v>
      </c>
      <c r="B1516" s="12" t="n">
        <f aca="false">COUNTIFS(Cleaned!$C$2:$C$125,5,Cleaned!BY$2:BY$125,"&lt;&gt;")</f>
        <v>16</v>
      </c>
      <c r="C1516" s="15" t="n">
        <f aca="false">IF(B1516=0,"",AVERAGEIF(Cleaned!$C$2:$C$125,5,Cleaned!BY$2:BY$125))</f>
        <v>3.0763125</v>
      </c>
    </row>
    <row r="1517" customFormat="false" ht="15" hidden="false" customHeight="false" outlineLevel="0" collapsed="false">
      <c r="A1517" s="11" t="s">
        <v>3</v>
      </c>
      <c r="B1517" s="9" t="s">
        <v>739</v>
      </c>
      <c r="C1517" s="9" t="s">
        <v>735</v>
      </c>
    </row>
    <row r="1518" customFormat="false" ht="15" hidden="false" customHeight="false" outlineLevel="0" collapsed="false">
      <c r="A1518" s="12" t="s">
        <v>704</v>
      </c>
      <c r="B1518" s="12" t="n">
        <f aca="false">COUNTIFS(Cleaned!$D$2:$D$125,1,Cleaned!BY$2:BY$125,"&lt;&gt;")</f>
        <v>4</v>
      </c>
      <c r="C1518" s="15" t="n">
        <f aca="false">IF(B1518=0,"",AVERAGEIF(Cleaned!$D$2:$D$125,1,Cleaned!BY$2:BY$125))</f>
        <v>12.002</v>
      </c>
    </row>
    <row r="1519" customFormat="false" ht="15" hidden="false" customHeight="false" outlineLevel="0" collapsed="false">
      <c r="A1519" s="12" t="s">
        <v>705</v>
      </c>
      <c r="B1519" s="12" t="n">
        <f aca="false">COUNTIFS(Cleaned!$D$2:$D$125,2,Cleaned!BY$2:BY$125,"&lt;&gt;")</f>
        <v>10</v>
      </c>
      <c r="C1519" s="15" t="n">
        <f aca="false">IF(B1519=0,"",AVERAGEIF(Cleaned!$D$2:$D$125,2,Cleaned!BY$2:BY$125))</f>
        <v>2.9031</v>
      </c>
    </row>
    <row r="1520" customFormat="false" ht="15" hidden="false" customHeight="false" outlineLevel="0" collapsed="false">
      <c r="A1520" s="12" t="s">
        <v>706</v>
      </c>
      <c r="B1520" s="12" t="n">
        <f aca="false">COUNTIFS(Cleaned!$D$2:$D$125,3,Cleaned!BY$2:BY$125,"&lt;&gt;")</f>
        <v>8</v>
      </c>
      <c r="C1520" s="15" t="n">
        <f aca="false">IF(B1520=0,"",AVERAGEIF(Cleaned!$D$2:$D$125,3,Cleaned!BY$2:BY$125))</f>
        <v>3.45125</v>
      </c>
    </row>
    <row r="1521" customFormat="false" ht="15" hidden="false" customHeight="false" outlineLevel="0" collapsed="false">
      <c r="A1521" s="12" t="s">
        <v>707</v>
      </c>
      <c r="B1521" s="12" t="n">
        <f aca="false">COUNTIFS(Cleaned!$D$2:$D$125,4,Cleaned!BY$2:BY$125,"&lt;&gt;")</f>
        <v>6</v>
      </c>
      <c r="C1521" s="15" t="n">
        <f aca="false">IF(B1521=0,"",AVERAGEIF(Cleaned!$D$2:$D$125,4,Cleaned!BY$2:BY$125))</f>
        <v>2.01</v>
      </c>
    </row>
    <row r="1522" customFormat="false" ht="15" hidden="false" customHeight="false" outlineLevel="0" collapsed="false">
      <c r="A1522" s="12" t="s">
        <v>708</v>
      </c>
      <c r="B1522" s="12" t="n">
        <f aca="false">COUNTIFS(Cleaned!$D$2:$D$125,5,Cleaned!BY$2:BY$125,"&lt;&gt;")</f>
        <v>1</v>
      </c>
      <c r="C1522" s="15" t="n">
        <f aca="false">IF(B1522=0,"",AVERAGEIF(Cleaned!$D$2:$D$125,5,Cleaned!BY$2:BY$125))</f>
        <v>0.05</v>
      </c>
    </row>
    <row r="1523" customFormat="false" ht="15" hidden="false" customHeight="false" outlineLevel="0" collapsed="false">
      <c r="A1523" s="12" t="s">
        <v>709</v>
      </c>
      <c r="B1523" s="12" t="n">
        <f aca="false">COUNTIFS(Cleaned!$D$2:$D$125,6,Cleaned!BY$2:BY$125,"&lt;&gt;")</f>
        <v>0</v>
      </c>
      <c r="C1523" s="15" t="str">
        <f aca="false">IF(B1523=0,"",AVERAGEIF(Cleaned!$D$2:$D$125,6,Cleaned!BY$2:BY$125))</f>
        <v/>
      </c>
    </row>
    <row r="1524" customFormat="false" ht="15" hidden="false" customHeight="false" outlineLevel="0" collapsed="false">
      <c r="A1524" s="12" t="s">
        <v>710</v>
      </c>
      <c r="B1524" s="12" t="n">
        <f aca="false">COUNTIFS(Cleaned!$D$2:$D$125,7,Cleaned!BY$2:BY$125,"&lt;&gt;")</f>
        <v>7</v>
      </c>
      <c r="C1524" s="15" t="n">
        <f aca="false">IF(B1524=0,"",AVERAGEIF(Cleaned!$D$2:$D$125,7,Cleaned!BY$2:BY$125))</f>
        <v>4.43012857142857</v>
      </c>
    </row>
    <row r="1525" customFormat="false" ht="15" hidden="false" customHeight="false" outlineLevel="0" collapsed="false">
      <c r="A1525" s="12" t="s">
        <v>711</v>
      </c>
      <c r="B1525" s="12" t="n">
        <f aca="false">COUNTIFS(Cleaned!$D$2:$D$125,8,Cleaned!BY$2:BY$125,"&lt;&gt;")</f>
        <v>3</v>
      </c>
      <c r="C1525" s="15" t="n">
        <f aca="false">IF(B1525=0,"",AVERAGEIF(Cleaned!$D$2:$D$125,8,Cleaned!BY$2:BY$125))</f>
        <v>0.713333333333333</v>
      </c>
    </row>
    <row r="1526" customFormat="false" ht="15" hidden="false" customHeight="false" outlineLevel="0" collapsed="false">
      <c r="A1526" s="12" t="s">
        <v>712</v>
      </c>
      <c r="B1526" s="12" t="n">
        <f aca="false">COUNTIFS(Cleaned!$D$2:$D$125,9,Cleaned!BY$2:BY$125,"&lt;&gt;")</f>
        <v>2</v>
      </c>
      <c r="C1526" s="15" t="n">
        <f aca="false">IF(B1526=0,"",AVERAGEIF(Cleaned!$D$2:$D$125,9,Cleaned!BY$2:BY$125))</f>
        <v>0.03</v>
      </c>
    </row>
    <row r="1527" customFormat="false" ht="15" hidden="false" customHeight="false" outlineLevel="0" collapsed="false">
      <c r="A1527" s="12" t="s">
        <v>713</v>
      </c>
      <c r="B1527" s="12" t="n">
        <f aca="false">COUNTIFS(Cleaned!$D$2:$D$125,10,Cleaned!BY$2:BY$125,"&lt;&gt;")</f>
        <v>0</v>
      </c>
      <c r="C1527" s="15" t="str">
        <f aca="false">IF(B1527=0,"",AVERAGEIF(Cleaned!$D$2:$D$125,10,Cleaned!BY$2:BY$125))</f>
        <v/>
      </c>
    </row>
    <row r="1528" customFormat="false" ht="15" hidden="false" customHeight="false" outlineLevel="0" collapsed="false">
      <c r="A1528" s="12" t="s">
        <v>714</v>
      </c>
      <c r="B1528" s="12" t="n">
        <f aca="false">COUNTIFS(Cleaned!$D$2:$D$125,11,Cleaned!BY$2:BY$125,"&lt;&gt;")</f>
        <v>6</v>
      </c>
      <c r="C1528" s="15" t="n">
        <f aca="false">IF(B1528=0,"",AVERAGEIF(Cleaned!$D$2:$D$125,11,Cleaned!BY$2:BY$125))</f>
        <v>12.0066666666667</v>
      </c>
    </row>
    <row r="1529" customFormat="false" ht="15" hidden="false" customHeight="false" outlineLevel="0" collapsed="false">
      <c r="A1529" s="12" t="s">
        <v>715</v>
      </c>
      <c r="B1529" s="12" t="n">
        <f aca="false">COUNTIFS(Cleaned!$D$2:$D$125,12,Cleaned!BY$2:BY$125,"&lt;&gt;")</f>
        <v>4</v>
      </c>
      <c r="C1529" s="15" t="n">
        <f aca="false">IF(B1529=0,"",AVERAGEIF(Cleaned!$D$2:$D$125,12,Cleaned!BY$2:BY$125))</f>
        <v>17.01375</v>
      </c>
    </row>
    <row r="1532" customFormat="false" ht="15" hidden="false" customHeight="false" outlineLevel="0" collapsed="false">
      <c r="A1532" s="6" t="s">
        <v>77</v>
      </c>
      <c r="B1532" s="7" t="s">
        <v>795</v>
      </c>
    </row>
    <row r="1533" customFormat="false" ht="15" hidden="false" customHeight="false" outlineLevel="0" collapsed="false">
      <c r="A1533" s="8"/>
      <c r="B1533" s="9" t="s">
        <v>718</v>
      </c>
      <c r="C1533" s="8"/>
      <c r="D1533" s="9" t="s">
        <v>719</v>
      </c>
      <c r="E1533" s="8"/>
      <c r="F1533" s="9" t="s">
        <v>694</v>
      </c>
    </row>
    <row r="1534" customFormat="false" ht="15" hidden="false" customHeight="false" outlineLevel="0" collapsed="false">
      <c r="B1534" s="10" t="s">
        <v>695</v>
      </c>
      <c r="C1534" s="10" t="s">
        <v>696</v>
      </c>
      <c r="D1534" s="10" t="s">
        <v>695</v>
      </c>
      <c r="E1534" s="10" t="s">
        <v>696</v>
      </c>
    </row>
    <row r="1535" customFormat="false" ht="15" hidden="false" customHeight="false" outlineLevel="0" collapsed="false">
      <c r="A1535" s="11" t="s">
        <v>697</v>
      </c>
    </row>
    <row r="1536" customFormat="false" ht="15" hidden="false" customHeight="false" outlineLevel="0" collapsed="false">
      <c r="A1536" s="12" t="s">
        <v>698</v>
      </c>
      <c r="B1536" s="12" t="n">
        <f aca="false">COUNTIFS(Cleaned!$C$2:$C$125,1,Cleaned!BZ$2:BZ$125,0)</f>
        <v>6</v>
      </c>
      <c r="C1536" s="13" t="n">
        <f aca="false">IFERROR(B1536/$F1536,"")</f>
        <v>0.75</v>
      </c>
      <c r="D1536" s="12" t="n">
        <f aca="false">COUNTIFS(Cleaned!$C$2:$C$125,1,Cleaned!BZ$2:BZ$125,1)</f>
        <v>2</v>
      </c>
      <c r="E1536" s="13" t="n">
        <f aca="false">IFERROR(D1536/$F1536,"")</f>
        <v>0.25</v>
      </c>
      <c r="F1536" s="12" t="n">
        <f aca="false">B1536+D1536</f>
        <v>8</v>
      </c>
    </row>
    <row r="1537" customFormat="false" ht="15" hidden="false" customHeight="false" outlineLevel="0" collapsed="false">
      <c r="A1537" s="12" t="s">
        <v>699</v>
      </c>
      <c r="B1537" s="12" t="n">
        <f aca="false">COUNTIFS(Cleaned!$C$2:$C$125,2,Cleaned!BZ$2:BZ$125,0)</f>
        <v>6</v>
      </c>
      <c r="C1537" s="13" t="n">
        <f aca="false">IFERROR(B1537/$F1537,"")</f>
        <v>0.75</v>
      </c>
      <c r="D1537" s="12" t="n">
        <f aca="false">COUNTIFS(Cleaned!$C$2:$C$125,2,Cleaned!BZ$2:BZ$125,1)</f>
        <v>2</v>
      </c>
      <c r="E1537" s="13" t="n">
        <f aca="false">IFERROR(D1537/$F1537,"")</f>
        <v>0.25</v>
      </c>
      <c r="F1537" s="12" t="n">
        <f aca="false">B1537+D1537</f>
        <v>8</v>
      </c>
    </row>
    <row r="1538" customFormat="false" ht="15" hidden="false" customHeight="false" outlineLevel="0" collapsed="false">
      <c r="A1538" s="12" t="s">
        <v>700</v>
      </c>
      <c r="B1538" s="12" t="n">
        <f aca="false">COUNTIFS(Cleaned!$C$2:$C$125,3,Cleaned!BZ$2:BZ$125,0)</f>
        <v>6</v>
      </c>
      <c r="C1538" s="13" t="n">
        <f aca="false">IFERROR(B1538/$F1538,"")</f>
        <v>0.545454545454545</v>
      </c>
      <c r="D1538" s="12" t="n">
        <f aca="false">COUNTIFS(Cleaned!$C$2:$C$125,3,Cleaned!BZ$2:BZ$125,1)</f>
        <v>5</v>
      </c>
      <c r="E1538" s="13" t="n">
        <f aca="false">IFERROR(D1538/$F1538,"")</f>
        <v>0.454545454545455</v>
      </c>
      <c r="F1538" s="12" t="n">
        <f aca="false">B1538+D1538</f>
        <v>11</v>
      </c>
    </row>
    <row r="1539" customFormat="false" ht="15" hidden="false" customHeight="false" outlineLevel="0" collapsed="false">
      <c r="A1539" s="12" t="s">
        <v>701</v>
      </c>
      <c r="B1539" s="12" t="n">
        <f aca="false">COUNTIFS(Cleaned!$C$2:$C$125,4,Cleaned!BZ$2:BZ$125,0)</f>
        <v>8</v>
      </c>
      <c r="C1539" s="13" t="n">
        <f aca="false">IFERROR(B1539/$F1539,"")</f>
        <v>0.8</v>
      </c>
      <c r="D1539" s="12" t="n">
        <f aca="false">COUNTIFS(Cleaned!$C$2:$C$125,4,Cleaned!BZ$2:BZ$125,1)</f>
        <v>2</v>
      </c>
      <c r="E1539" s="13" t="n">
        <f aca="false">IFERROR(D1539/$F1539,"")</f>
        <v>0.2</v>
      </c>
      <c r="F1539" s="12" t="n">
        <f aca="false">B1539+D1539</f>
        <v>10</v>
      </c>
    </row>
    <row r="1540" customFormat="false" ht="15" hidden="false" customHeight="false" outlineLevel="0" collapsed="false">
      <c r="A1540" s="12" t="s">
        <v>702</v>
      </c>
      <c r="B1540" s="12" t="n">
        <f aca="false">COUNTIFS(Cleaned!$C$2:$C$125,5,Cleaned!BZ$2:BZ$125,0)</f>
        <v>4</v>
      </c>
      <c r="C1540" s="13" t="n">
        <f aca="false">IFERROR(B1540/$F1540,"")</f>
        <v>0.210526315789474</v>
      </c>
      <c r="D1540" s="12" t="n">
        <f aca="false">COUNTIFS(Cleaned!$C$2:$C$125,5,Cleaned!BZ$2:BZ$125,1)</f>
        <v>15</v>
      </c>
      <c r="E1540" s="13" t="n">
        <f aca="false">IFERROR(D1540/$F1540,"")</f>
        <v>0.789473684210526</v>
      </c>
      <c r="F1540" s="12" t="n">
        <f aca="false">B1540+D1540</f>
        <v>19</v>
      </c>
    </row>
    <row r="1541" customFormat="false" ht="15" hidden="false" customHeight="false" outlineLevel="0" collapsed="false">
      <c r="A1541" s="11" t="s">
        <v>703</v>
      </c>
      <c r="B1541" s="11" t="n">
        <f aca="false">SUM(B1536:B1540)</f>
        <v>30</v>
      </c>
      <c r="C1541" s="14" t="n">
        <f aca="false">IFERROR(B1541/$F1541,"")</f>
        <v>0.535714285714286</v>
      </c>
      <c r="D1541" s="11" t="n">
        <f aca="false">SUM(D1536:D1540)</f>
        <v>26</v>
      </c>
      <c r="E1541" s="14" t="n">
        <f aca="false">IFERROR(D1541/$F1541,"")</f>
        <v>0.464285714285714</v>
      </c>
      <c r="F1541" s="11" t="n">
        <f aca="false">SUM(F1536:F1540)</f>
        <v>56</v>
      </c>
    </row>
    <row r="1542" customFormat="false" ht="15" hidden="false" customHeight="false" outlineLevel="0" collapsed="false">
      <c r="A1542" s="11" t="s">
        <v>3</v>
      </c>
    </row>
    <row r="1543" customFormat="false" ht="15" hidden="false" customHeight="false" outlineLevel="0" collapsed="false">
      <c r="A1543" s="12" t="s">
        <v>704</v>
      </c>
      <c r="B1543" s="12" t="n">
        <f aca="false">COUNTIFS(Cleaned!$D$2:$D$125,1,Cleaned!BZ$2:BZ$125,0)</f>
        <v>1</v>
      </c>
      <c r="C1543" s="13" t="n">
        <f aca="false">IFERROR(B1543/$F1543,"")</f>
        <v>0.25</v>
      </c>
      <c r="D1543" s="12" t="n">
        <f aca="false">COUNTIFS(Cleaned!$D$2:$D$125,1,Cleaned!BZ$2:BZ$125,1)</f>
        <v>3</v>
      </c>
      <c r="E1543" s="13" t="n">
        <f aca="false">IFERROR(D1543/$F1543,"")</f>
        <v>0.75</v>
      </c>
      <c r="F1543" s="12" t="n">
        <f aca="false">B1543+D1543</f>
        <v>4</v>
      </c>
    </row>
    <row r="1544" customFormat="false" ht="15" hidden="false" customHeight="false" outlineLevel="0" collapsed="false">
      <c r="A1544" s="12" t="s">
        <v>705</v>
      </c>
      <c r="B1544" s="12" t="n">
        <f aca="false">COUNTIFS(Cleaned!$D$2:$D$125,2,Cleaned!BZ$2:BZ$125,0)</f>
        <v>4</v>
      </c>
      <c r="C1544" s="13" t="n">
        <f aca="false">IFERROR(B1544/$F1544,"")</f>
        <v>0.333333333333333</v>
      </c>
      <c r="D1544" s="12" t="n">
        <f aca="false">COUNTIFS(Cleaned!$D$2:$D$125,2,Cleaned!BZ$2:BZ$125,1)</f>
        <v>8</v>
      </c>
      <c r="E1544" s="13" t="n">
        <f aca="false">IFERROR(D1544/$F1544,"")</f>
        <v>0.666666666666667</v>
      </c>
      <c r="F1544" s="12" t="n">
        <f aca="false">B1544+D1544</f>
        <v>12</v>
      </c>
    </row>
    <row r="1545" customFormat="false" ht="15" hidden="false" customHeight="false" outlineLevel="0" collapsed="false">
      <c r="A1545" s="12" t="s">
        <v>706</v>
      </c>
      <c r="B1545" s="12" t="n">
        <f aca="false">COUNTIFS(Cleaned!$D$2:$D$125,3,Cleaned!BZ$2:BZ$125,0)</f>
        <v>2</v>
      </c>
      <c r="C1545" s="13" t="n">
        <f aca="false">IFERROR(B1545/$F1545,"")</f>
        <v>0.25</v>
      </c>
      <c r="D1545" s="12" t="n">
        <f aca="false">COUNTIFS(Cleaned!$D$2:$D$125,3,Cleaned!BZ$2:BZ$125,1)</f>
        <v>6</v>
      </c>
      <c r="E1545" s="13" t="n">
        <f aca="false">IFERROR(D1545/$F1545,"")</f>
        <v>0.75</v>
      </c>
      <c r="F1545" s="12" t="n">
        <f aca="false">B1545+D1545</f>
        <v>8</v>
      </c>
    </row>
    <row r="1546" customFormat="false" ht="15" hidden="false" customHeight="false" outlineLevel="0" collapsed="false">
      <c r="A1546" s="12" t="s">
        <v>707</v>
      </c>
      <c r="B1546" s="12" t="n">
        <f aca="false">COUNTIFS(Cleaned!$D$2:$D$125,4,Cleaned!BZ$2:BZ$125,0)</f>
        <v>6</v>
      </c>
      <c r="C1546" s="13" t="n">
        <f aca="false">IFERROR(B1546/$F1546,"")</f>
        <v>1</v>
      </c>
      <c r="D1546" s="12" t="n">
        <f aca="false">COUNTIFS(Cleaned!$D$2:$D$125,4,Cleaned!BZ$2:BZ$125,1)</f>
        <v>0</v>
      </c>
      <c r="E1546" s="13" t="n">
        <f aca="false">IFERROR(D1546/$F1546,"")</f>
        <v>0</v>
      </c>
      <c r="F1546" s="12" t="n">
        <f aca="false">B1546+D1546</f>
        <v>6</v>
      </c>
    </row>
    <row r="1547" customFormat="false" ht="15" hidden="false" customHeight="false" outlineLevel="0" collapsed="false">
      <c r="A1547" s="12" t="s">
        <v>708</v>
      </c>
      <c r="B1547" s="12" t="n">
        <f aca="false">COUNTIFS(Cleaned!$D$2:$D$125,5,Cleaned!BZ$2:BZ$125,0)</f>
        <v>1</v>
      </c>
      <c r="C1547" s="13" t="n">
        <f aca="false">IFERROR(B1547/$F1547,"")</f>
        <v>1</v>
      </c>
      <c r="D1547" s="12" t="n">
        <f aca="false">COUNTIFS(Cleaned!$D$2:$D$125,5,Cleaned!BZ$2:BZ$125,1)</f>
        <v>0</v>
      </c>
      <c r="E1547" s="13" t="n">
        <f aca="false">IFERROR(D1547/$F1547,"")</f>
        <v>0</v>
      </c>
      <c r="F1547" s="12" t="n">
        <f aca="false">B1547+D1547</f>
        <v>1</v>
      </c>
    </row>
    <row r="1548" customFormat="false" ht="15" hidden="false" customHeight="false" outlineLevel="0" collapsed="false">
      <c r="A1548" s="12" t="s">
        <v>709</v>
      </c>
      <c r="B1548" s="12" t="n">
        <f aca="false">COUNTIFS(Cleaned!$D$2:$D$125,6,Cleaned!BZ$2:BZ$125,0)</f>
        <v>1</v>
      </c>
      <c r="C1548" s="13" t="n">
        <f aca="false">IFERROR(B1548/$F1548,"")</f>
        <v>0.5</v>
      </c>
      <c r="D1548" s="12" t="n">
        <f aca="false">COUNTIFS(Cleaned!$D$2:$D$125,6,Cleaned!BZ$2:BZ$125,1)</f>
        <v>1</v>
      </c>
      <c r="E1548" s="13" t="n">
        <f aca="false">IFERROR(D1548/$F1548,"")</f>
        <v>0.5</v>
      </c>
      <c r="F1548" s="12" t="n">
        <f aca="false">B1548+D1548</f>
        <v>2</v>
      </c>
    </row>
    <row r="1549" customFormat="false" ht="15" hidden="false" customHeight="false" outlineLevel="0" collapsed="false">
      <c r="A1549" s="12" t="s">
        <v>710</v>
      </c>
      <c r="B1549" s="12" t="n">
        <f aca="false">COUNTIFS(Cleaned!$D$2:$D$125,7,Cleaned!BZ$2:BZ$125,0)</f>
        <v>5</v>
      </c>
      <c r="C1549" s="13" t="n">
        <f aca="false">IFERROR(B1549/$F1549,"")</f>
        <v>0.625</v>
      </c>
      <c r="D1549" s="12" t="n">
        <f aca="false">COUNTIFS(Cleaned!$D$2:$D$125,7,Cleaned!BZ$2:BZ$125,1)</f>
        <v>3</v>
      </c>
      <c r="E1549" s="13" t="n">
        <f aca="false">IFERROR(D1549/$F1549,"")</f>
        <v>0.375</v>
      </c>
      <c r="F1549" s="12" t="n">
        <f aca="false">B1549+D1549</f>
        <v>8</v>
      </c>
    </row>
    <row r="1550" customFormat="false" ht="15" hidden="false" customHeight="false" outlineLevel="0" collapsed="false">
      <c r="A1550" s="12" t="s">
        <v>711</v>
      </c>
      <c r="B1550" s="12" t="n">
        <f aca="false">COUNTIFS(Cleaned!$D$2:$D$125,8,Cleaned!BZ$2:BZ$125,0)</f>
        <v>3</v>
      </c>
      <c r="C1550" s="13" t="n">
        <f aca="false">IFERROR(B1550/$F1550,"")</f>
        <v>1</v>
      </c>
      <c r="D1550" s="12" t="n">
        <f aca="false">COUNTIFS(Cleaned!$D$2:$D$125,8,Cleaned!BZ$2:BZ$125,1)</f>
        <v>0</v>
      </c>
      <c r="E1550" s="13" t="n">
        <f aca="false">IFERROR(D1550/$F1550,"")</f>
        <v>0</v>
      </c>
      <c r="F1550" s="12" t="n">
        <f aca="false">B1550+D1550</f>
        <v>3</v>
      </c>
    </row>
    <row r="1551" customFormat="false" ht="15" hidden="false" customHeight="false" outlineLevel="0" collapsed="false">
      <c r="A1551" s="12" t="s">
        <v>712</v>
      </c>
      <c r="B1551" s="12" t="n">
        <f aca="false">COUNTIFS(Cleaned!$D$2:$D$125,9,Cleaned!BZ$2:BZ$125,0)</f>
        <v>1</v>
      </c>
      <c r="C1551" s="13" t="n">
        <f aca="false">IFERROR(B1551/$F1551,"")</f>
        <v>0.5</v>
      </c>
      <c r="D1551" s="12" t="n">
        <f aca="false">COUNTIFS(Cleaned!$D$2:$D$125,9,Cleaned!BZ$2:BZ$125,1)</f>
        <v>1</v>
      </c>
      <c r="E1551" s="13" t="n">
        <f aca="false">IFERROR(D1551/$F1551,"")</f>
        <v>0.5</v>
      </c>
      <c r="F1551" s="12" t="n">
        <f aca="false">B1551+D1551</f>
        <v>2</v>
      </c>
    </row>
    <row r="1552" customFormat="false" ht="15" hidden="false" customHeight="false" outlineLevel="0" collapsed="false">
      <c r="A1552" s="12" t="s">
        <v>713</v>
      </c>
      <c r="B1552" s="12" t="n">
        <f aca="false">COUNTIFS(Cleaned!$D$2:$D$125,10,Cleaned!BZ$2:BZ$125,0)</f>
        <v>0</v>
      </c>
      <c r="C1552" s="13" t="str">
        <f aca="false">IFERROR(B1552/$F1552,"")</f>
        <v/>
      </c>
      <c r="D1552" s="12" t="n">
        <f aca="false">COUNTIFS(Cleaned!$D$2:$D$125,10,Cleaned!BZ$2:BZ$125,1)</f>
        <v>0</v>
      </c>
      <c r="E1552" s="13" t="str">
        <f aca="false">IFERROR(D1552/$F1552,"")</f>
        <v/>
      </c>
      <c r="F1552" s="12" t="n">
        <f aca="false">B1552+D1552</f>
        <v>0</v>
      </c>
    </row>
    <row r="1553" customFormat="false" ht="15" hidden="false" customHeight="false" outlineLevel="0" collapsed="false">
      <c r="A1553" s="12" t="s">
        <v>714</v>
      </c>
      <c r="B1553" s="12" t="n">
        <f aca="false">COUNTIFS(Cleaned!$D$2:$D$125,11,Cleaned!BZ$2:BZ$125,0)</f>
        <v>4</v>
      </c>
      <c r="C1553" s="13" t="n">
        <f aca="false">IFERROR(B1553/$F1553,"")</f>
        <v>0.666666666666667</v>
      </c>
      <c r="D1553" s="12" t="n">
        <f aca="false">COUNTIFS(Cleaned!$D$2:$D$125,11,Cleaned!BZ$2:BZ$125,1)</f>
        <v>2</v>
      </c>
      <c r="E1553" s="13" t="n">
        <f aca="false">IFERROR(D1553/$F1553,"")</f>
        <v>0.333333333333333</v>
      </c>
      <c r="F1553" s="12" t="n">
        <f aca="false">B1553+D1553</f>
        <v>6</v>
      </c>
    </row>
    <row r="1554" customFormat="false" ht="15" hidden="false" customHeight="false" outlineLevel="0" collapsed="false">
      <c r="A1554" s="12" t="s">
        <v>715</v>
      </c>
      <c r="B1554" s="12" t="n">
        <f aca="false">COUNTIFS(Cleaned!$D$2:$D$125,12,Cleaned!BZ$2:BZ$125,0)</f>
        <v>2</v>
      </c>
      <c r="C1554" s="13" t="n">
        <f aca="false">IFERROR(B1554/$F1554,"")</f>
        <v>0.5</v>
      </c>
      <c r="D1554" s="12" t="n">
        <f aca="false">COUNTIFS(Cleaned!$D$2:$D$125,12,Cleaned!BZ$2:BZ$125,1)</f>
        <v>2</v>
      </c>
      <c r="E1554" s="13" t="n">
        <f aca="false">IFERROR(D1554/$F1554,"")</f>
        <v>0.5</v>
      </c>
      <c r="F1554" s="12" t="n">
        <f aca="false">B1554+D1554</f>
        <v>4</v>
      </c>
    </row>
    <row r="1555" customFormat="false" ht="15" hidden="false" customHeight="false" outlineLevel="0" collapsed="false">
      <c r="A1555" s="11" t="s">
        <v>716</v>
      </c>
      <c r="B1555" s="11" t="n">
        <f aca="false">SUM(B1543:B1554)</f>
        <v>30</v>
      </c>
      <c r="C1555" s="14" t="n">
        <f aca="false">IFERROR(B1555/$F1555,"")</f>
        <v>0.535714285714286</v>
      </c>
      <c r="D1555" s="11" t="n">
        <f aca="false">SUM(D1543:D1554)</f>
        <v>26</v>
      </c>
      <c r="E1555" s="14" t="n">
        <f aca="false">IFERROR(D1555/$F1555,"")</f>
        <v>0.464285714285714</v>
      </c>
      <c r="F1555" s="11" t="n">
        <f aca="false">SUM(F1543:F1554)</f>
        <v>56</v>
      </c>
    </row>
    <row r="1558" customFormat="false" ht="15" hidden="false" customHeight="false" outlineLevel="0" collapsed="false">
      <c r="A1558" s="6" t="s">
        <v>78</v>
      </c>
      <c r="B1558" s="7" t="s">
        <v>796</v>
      </c>
    </row>
    <row r="1559" customFormat="false" ht="15" hidden="false" customHeight="false" outlineLevel="0" collapsed="false">
      <c r="A1559" s="8"/>
      <c r="B1559" s="9" t="s">
        <v>718</v>
      </c>
      <c r="C1559" s="8"/>
      <c r="D1559" s="9" t="s">
        <v>719</v>
      </c>
      <c r="E1559" s="8"/>
      <c r="F1559" s="9" t="s">
        <v>694</v>
      </c>
    </row>
    <row r="1560" customFormat="false" ht="15" hidden="false" customHeight="false" outlineLevel="0" collapsed="false">
      <c r="B1560" s="10" t="s">
        <v>695</v>
      </c>
      <c r="C1560" s="10" t="s">
        <v>696</v>
      </c>
      <c r="D1560" s="10" t="s">
        <v>695</v>
      </c>
      <c r="E1560" s="10" t="s">
        <v>696</v>
      </c>
    </row>
    <row r="1561" customFormat="false" ht="15" hidden="false" customHeight="false" outlineLevel="0" collapsed="false">
      <c r="A1561" s="11" t="s">
        <v>697</v>
      </c>
    </row>
    <row r="1562" customFormat="false" ht="15" hidden="false" customHeight="false" outlineLevel="0" collapsed="false">
      <c r="A1562" s="12" t="s">
        <v>698</v>
      </c>
      <c r="B1562" s="12" t="n">
        <f aca="false">COUNTIFS(Cleaned!$C$2:$C$125,1,Cleaned!CA$2:CA$125,0)</f>
        <v>2</v>
      </c>
      <c r="C1562" s="13" t="n">
        <f aca="false">IFERROR(B1562/$F1562,"")</f>
        <v>0.25</v>
      </c>
      <c r="D1562" s="12" t="n">
        <f aca="false">COUNTIFS(Cleaned!$C$2:$C$125,1,Cleaned!CA$2:CA$125,1)</f>
        <v>6</v>
      </c>
      <c r="E1562" s="13" t="n">
        <f aca="false">IFERROR(D1562/$F1562,"")</f>
        <v>0.75</v>
      </c>
      <c r="F1562" s="12" t="n">
        <f aca="false">B1562+D1562</f>
        <v>8</v>
      </c>
    </row>
    <row r="1563" customFormat="false" ht="15" hidden="false" customHeight="false" outlineLevel="0" collapsed="false">
      <c r="A1563" s="12" t="s">
        <v>699</v>
      </c>
      <c r="B1563" s="12" t="n">
        <f aca="false">COUNTIFS(Cleaned!$C$2:$C$125,2,Cleaned!CA$2:CA$125,0)</f>
        <v>1</v>
      </c>
      <c r="C1563" s="13" t="n">
        <f aca="false">IFERROR(B1563/$F1563,"")</f>
        <v>0.125</v>
      </c>
      <c r="D1563" s="12" t="n">
        <f aca="false">COUNTIFS(Cleaned!$C$2:$C$125,2,Cleaned!CA$2:CA$125,1)</f>
        <v>7</v>
      </c>
      <c r="E1563" s="13" t="n">
        <f aca="false">IFERROR(D1563/$F1563,"")</f>
        <v>0.875</v>
      </c>
      <c r="F1563" s="12" t="n">
        <f aca="false">B1563+D1563</f>
        <v>8</v>
      </c>
    </row>
    <row r="1564" customFormat="false" ht="15" hidden="false" customHeight="false" outlineLevel="0" collapsed="false">
      <c r="A1564" s="12" t="s">
        <v>700</v>
      </c>
      <c r="B1564" s="12" t="n">
        <f aca="false">COUNTIFS(Cleaned!$C$2:$C$125,3,Cleaned!CA$2:CA$125,0)</f>
        <v>5</v>
      </c>
      <c r="C1564" s="13" t="n">
        <f aca="false">IFERROR(B1564/$F1564,"")</f>
        <v>0.454545454545455</v>
      </c>
      <c r="D1564" s="12" t="n">
        <f aca="false">COUNTIFS(Cleaned!$C$2:$C$125,3,Cleaned!CA$2:CA$125,1)</f>
        <v>6</v>
      </c>
      <c r="E1564" s="13" t="n">
        <f aca="false">IFERROR(D1564/$F1564,"")</f>
        <v>0.545454545454545</v>
      </c>
      <c r="F1564" s="12" t="n">
        <f aca="false">B1564+D1564</f>
        <v>11</v>
      </c>
    </row>
    <row r="1565" customFormat="false" ht="15" hidden="false" customHeight="false" outlineLevel="0" collapsed="false">
      <c r="A1565" s="12" t="s">
        <v>701</v>
      </c>
      <c r="B1565" s="12" t="n">
        <f aca="false">COUNTIFS(Cleaned!$C$2:$C$125,4,Cleaned!CA$2:CA$125,0)</f>
        <v>1</v>
      </c>
      <c r="C1565" s="13" t="n">
        <f aca="false">IFERROR(B1565/$F1565,"")</f>
        <v>0.1</v>
      </c>
      <c r="D1565" s="12" t="n">
        <f aca="false">COUNTIFS(Cleaned!$C$2:$C$125,4,Cleaned!CA$2:CA$125,1)</f>
        <v>9</v>
      </c>
      <c r="E1565" s="13" t="n">
        <f aca="false">IFERROR(D1565/$F1565,"")</f>
        <v>0.9</v>
      </c>
      <c r="F1565" s="12" t="n">
        <f aca="false">B1565+D1565</f>
        <v>10</v>
      </c>
    </row>
    <row r="1566" customFormat="false" ht="15" hidden="false" customHeight="false" outlineLevel="0" collapsed="false">
      <c r="A1566" s="12" t="s">
        <v>702</v>
      </c>
      <c r="B1566" s="12" t="n">
        <f aca="false">COUNTIFS(Cleaned!$C$2:$C$125,5,Cleaned!CA$2:CA$125,0)</f>
        <v>4</v>
      </c>
      <c r="C1566" s="13" t="n">
        <f aca="false">IFERROR(B1566/$F1566,"")</f>
        <v>0.210526315789474</v>
      </c>
      <c r="D1566" s="12" t="n">
        <f aca="false">COUNTIFS(Cleaned!$C$2:$C$125,5,Cleaned!CA$2:CA$125,1)</f>
        <v>15</v>
      </c>
      <c r="E1566" s="13" t="n">
        <f aca="false">IFERROR(D1566/$F1566,"")</f>
        <v>0.789473684210526</v>
      </c>
      <c r="F1566" s="12" t="n">
        <f aca="false">B1566+D1566</f>
        <v>19</v>
      </c>
    </row>
    <row r="1567" customFormat="false" ht="15" hidden="false" customHeight="false" outlineLevel="0" collapsed="false">
      <c r="A1567" s="11" t="s">
        <v>703</v>
      </c>
      <c r="B1567" s="11" t="n">
        <f aca="false">SUM(B1562:B1566)</f>
        <v>13</v>
      </c>
      <c r="C1567" s="14" t="n">
        <f aca="false">IFERROR(B1567/$F1567,"")</f>
        <v>0.232142857142857</v>
      </c>
      <c r="D1567" s="11" t="n">
        <f aca="false">SUM(D1562:D1566)</f>
        <v>43</v>
      </c>
      <c r="E1567" s="14" t="n">
        <f aca="false">IFERROR(D1567/$F1567,"")</f>
        <v>0.767857142857143</v>
      </c>
      <c r="F1567" s="11" t="n">
        <f aca="false">SUM(F1562:F1566)</f>
        <v>56</v>
      </c>
    </row>
    <row r="1568" customFormat="false" ht="15" hidden="false" customHeight="false" outlineLevel="0" collapsed="false">
      <c r="A1568" s="11" t="s">
        <v>3</v>
      </c>
    </row>
    <row r="1569" customFormat="false" ht="15" hidden="false" customHeight="false" outlineLevel="0" collapsed="false">
      <c r="A1569" s="12" t="s">
        <v>704</v>
      </c>
      <c r="B1569" s="12" t="n">
        <f aca="false">COUNTIFS(Cleaned!$D$2:$D$125,1,Cleaned!CA$2:CA$125,0)</f>
        <v>3</v>
      </c>
      <c r="C1569" s="13" t="n">
        <f aca="false">IFERROR(B1569/$F1569,"")</f>
        <v>0.75</v>
      </c>
      <c r="D1569" s="12" t="n">
        <f aca="false">COUNTIFS(Cleaned!$D$2:$D$125,1,Cleaned!CA$2:CA$125,1)</f>
        <v>1</v>
      </c>
      <c r="E1569" s="13" t="n">
        <f aca="false">IFERROR(D1569/$F1569,"")</f>
        <v>0.25</v>
      </c>
      <c r="F1569" s="12" t="n">
        <f aca="false">B1569+D1569</f>
        <v>4</v>
      </c>
    </row>
    <row r="1570" customFormat="false" ht="15" hidden="false" customHeight="false" outlineLevel="0" collapsed="false">
      <c r="A1570" s="12" t="s">
        <v>705</v>
      </c>
      <c r="B1570" s="12" t="n">
        <f aca="false">COUNTIFS(Cleaned!$D$2:$D$125,2,Cleaned!CA$2:CA$125,0)</f>
        <v>3</v>
      </c>
      <c r="C1570" s="13" t="n">
        <f aca="false">IFERROR(B1570/$F1570,"")</f>
        <v>0.25</v>
      </c>
      <c r="D1570" s="12" t="n">
        <f aca="false">COUNTIFS(Cleaned!$D$2:$D$125,2,Cleaned!CA$2:CA$125,1)</f>
        <v>9</v>
      </c>
      <c r="E1570" s="13" t="n">
        <f aca="false">IFERROR(D1570/$F1570,"")</f>
        <v>0.75</v>
      </c>
      <c r="F1570" s="12" t="n">
        <f aca="false">B1570+D1570</f>
        <v>12</v>
      </c>
    </row>
    <row r="1571" customFormat="false" ht="15" hidden="false" customHeight="false" outlineLevel="0" collapsed="false">
      <c r="A1571" s="12" t="s">
        <v>706</v>
      </c>
      <c r="B1571" s="12" t="n">
        <f aca="false">COUNTIFS(Cleaned!$D$2:$D$125,3,Cleaned!CA$2:CA$125,0)</f>
        <v>2</v>
      </c>
      <c r="C1571" s="13" t="n">
        <f aca="false">IFERROR(B1571/$F1571,"")</f>
        <v>0.25</v>
      </c>
      <c r="D1571" s="12" t="n">
        <f aca="false">COUNTIFS(Cleaned!$D$2:$D$125,3,Cleaned!CA$2:CA$125,1)</f>
        <v>6</v>
      </c>
      <c r="E1571" s="13" t="n">
        <f aca="false">IFERROR(D1571/$F1571,"")</f>
        <v>0.75</v>
      </c>
      <c r="F1571" s="12" t="n">
        <f aca="false">B1571+D1571</f>
        <v>8</v>
      </c>
    </row>
    <row r="1572" customFormat="false" ht="15" hidden="false" customHeight="false" outlineLevel="0" collapsed="false">
      <c r="A1572" s="12" t="s">
        <v>707</v>
      </c>
      <c r="B1572" s="12" t="n">
        <f aca="false">COUNTIFS(Cleaned!$D$2:$D$125,4,Cleaned!CA$2:CA$125,0)</f>
        <v>1</v>
      </c>
      <c r="C1572" s="13" t="n">
        <f aca="false">IFERROR(B1572/$F1572,"")</f>
        <v>0.166666666666667</v>
      </c>
      <c r="D1572" s="12" t="n">
        <f aca="false">COUNTIFS(Cleaned!$D$2:$D$125,4,Cleaned!CA$2:CA$125,1)</f>
        <v>5</v>
      </c>
      <c r="E1572" s="13" t="n">
        <f aca="false">IFERROR(D1572/$F1572,"")</f>
        <v>0.833333333333333</v>
      </c>
      <c r="F1572" s="12" t="n">
        <f aca="false">B1572+D1572</f>
        <v>6</v>
      </c>
    </row>
    <row r="1573" customFormat="false" ht="15" hidden="false" customHeight="false" outlineLevel="0" collapsed="false">
      <c r="A1573" s="12" t="s">
        <v>708</v>
      </c>
      <c r="B1573" s="12" t="n">
        <f aca="false">COUNTIFS(Cleaned!$D$2:$D$125,5,Cleaned!CA$2:CA$125,0)</f>
        <v>0</v>
      </c>
      <c r="C1573" s="13" t="n">
        <f aca="false">IFERROR(B1573/$F1573,"")</f>
        <v>0</v>
      </c>
      <c r="D1573" s="12" t="n">
        <f aca="false">COUNTIFS(Cleaned!$D$2:$D$125,5,Cleaned!CA$2:CA$125,1)</f>
        <v>1</v>
      </c>
      <c r="E1573" s="13" t="n">
        <f aca="false">IFERROR(D1573/$F1573,"")</f>
        <v>1</v>
      </c>
      <c r="F1573" s="12" t="n">
        <f aca="false">B1573+D1573</f>
        <v>1</v>
      </c>
    </row>
    <row r="1574" customFormat="false" ht="15" hidden="false" customHeight="false" outlineLevel="0" collapsed="false">
      <c r="A1574" s="12" t="s">
        <v>709</v>
      </c>
      <c r="B1574" s="12" t="n">
        <f aca="false">COUNTIFS(Cleaned!$D$2:$D$125,6,Cleaned!CA$2:CA$125,0)</f>
        <v>0</v>
      </c>
      <c r="C1574" s="13" t="n">
        <f aca="false">IFERROR(B1574/$F1574,"")</f>
        <v>0</v>
      </c>
      <c r="D1574" s="12" t="n">
        <f aca="false">COUNTIFS(Cleaned!$D$2:$D$125,6,Cleaned!CA$2:CA$125,1)</f>
        <v>2</v>
      </c>
      <c r="E1574" s="13" t="n">
        <f aca="false">IFERROR(D1574/$F1574,"")</f>
        <v>1</v>
      </c>
      <c r="F1574" s="12" t="n">
        <f aca="false">B1574+D1574</f>
        <v>2</v>
      </c>
    </row>
    <row r="1575" customFormat="false" ht="15" hidden="false" customHeight="false" outlineLevel="0" collapsed="false">
      <c r="A1575" s="12" t="s">
        <v>710</v>
      </c>
      <c r="B1575" s="12" t="n">
        <f aca="false">COUNTIFS(Cleaned!$D$2:$D$125,7,Cleaned!CA$2:CA$125,0)</f>
        <v>2</v>
      </c>
      <c r="C1575" s="13" t="n">
        <f aca="false">IFERROR(B1575/$F1575,"")</f>
        <v>0.25</v>
      </c>
      <c r="D1575" s="12" t="n">
        <f aca="false">COUNTIFS(Cleaned!$D$2:$D$125,7,Cleaned!CA$2:CA$125,1)</f>
        <v>6</v>
      </c>
      <c r="E1575" s="13" t="n">
        <f aca="false">IFERROR(D1575/$F1575,"")</f>
        <v>0.75</v>
      </c>
      <c r="F1575" s="12" t="n">
        <f aca="false">B1575+D1575</f>
        <v>8</v>
      </c>
    </row>
    <row r="1576" customFormat="false" ht="15" hidden="false" customHeight="false" outlineLevel="0" collapsed="false">
      <c r="A1576" s="12" t="s">
        <v>711</v>
      </c>
      <c r="B1576" s="12" t="n">
        <f aca="false">COUNTIFS(Cleaned!$D$2:$D$125,8,Cleaned!CA$2:CA$125,0)</f>
        <v>0</v>
      </c>
      <c r="C1576" s="13" t="n">
        <f aca="false">IFERROR(B1576/$F1576,"")</f>
        <v>0</v>
      </c>
      <c r="D1576" s="12" t="n">
        <f aca="false">COUNTIFS(Cleaned!$D$2:$D$125,8,Cleaned!CA$2:CA$125,1)</f>
        <v>3</v>
      </c>
      <c r="E1576" s="13" t="n">
        <f aca="false">IFERROR(D1576/$F1576,"")</f>
        <v>1</v>
      </c>
      <c r="F1576" s="12" t="n">
        <f aca="false">B1576+D1576</f>
        <v>3</v>
      </c>
    </row>
    <row r="1577" customFormat="false" ht="15" hidden="false" customHeight="false" outlineLevel="0" collapsed="false">
      <c r="A1577" s="12" t="s">
        <v>712</v>
      </c>
      <c r="B1577" s="12" t="n">
        <f aca="false">COUNTIFS(Cleaned!$D$2:$D$125,9,Cleaned!CA$2:CA$125,0)</f>
        <v>0</v>
      </c>
      <c r="C1577" s="13" t="n">
        <f aca="false">IFERROR(B1577/$F1577,"")</f>
        <v>0</v>
      </c>
      <c r="D1577" s="12" t="n">
        <f aca="false">COUNTIFS(Cleaned!$D$2:$D$125,9,Cleaned!CA$2:CA$125,1)</f>
        <v>2</v>
      </c>
      <c r="E1577" s="13" t="n">
        <f aca="false">IFERROR(D1577/$F1577,"")</f>
        <v>1</v>
      </c>
      <c r="F1577" s="12" t="n">
        <f aca="false">B1577+D1577</f>
        <v>2</v>
      </c>
    </row>
    <row r="1578" customFormat="false" ht="15" hidden="false" customHeight="false" outlineLevel="0" collapsed="false">
      <c r="A1578" s="12" t="s">
        <v>713</v>
      </c>
      <c r="B1578" s="12" t="n">
        <f aca="false">COUNTIFS(Cleaned!$D$2:$D$125,10,Cleaned!CA$2:CA$125,0)</f>
        <v>0</v>
      </c>
      <c r="C1578" s="13" t="str">
        <f aca="false">IFERROR(B1578/$F1578,"")</f>
        <v/>
      </c>
      <c r="D1578" s="12" t="n">
        <f aca="false">COUNTIFS(Cleaned!$D$2:$D$125,10,Cleaned!CA$2:CA$125,1)</f>
        <v>0</v>
      </c>
      <c r="E1578" s="13" t="str">
        <f aca="false">IFERROR(D1578/$F1578,"")</f>
        <v/>
      </c>
      <c r="F1578" s="12" t="n">
        <f aca="false">B1578+D1578</f>
        <v>0</v>
      </c>
    </row>
    <row r="1579" customFormat="false" ht="15" hidden="false" customHeight="false" outlineLevel="0" collapsed="false">
      <c r="A1579" s="12" t="s">
        <v>714</v>
      </c>
      <c r="B1579" s="12" t="n">
        <f aca="false">COUNTIFS(Cleaned!$D$2:$D$125,11,Cleaned!CA$2:CA$125,0)</f>
        <v>0</v>
      </c>
      <c r="C1579" s="13" t="n">
        <f aca="false">IFERROR(B1579/$F1579,"")</f>
        <v>0</v>
      </c>
      <c r="D1579" s="12" t="n">
        <f aca="false">COUNTIFS(Cleaned!$D$2:$D$125,11,Cleaned!CA$2:CA$125,1)</f>
        <v>6</v>
      </c>
      <c r="E1579" s="13" t="n">
        <f aca="false">IFERROR(D1579/$F1579,"")</f>
        <v>1</v>
      </c>
      <c r="F1579" s="12" t="n">
        <f aca="false">B1579+D1579</f>
        <v>6</v>
      </c>
    </row>
    <row r="1580" customFormat="false" ht="15" hidden="false" customHeight="false" outlineLevel="0" collapsed="false">
      <c r="A1580" s="12" t="s">
        <v>715</v>
      </c>
      <c r="B1580" s="12" t="n">
        <f aca="false">COUNTIFS(Cleaned!$D$2:$D$125,12,Cleaned!CA$2:CA$125,0)</f>
        <v>2</v>
      </c>
      <c r="C1580" s="13" t="n">
        <f aca="false">IFERROR(B1580/$F1580,"")</f>
        <v>0.5</v>
      </c>
      <c r="D1580" s="12" t="n">
        <f aca="false">COUNTIFS(Cleaned!$D$2:$D$125,12,Cleaned!CA$2:CA$125,1)</f>
        <v>2</v>
      </c>
      <c r="E1580" s="13" t="n">
        <f aca="false">IFERROR(D1580/$F1580,"")</f>
        <v>0.5</v>
      </c>
      <c r="F1580" s="12" t="n">
        <f aca="false">B1580+D1580</f>
        <v>4</v>
      </c>
    </row>
    <row r="1581" customFormat="false" ht="15" hidden="false" customHeight="false" outlineLevel="0" collapsed="false">
      <c r="A1581" s="11" t="s">
        <v>716</v>
      </c>
      <c r="B1581" s="11" t="n">
        <f aca="false">SUM(B1569:B1580)</f>
        <v>13</v>
      </c>
      <c r="C1581" s="14" t="n">
        <f aca="false">IFERROR(B1581/$F1581,"")</f>
        <v>0.232142857142857</v>
      </c>
      <c r="D1581" s="11" t="n">
        <f aca="false">SUM(D1569:D1580)</f>
        <v>43</v>
      </c>
      <c r="E1581" s="14" t="n">
        <f aca="false">IFERROR(D1581/$F1581,"")</f>
        <v>0.767857142857143</v>
      </c>
      <c r="F1581" s="11" t="n">
        <f aca="false">SUM(F1569:F1580)</f>
        <v>56</v>
      </c>
    </row>
    <row r="1584" customFormat="false" ht="15" hidden="false" customHeight="false" outlineLevel="0" collapsed="false">
      <c r="A1584" s="6" t="s">
        <v>79</v>
      </c>
      <c r="B1584" s="7" t="s">
        <v>797</v>
      </c>
    </row>
    <row r="1585" customFormat="false" ht="15" hidden="false" customHeight="false" outlineLevel="0" collapsed="false">
      <c r="A1585" s="8"/>
      <c r="B1585" s="9" t="s">
        <v>718</v>
      </c>
      <c r="C1585" s="8"/>
      <c r="D1585" s="9" t="s">
        <v>719</v>
      </c>
      <c r="E1585" s="8"/>
      <c r="F1585" s="9" t="s">
        <v>694</v>
      </c>
    </row>
    <row r="1586" customFormat="false" ht="15" hidden="false" customHeight="false" outlineLevel="0" collapsed="false">
      <c r="B1586" s="10" t="s">
        <v>695</v>
      </c>
      <c r="C1586" s="10" t="s">
        <v>696</v>
      </c>
      <c r="D1586" s="10" t="s">
        <v>695</v>
      </c>
      <c r="E1586" s="10" t="s">
        <v>696</v>
      </c>
    </row>
    <row r="1587" customFormat="false" ht="15" hidden="false" customHeight="false" outlineLevel="0" collapsed="false">
      <c r="A1587" s="11" t="s">
        <v>697</v>
      </c>
    </row>
    <row r="1588" customFormat="false" ht="15" hidden="false" customHeight="false" outlineLevel="0" collapsed="false">
      <c r="A1588" s="12" t="s">
        <v>698</v>
      </c>
      <c r="B1588" s="12" t="n">
        <f aca="false">COUNTIFS(Cleaned!$C$2:$C$125,1,Cleaned!CB$2:CB$125,0)</f>
        <v>3</v>
      </c>
      <c r="C1588" s="13" t="n">
        <f aca="false">IFERROR(B1588/$F1588,"")</f>
        <v>0.375</v>
      </c>
      <c r="D1588" s="12" t="n">
        <f aca="false">COUNTIFS(Cleaned!$C$2:$C$125,1,Cleaned!CB$2:CB$125,1)</f>
        <v>5</v>
      </c>
      <c r="E1588" s="13" t="n">
        <f aca="false">IFERROR(D1588/$F1588,"")</f>
        <v>0.625</v>
      </c>
      <c r="F1588" s="12" t="n">
        <f aca="false">B1588+D1588</f>
        <v>8</v>
      </c>
    </row>
    <row r="1589" customFormat="false" ht="15" hidden="false" customHeight="false" outlineLevel="0" collapsed="false">
      <c r="A1589" s="12" t="s">
        <v>699</v>
      </c>
      <c r="B1589" s="12" t="n">
        <f aca="false">COUNTIFS(Cleaned!$C$2:$C$125,2,Cleaned!CB$2:CB$125,0)</f>
        <v>4</v>
      </c>
      <c r="C1589" s="13" t="n">
        <f aca="false">IFERROR(B1589/$F1589,"")</f>
        <v>0.5</v>
      </c>
      <c r="D1589" s="12" t="n">
        <f aca="false">COUNTIFS(Cleaned!$C$2:$C$125,2,Cleaned!CB$2:CB$125,1)</f>
        <v>4</v>
      </c>
      <c r="E1589" s="13" t="n">
        <f aca="false">IFERROR(D1589/$F1589,"")</f>
        <v>0.5</v>
      </c>
      <c r="F1589" s="12" t="n">
        <f aca="false">B1589+D1589</f>
        <v>8</v>
      </c>
    </row>
    <row r="1590" customFormat="false" ht="15" hidden="false" customHeight="false" outlineLevel="0" collapsed="false">
      <c r="A1590" s="12" t="s">
        <v>700</v>
      </c>
      <c r="B1590" s="12" t="n">
        <f aca="false">COUNTIFS(Cleaned!$C$2:$C$125,3,Cleaned!CB$2:CB$125,0)</f>
        <v>8</v>
      </c>
      <c r="C1590" s="13" t="n">
        <f aca="false">IFERROR(B1590/$F1590,"")</f>
        <v>0.727272727272727</v>
      </c>
      <c r="D1590" s="12" t="n">
        <f aca="false">COUNTIFS(Cleaned!$C$2:$C$125,3,Cleaned!CB$2:CB$125,1)</f>
        <v>3</v>
      </c>
      <c r="E1590" s="13" t="n">
        <f aca="false">IFERROR(D1590/$F1590,"")</f>
        <v>0.272727272727273</v>
      </c>
      <c r="F1590" s="12" t="n">
        <f aca="false">B1590+D1590</f>
        <v>11</v>
      </c>
    </row>
    <row r="1591" customFormat="false" ht="15" hidden="false" customHeight="false" outlineLevel="0" collapsed="false">
      <c r="A1591" s="12" t="s">
        <v>701</v>
      </c>
      <c r="B1591" s="12" t="n">
        <f aca="false">COUNTIFS(Cleaned!$C$2:$C$125,4,Cleaned!CB$2:CB$125,0)</f>
        <v>6</v>
      </c>
      <c r="C1591" s="13" t="n">
        <f aca="false">IFERROR(B1591/$F1591,"")</f>
        <v>0.6</v>
      </c>
      <c r="D1591" s="12" t="n">
        <f aca="false">COUNTIFS(Cleaned!$C$2:$C$125,4,Cleaned!CB$2:CB$125,1)</f>
        <v>4</v>
      </c>
      <c r="E1591" s="13" t="n">
        <f aca="false">IFERROR(D1591/$F1591,"")</f>
        <v>0.4</v>
      </c>
      <c r="F1591" s="12" t="n">
        <f aca="false">B1591+D1591</f>
        <v>10</v>
      </c>
    </row>
    <row r="1592" customFormat="false" ht="15" hidden="false" customHeight="false" outlineLevel="0" collapsed="false">
      <c r="A1592" s="12" t="s">
        <v>702</v>
      </c>
      <c r="B1592" s="12" t="n">
        <f aca="false">COUNTIFS(Cleaned!$C$2:$C$125,5,Cleaned!CB$2:CB$125,0)</f>
        <v>6</v>
      </c>
      <c r="C1592" s="13" t="n">
        <f aca="false">IFERROR(B1592/$F1592,"")</f>
        <v>0.315789473684211</v>
      </c>
      <c r="D1592" s="12" t="n">
        <f aca="false">COUNTIFS(Cleaned!$C$2:$C$125,5,Cleaned!CB$2:CB$125,1)</f>
        <v>13</v>
      </c>
      <c r="E1592" s="13" t="n">
        <f aca="false">IFERROR(D1592/$F1592,"")</f>
        <v>0.68421052631579</v>
      </c>
      <c r="F1592" s="12" t="n">
        <f aca="false">B1592+D1592</f>
        <v>19</v>
      </c>
    </row>
    <row r="1593" customFormat="false" ht="15" hidden="false" customHeight="false" outlineLevel="0" collapsed="false">
      <c r="A1593" s="11" t="s">
        <v>703</v>
      </c>
      <c r="B1593" s="11" t="n">
        <f aca="false">SUM(B1588:B1592)</f>
        <v>27</v>
      </c>
      <c r="C1593" s="14" t="n">
        <f aca="false">IFERROR(B1593/$F1593,"")</f>
        <v>0.482142857142857</v>
      </c>
      <c r="D1593" s="11" t="n">
        <f aca="false">SUM(D1588:D1592)</f>
        <v>29</v>
      </c>
      <c r="E1593" s="14" t="n">
        <f aca="false">IFERROR(D1593/$F1593,"")</f>
        <v>0.517857142857143</v>
      </c>
      <c r="F1593" s="11" t="n">
        <f aca="false">SUM(F1588:F1592)</f>
        <v>56</v>
      </c>
    </row>
    <row r="1594" customFormat="false" ht="15" hidden="false" customHeight="false" outlineLevel="0" collapsed="false">
      <c r="A1594" s="11" t="s">
        <v>3</v>
      </c>
    </row>
    <row r="1595" customFormat="false" ht="15" hidden="false" customHeight="false" outlineLevel="0" collapsed="false">
      <c r="A1595" s="12" t="s">
        <v>704</v>
      </c>
      <c r="B1595" s="12" t="n">
        <f aca="false">COUNTIFS(Cleaned!$D$2:$D$125,1,Cleaned!CB$2:CB$125,0)</f>
        <v>1</v>
      </c>
      <c r="C1595" s="13" t="n">
        <f aca="false">IFERROR(B1595/$F1595,"")</f>
        <v>0.25</v>
      </c>
      <c r="D1595" s="12" t="n">
        <f aca="false">COUNTIFS(Cleaned!$D$2:$D$125,1,Cleaned!CB$2:CB$125,1)</f>
        <v>3</v>
      </c>
      <c r="E1595" s="13" t="n">
        <f aca="false">IFERROR(D1595/$F1595,"")</f>
        <v>0.75</v>
      </c>
      <c r="F1595" s="12" t="n">
        <f aca="false">B1595+D1595</f>
        <v>4</v>
      </c>
    </row>
    <row r="1596" customFormat="false" ht="15" hidden="false" customHeight="false" outlineLevel="0" collapsed="false">
      <c r="A1596" s="12" t="s">
        <v>705</v>
      </c>
      <c r="B1596" s="12" t="n">
        <f aca="false">COUNTIFS(Cleaned!$D$2:$D$125,2,Cleaned!CB$2:CB$125,0)</f>
        <v>5</v>
      </c>
      <c r="C1596" s="13" t="n">
        <f aca="false">IFERROR(B1596/$F1596,"")</f>
        <v>0.416666666666667</v>
      </c>
      <c r="D1596" s="12" t="n">
        <f aca="false">COUNTIFS(Cleaned!$D$2:$D$125,2,Cleaned!CB$2:CB$125,1)</f>
        <v>7</v>
      </c>
      <c r="E1596" s="13" t="n">
        <f aca="false">IFERROR(D1596/$F1596,"")</f>
        <v>0.583333333333333</v>
      </c>
      <c r="F1596" s="12" t="n">
        <f aca="false">B1596+D1596</f>
        <v>12</v>
      </c>
    </row>
    <row r="1597" customFormat="false" ht="15" hidden="false" customHeight="false" outlineLevel="0" collapsed="false">
      <c r="A1597" s="12" t="s">
        <v>706</v>
      </c>
      <c r="B1597" s="12" t="n">
        <f aca="false">COUNTIFS(Cleaned!$D$2:$D$125,3,Cleaned!CB$2:CB$125,0)</f>
        <v>4</v>
      </c>
      <c r="C1597" s="13" t="n">
        <f aca="false">IFERROR(B1597/$F1597,"")</f>
        <v>0.5</v>
      </c>
      <c r="D1597" s="12" t="n">
        <f aca="false">COUNTIFS(Cleaned!$D$2:$D$125,3,Cleaned!CB$2:CB$125,1)</f>
        <v>4</v>
      </c>
      <c r="E1597" s="13" t="n">
        <f aca="false">IFERROR(D1597/$F1597,"")</f>
        <v>0.5</v>
      </c>
      <c r="F1597" s="12" t="n">
        <f aca="false">B1597+D1597</f>
        <v>8</v>
      </c>
    </row>
    <row r="1598" customFormat="false" ht="15" hidden="false" customHeight="false" outlineLevel="0" collapsed="false">
      <c r="A1598" s="12" t="s">
        <v>707</v>
      </c>
      <c r="B1598" s="12" t="n">
        <f aca="false">COUNTIFS(Cleaned!$D$2:$D$125,4,Cleaned!CB$2:CB$125,0)</f>
        <v>4</v>
      </c>
      <c r="C1598" s="13" t="n">
        <f aca="false">IFERROR(B1598/$F1598,"")</f>
        <v>0.666666666666667</v>
      </c>
      <c r="D1598" s="12" t="n">
        <f aca="false">COUNTIFS(Cleaned!$D$2:$D$125,4,Cleaned!CB$2:CB$125,1)</f>
        <v>2</v>
      </c>
      <c r="E1598" s="13" t="n">
        <f aca="false">IFERROR(D1598/$F1598,"")</f>
        <v>0.333333333333333</v>
      </c>
      <c r="F1598" s="12" t="n">
        <f aca="false">B1598+D1598</f>
        <v>6</v>
      </c>
    </row>
    <row r="1599" customFormat="false" ht="15" hidden="false" customHeight="false" outlineLevel="0" collapsed="false">
      <c r="A1599" s="12" t="s">
        <v>708</v>
      </c>
      <c r="B1599" s="12" t="n">
        <f aca="false">COUNTIFS(Cleaned!$D$2:$D$125,5,Cleaned!CB$2:CB$125,0)</f>
        <v>1</v>
      </c>
      <c r="C1599" s="13" t="n">
        <f aca="false">IFERROR(B1599/$F1599,"")</f>
        <v>1</v>
      </c>
      <c r="D1599" s="12" t="n">
        <f aca="false">COUNTIFS(Cleaned!$D$2:$D$125,5,Cleaned!CB$2:CB$125,1)</f>
        <v>0</v>
      </c>
      <c r="E1599" s="13" t="n">
        <f aca="false">IFERROR(D1599/$F1599,"")</f>
        <v>0</v>
      </c>
      <c r="F1599" s="12" t="n">
        <f aca="false">B1599+D1599</f>
        <v>1</v>
      </c>
    </row>
    <row r="1600" customFormat="false" ht="15" hidden="false" customHeight="false" outlineLevel="0" collapsed="false">
      <c r="A1600" s="12" t="s">
        <v>709</v>
      </c>
      <c r="B1600" s="12" t="n">
        <f aca="false">COUNTIFS(Cleaned!$D$2:$D$125,6,Cleaned!CB$2:CB$125,0)</f>
        <v>0</v>
      </c>
      <c r="C1600" s="13" t="n">
        <f aca="false">IFERROR(B1600/$F1600,"")</f>
        <v>0</v>
      </c>
      <c r="D1600" s="12" t="n">
        <f aca="false">COUNTIFS(Cleaned!$D$2:$D$125,6,Cleaned!CB$2:CB$125,1)</f>
        <v>2</v>
      </c>
      <c r="E1600" s="13" t="n">
        <f aca="false">IFERROR(D1600/$F1600,"")</f>
        <v>1</v>
      </c>
      <c r="F1600" s="12" t="n">
        <f aca="false">B1600+D1600</f>
        <v>2</v>
      </c>
    </row>
    <row r="1601" customFormat="false" ht="15" hidden="false" customHeight="false" outlineLevel="0" collapsed="false">
      <c r="A1601" s="12" t="s">
        <v>710</v>
      </c>
      <c r="B1601" s="12" t="n">
        <f aca="false">COUNTIFS(Cleaned!$D$2:$D$125,7,Cleaned!CB$2:CB$125,0)</f>
        <v>6</v>
      </c>
      <c r="C1601" s="13" t="n">
        <f aca="false">IFERROR(B1601/$F1601,"")</f>
        <v>0.75</v>
      </c>
      <c r="D1601" s="12" t="n">
        <f aca="false">COUNTIFS(Cleaned!$D$2:$D$125,7,Cleaned!CB$2:CB$125,1)</f>
        <v>2</v>
      </c>
      <c r="E1601" s="13" t="n">
        <f aca="false">IFERROR(D1601/$F1601,"")</f>
        <v>0.25</v>
      </c>
      <c r="F1601" s="12" t="n">
        <f aca="false">B1601+D1601</f>
        <v>8</v>
      </c>
    </row>
    <row r="1602" customFormat="false" ht="15" hidden="false" customHeight="false" outlineLevel="0" collapsed="false">
      <c r="A1602" s="12" t="s">
        <v>711</v>
      </c>
      <c r="B1602" s="12" t="n">
        <f aca="false">COUNTIFS(Cleaned!$D$2:$D$125,8,Cleaned!CB$2:CB$125,0)</f>
        <v>2</v>
      </c>
      <c r="C1602" s="13" t="n">
        <f aca="false">IFERROR(B1602/$F1602,"")</f>
        <v>0.666666666666667</v>
      </c>
      <c r="D1602" s="12" t="n">
        <f aca="false">COUNTIFS(Cleaned!$D$2:$D$125,8,Cleaned!CB$2:CB$125,1)</f>
        <v>1</v>
      </c>
      <c r="E1602" s="13" t="n">
        <f aca="false">IFERROR(D1602/$F1602,"")</f>
        <v>0.333333333333333</v>
      </c>
      <c r="F1602" s="12" t="n">
        <f aca="false">B1602+D1602</f>
        <v>3</v>
      </c>
    </row>
    <row r="1603" customFormat="false" ht="15" hidden="false" customHeight="false" outlineLevel="0" collapsed="false">
      <c r="A1603" s="12" t="s">
        <v>712</v>
      </c>
      <c r="B1603" s="12" t="n">
        <f aca="false">COUNTIFS(Cleaned!$D$2:$D$125,9,Cleaned!CB$2:CB$125,0)</f>
        <v>0</v>
      </c>
      <c r="C1603" s="13" t="n">
        <f aca="false">IFERROR(B1603/$F1603,"")</f>
        <v>0</v>
      </c>
      <c r="D1603" s="12" t="n">
        <f aca="false">COUNTIFS(Cleaned!$D$2:$D$125,9,Cleaned!CB$2:CB$125,1)</f>
        <v>2</v>
      </c>
      <c r="E1603" s="13" t="n">
        <f aca="false">IFERROR(D1603/$F1603,"")</f>
        <v>1</v>
      </c>
      <c r="F1603" s="12" t="n">
        <f aca="false">B1603+D1603</f>
        <v>2</v>
      </c>
    </row>
    <row r="1604" customFormat="false" ht="15" hidden="false" customHeight="false" outlineLevel="0" collapsed="false">
      <c r="A1604" s="12" t="s">
        <v>713</v>
      </c>
      <c r="B1604" s="12" t="n">
        <f aca="false">COUNTIFS(Cleaned!$D$2:$D$125,10,Cleaned!CB$2:CB$125,0)</f>
        <v>0</v>
      </c>
      <c r="C1604" s="13" t="str">
        <f aca="false">IFERROR(B1604/$F1604,"")</f>
        <v/>
      </c>
      <c r="D1604" s="12" t="n">
        <f aca="false">COUNTIFS(Cleaned!$D$2:$D$125,10,Cleaned!CB$2:CB$125,1)</f>
        <v>0</v>
      </c>
      <c r="E1604" s="13" t="str">
        <f aca="false">IFERROR(D1604/$F1604,"")</f>
        <v/>
      </c>
      <c r="F1604" s="12" t="n">
        <f aca="false">B1604+D1604</f>
        <v>0</v>
      </c>
    </row>
    <row r="1605" customFormat="false" ht="15" hidden="false" customHeight="false" outlineLevel="0" collapsed="false">
      <c r="A1605" s="12" t="s">
        <v>714</v>
      </c>
      <c r="B1605" s="12" t="n">
        <f aca="false">COUNTIFS(Cleaned!$D$2:$D$125,11,Cleaned!CB$2:CB$125,0)</f>
        <v>1</v>
      </c>
      <c r="C1605" s="13" t="n">
        <f aca="false">IFERROR(B1605/$F1605,"")</f>
        <v>0.166666666666667</v>
      </c>
      <c r="D1605" s="12" t="n">
        <f aca="false">COUNTIFS(Cleaned!$D$2:$D$125,11,Cleaned!CB$2:CB$125,1)</f>
        <v>5</v>
      </c>
      <c r="E1605" s="13" t="n">
        <f aca="false">IFERROR(D1605/$F1605,"")</f>
        <v>0.833333333333333</v>
      </c>
      <c r="F1605" s="12" t="n">
        <f aca="false">B1605+D1605</f>
        <v>6</v>
      </c>
    </row>
    <row r="1606" customFormat="false" ht="15" hidden="false" customHeight="false" outlineLevel="0" collapsed="false">
      <c r="A1606" s="12" t="s">
        <v>715</v>
      </c>
      <c r="B1606" s="12" t="n">
        <f aca="false">COUNTIFS(Cleaned!$D$2:$D$125,12,Cleaned!CB$2:CB$125,0)</f>
        <v>3</v>
      </c>
      <c r="C1606" s="13" t="n">
        <f aca="false">IFERROR(B1606/$F1606,"")</f>
        <v>0.75</v>
      </c>
      <c r="D1606" s="12" t="n">
        <f aca="false">COUNTIFS(Cleaned!$D$2:$D$125,12,Cleaned!CB$2:CB$125,1)</f>
        <v>1</v>
      </c>
      <c r="E1606" s="13" t="n">
        <f aca="false">IFERROR(D1606/$F1606,"")</f>
        <v>0.25</v>
      </c>
      <c r="F1606" s="12" t="n">
        <f aca="false">B1606+D1606</f>
        <v>4</v>
      </c>
    </row>
    <row r="1607" customFormat="false" ht="15" hidden="false" customHeight="false" outlineLevel="0" collapsed="false">
      <c r="A1607" s="11" t="s">
        <v>716</v>
      </c>
      <c r="B1607" s="11" t="n">
        <f aca="false">SUM(B1595:B1606)</f>
        <v>27</v>
      </c>
      <c r="C1607" s="14" t="n">
        <f aca="false">IFERROR(B1607/$F1607,"")</f>
        <v>0.482142857142857</v>
      </c>
      <c r="D1607" s="11" t="n">
        <f aca="false">SUM(D1595:D1606)</f>
        <v>29</v>
      </c>
      <c r="E1607" s="14" t="n">
        <f aca="false">IFERROR(D1607/$F1607,"")</f>
        <v>0.517857142857143</v>
      </c>
      <c r="F1607" s="11" t="n">
        <f aca="false">SUM(F1595:F1606)</f>
        <v>56</v>
      </c>
    </row>
    <row r="1610" customFormat="false" ht="15" hidden="false" customHeight="false" outlineLevel="0" collapsed="false">
      <c r="A1610" s="6" t="s">
        <v>80</v>
      </c>
      <c r="B1610" s="7" t="s">
        <v>798</v>
      </c>
    </row>
    <row r="1611" customFormat="false" ht="15" hidden="false" customHeight="false" outlineLevel="0" collapsed="false">
      <c r="A1611" s="8"/>
      <c r="B1611" s="9" t="s">
        <v>718</v>
      </c>
      <c r="C1611" s="8"/>
      <c r="D1611" s="9" t="s">
        <v>719</v>
      </c>
      <c r="E1611" s="8"/>
      <c r="F1611" s="9" t="s">
        <v>694</v>
      </c>
    </row>
    <row r="1612" customFormat="false" ht="15" hidden="false" customHeight="false" outlineLevel="0" collapsed="false">
      <c r="B1612" s="10" t="s">
        <v>695</v>
      </c>
      <c r="C1612" s="10" t="s">
        <v>696</v>
      </c>
      <c r="D1612" s="10" t="s">
        <v>695</v>
      </c>
      <c r="E1612" s="10" t="s">
        <v>696</v>
      </c>
    </row>
    <row r="1613" customFormat="false" ht="15" hidden="false" customHeight="false" outlineLevel="0" collapsed="false">
      <c r="A1613" s="11" t="s">
        <v>697</v>
      </c>
    </row>
    <row r="1614" customFormat="false" ht="15" hidden="false" customHeight="false" outlineLevel="0" collapsed="false">
      <c r="A1614" s="12" t="s">
        <v>698</v>
      </c>
      <c r="B1614" s="12" t="n">
        <f aca="false">COUNTIFS(Cleaned!$C$2:$C$125,1,Cleaned!CC$2:CC$125,0)</f>
        <v>6</v>
      </c>
      <c r="C1614" s="13" t="n">
        <f aca="false">IFERROR(B1614/$F1614,"")</f>
        <v>0.75</v>
      </c>
      <c r="D1614" s="12" t="n">
        <f aca="false">COUNTIFS(Cleaned!$C$2:$C$125,1,Cleaned!CC$2:CC$125,1)</f>
        <v>2</v>
      </c>
      <c r="E1614" s="13" t="n">
        <f aca="false">IFERROR(D1614/$F1614,"")</f>
        <v>0.25</v>
      </c>
      <c r="F1614" s="12" t="n">
        <f aca="false">B1614+D1614</f>
        <v>8</v>
      </c>
    </row>
    <row r="1615" customFormat="false" ht="15" hidden="false" customHeight="false" outlineLevel="0" collapsed="false">
      <c r="A1615" s="12" t="s">
        <v>699</v>
      </c>
      <c r="B1615" s="12" t="n">
        <f aca="false">COUNTIFS(Cleaned!$C$2:$C$125,2,Cleaned!CC$2:CC$125,0)</f>
        <v>6</v>
      </c>
      <c r="C1615" s="13" t="n">
        <f aca="false">IFERROR(B1615/$F1615,"")</f>
        <v>0.75</v>
      </c>
      <c r="D1615" s="12" t="n">
        <f aca="false">COUNTIFS(Cleaned!$C$2:$C$125,2,Cleaned!CC$2:CC$125,1)</f>
        <v>2</v>
      </c>
      <c r="E1615" s="13" t="n">
        <f aca="false">IFERROR(D1615/$F1615,"")</f>
        <v>0.25</v>
      </c>
      <c r="F1615" s="12" t="n">
        <f aca="false">B1615+D1615</f>
        <v>8</v>
      </c>
    </row>
    <row r="1616" customFormat="false" ht="15" hidden="false" customHeight="false" outlineLevel="0" collapsed="false">
      <c r="A1616" s="12" t="s">
        <v>700</v>
      </c>
      <c r="B1616" s="12" t="n">
        <f aca="false">COUNTIFS(Cleaned!$C$2:$C$125,3,Cleaned!CC$2:CC$125,0)</f>
        <v>9</v>
      </c>
      <c r="C1616" s="13" t="n">
        <f aca="false">IFERROR(B1616/$F1616,"")</f>
        <v>0.818181818181818</v>
      </c>
      <c r="D1616" s="12" t="n">
        <f aca="false">COUNTIFS(Cleaned!$C$2:$C$125,3,Cleaned!CC$2:CC$125,1)</f>
        <v>2</v>
      </c>
      <c r="E1616" s="13" t="n">
        <f aca="false">IFERROR(D1616/$F1616,"")</f>
        <v>0.181818181818182</v>
      </c>
      <c r="F1616" s="12" t="n">
        <f aca="false">B1616+D1616</f>
        <v>11</v>
      </c>
    </row>
    <row r="1617" customFormat="false" ht="15" hidden="false" customHeight="false" outlineLevel="0" collapsed="false">
      <c r="A1617" s="12" t="s">
        <v>701</v>
      </c>
      <c r="B1617" s="12" t="n">
        <f aca="false">COUNTIFS(Cleaned!$C$2:$C$125,4,Cleaned!CC$2:CC$125,0)</f>
        <v>9</v>
      </c>
      <c r="C1617" s="13" t="n">
        <f aca="false">IFERROR(B1617/$F1617,"")</f>
        <v>0.9</v>
      </c>
      <c r="D1617" s="12" t="n">
        <f aca="false">COUNTIFS(Cleaned!$C$2:$C$125,4,Cleaned!CC$2:CC$125,1)</f>
        <v>1</v>
      </c>
      <c r="E1617" s="13" t="n">
        <f aca="false">IFERROR(D1617/$F1617,"")</f>
        <v>0.1</v>
      </c>
      <c r="F1617" s="12" t="n">
        <f aca="false">B1617+D1617</f>
        <v>10</v>
      </c>
    </row>
    <row r="1618" customFormat="false" ht="15" hidden="false" customHeight="false" outlineLevel="0" collapsed="false">
      <c r="A1618" s="12" t="s">
        <v>702</v>
      </c>
      <c r="B1618" s="12" t="n">
        <f aca="false">COUNTIFS(Cleaned!$C$2:$C$125,5,Cleaned!CC$2:CC$125,0)</f>
        <v>13</v>
      </c>
      <c r="C1618" s="13" t="n">
        <f aca="false">IFERROR(B1618/$F1618,"")</f>
        <v>0.68421052631579</v>
      </c>
      <c r="D1618" s="12" t="n">
        <f aca="false">COUNTIFS(Cleaned!$C$2:$C$125,5,Cleaned!CC$2:CC$125,1)</f>
        <v>6</v>
      </c>
      <c r="E1618" s="13" t="n">
        <f aca="false">IFERROR(D1618/$F1618,"")</f>
        <v>0.315789473684211</v>
      </c>
      <c r="F1618" s="12" t="n">
        <f aca="false">B1618+D1618</f>
        <v>19</v>
      </c>
    </row>
    <row r="1619" customFormat="false" ht="15" hidden="false" customHeight="false" outlineLevel="0" collapsed="false">
      <c r="A1619" s="11" t="s">
        <v>703</v>
      </c>
      <c r="B1619" s="11" t="n">
        <f aca="false">SUM(B1614:B1618)</f>
        <v>43</v>
      </c>
      <c r="C1619" s="14" t="n">
        <f aca="false">IFERROR(B1619/$F1619,"")</f>
        <v>0.767857142857143</v>
      </c>
      <c r="D1619" s="11" t="n">
        <f aca="false">SUM(D1614:D1618)</f>
        <v>13</v>
      </c>
      <c r="E1619" s="14" t="n">
        <f aca="false">IFERROR(D1619/$F1619,"")</f>
        <v>0.232142857142857</v>
      </c>
      <c r="F1619" s="11" t="n">
        <f aca="false">SUM(F1614:F1618)</f>
        <v>56</v>
      </c>
    </row>
    <row r="1620" customFormat="false" ht="15" hidden="false" customHeight="false" outlineLevel="0" collapsed="false">
      <c r="A1620" s="11" t="s">
        <v>3</v>
      </c>
    </row>
    <row r="1621" customFormat="false" ht="15" hidden="false" customHeight="false" outlineLevel="0" collapsed="false">
      <c r="A1621" s="12" t="s">
        <v>704</v>
      </c>
      <c r="B1621" s="12" t="n">
        <f aca="false">COUNTIFS(Cleaned!$D$2:$D$125,1,Cleaned!CC$2:CC$125,0)</f>
        <v>3</v>
      </c>
      <c r="C1621" s="13" t="n">
        <f aca="false">IFERROR(B1621/$F1621,"")</f>
        <v>0.75</v>
      </c>
      <c r="D1621" s="12" t="n">
        <f aca="false">COUNTIFS(Cleaned!$D$2:$D$125,1,Cleaned!CC$2:CC$125,1)</f>
        <v>1</v>
      </c>
      <c r="E1621" s="13" t="n">
        <f aca="false">IFERROR(D1621/$F1621,"")</f>
        <v>0.25</v>
      </c>
      <c r="F1621" s="12" t="n">
        <f aca="false">B1621+D1621</f>
        <v>4</v>
      </c>
    </row>
    <row r="1622" customFormat="false" ht="15" hidden="false" customHeight="false" outlineLevel="0" collapsed="false">
      <c r="A1622" s="12" t="s">
        <v>705</v>
      </c>
      <c r="B1622" s="12" t="n">
        <f aca="false">COUNTIFS(Cleaned!$D$2:$D$125,2,Cleaned!CC$2:CC$125,0)</f>
        <v>7</v>
      </c>
      <c r="C1622" s="13" t="n">
        <f aca="false">IFERROR(B1622/$F1622,"")</f>
        <v>0.583333333333333</v>
      </c>
      <c r="D1622" s="12" t="n">
        <f aca="false">COUNTIFS(Cleaned!$D$2:$D$125,2,Cleaned!CC$2:CC$125,1)</f>
        <v>5</v>
      </c>
      <c r="E1622" s="13" t="n">
        <f aca="false">IFERROR(D1622/$F1622,"")</f>
        <v>0.416666666666667</v>
      </c>
      <c r="F1622" s="12" t="n">
        <f aca="false">B1622+D1622</f>
        <v>12</v>
      </c>
    </row>
    <row r="1623" customFormat="false" ht="15" hidden="false" customHeight="false" outlineLevel="0" collapsed="false">
      <c r="A1623" s="12" t="s">
        <v>706</v>
      </c>
      <c r="B1623" s="12" t="n">
        <f aca="false">COUNTIFS(Cleaned!$D$2:$D$125,3,Cleaned!CC$2:CC$125,0)</f>
        <v>7</v>
      </c>
      <c r="C1623" s="13" t="n">
        <f aca="false">IFERROR(B1623/$F1623,"")</f>
        <v>0.875</v>
      </c>
      <c r="D1623" s="12" t="n">
        <f aca="false">COUNTIFS(Cleaned!$D$2:$D$125,3,Cleaned!CC$2:CC$125,1)</f>
        <v>1</v>
      </c>
      <c r="E1623" s="13" t="n">
        <f aca="false">IFERROR(D1623/$F1623,"")</f>
        <v>0.125</v>
      </c>
      <c r="F1623" s="12" t="n">
        <f aca="false">B1623+D1623</f>
        <v>8</v>
      </c>
    </row>
    <row r="1624" customFormat="false" ht="15" hidden="false" customHeight="false" outlineLevel="0" collapsed="false">
      <c r="A1624" s="12" t="s">
        <v>707</v>
      </c>
      <c r="B1624" s="12" t="n">
        <f aca="false">COUNTIFS(Cleaned!$D$2:$D$125,4,Cleaned!CC$2:CC$125,0)</f>
        <v>5</v>
      </c>
      <c r="C1624" s="13" t="n">
        <f aca="false">IFERROR(B1624/$F1624,"")</f>
        <v>0.833333333333333</v>
      </c>
      <c r="D1624" s="12" t="n">
        <f aca="false">COUNTIFS(Cleaned!$D$2:$D$125,4,Cleaned!CC$2:CC$125,1)</f>
        <v>1</v>
      </c>
      <c r="E1624" s="13" t="n">
        <f aca="false">IFERROR(D1624/$F1624,"")</f>
        <v>0.166666666666667</v>
      </c>
      <c r="F1624" s="12" t="n">
        <f aca="false">B1624+D1624</f>
        <v>6</v>
      </c>
    </row>
    <row r="1625" customFormat="false" ht="15" hidden="false" customHeight="false" outlineLevel="0" collapsed="false">
      <c r="A1625" s="12" t="s">
        <v>708</v>
      </c>
      <c r="B1625" s="12" t="n">
        <f aca="false">COUNTIFS(Cleaned!$D$2:$D$125,5,Cleaned!CC$2:CC$125,0)</f>
        <v>1</v>
      </c>
      <c r="C1625" s="13" t="n">
        <f aca="false">IFERROR(B1625/$F1625,"")</f>
        <v>1</v>
      </c>
      <c r="D1625" s="12" t="n">
        <f aca="false">COUNTIFS(Cleaned!$D$2:$D$125,5,Cleaned!CC$2:CC$125,1)</f>
        <v>0</v>
      </c>
      <c r="E1625" s="13" t="n">
        <f aca="false">IFERROR(D1625/$F1625,"")</f>
        <v>0</v>
      </c>
      <c r="F1625" s="12" t="n">
        <f aca="false">B1625+D1625</f>
        <v>1</v>
      </c>
    </row>
    <row r="1626" customFormat="false" ht="15" hidden="false" customHeight="false" outlineLevel="0" collapsed="false">
      <c r="A1626" s="12" t="s">
        <v>709</v>
      </c>
      <c r="B1626" s="12" t="n">
        <f aca="false">COUNTIFS(Cleaned!$D$2:$D$125,6,Cleaned!CC$2:CC$125,0)</f>
        <v>2</v>
      </c>
      <c r="C1626" s="13" t="n">
        <f aca="false">IFERROR(B1626/$F1626,"")</f>
        <v>1</v>
      </c>
      <c r="D1626" s="12" t="n">
        <f aca="false">COUNTIFS(Cleaned!$D$2:$D$125,6,Cleaned!CC$2:CC$125,1)</f>
        <v>0</v>
      </c>
      <c r="E1626" s="13" t="n">
        <f aca="false">IFERROR(D1626/$F1626,"")</f>
        <v>0</v>
      </c>
      <c r="F1626" s="12" t="n">
        <f aca="false">B1626+D1626</f>
        <v>2</v>
      </c>
    </row>
    <row r="1627" customFormat="false" ht="15" hidden="false" customHeight="false" outlineLevel="0" collapsed="false">
      <c r="A1627" s="12" t="s">
        <v>710</v>
      </c>
      <c r="B1627" s="12" t="n">
        <f aca="false">COUNTIFS(Cleaned!$D$2:$D$125,7,Cleaned!CC$2:CC$125,0)</f>
        <v>7</v>
      </c>
      <c r="C1627" s="13" t="n">
        <f aca="false">IFERROR(B1627/$F1627,"")</f>
        <v>0.875</v>
      </c>
      <c r="D1627" s="12" t="n">
        <f aca="false">COUNTIFS(Cleaned!$D$2:$D$125,7,Cleaned!CC$2:CC$125,1)</f>
        <v>1</v>
      </c>
      <c r="E1627" s="13" t="n">
        <f aca="false">IFERROR(D1627/$F1627,"")</f>
        <v>0.125</v>
      </c>
      <c r="F1627" s="12" t="n">
        <f aca="false">B1627+D1627</f>
        <v>8</v>
      </c>
    </row>
    <row r="1628" customFormat="false" ht="15" hidden="false" customHeight="false" outlineLevel="0" collapsed="false">
      <c r="A1628" s="12" t="s">
        <v>711</v>
      </c>
      <c r="B1628" s="12" t="n">
        <f aca="false">COUNTIFS(Cleaned!$D$2:$D$125,8,Cleaned!CC$2:CC$125,0)</f>
        <v>2</v>
      </c>
      <c r="C1628" s="13" t="n">
        <f aca="false">IFERROR(B1628/$F1628,"")</f>
        <v>0.666666666666667</v>
      </c>
      <c r="D1628" s="12" t="n">
        <f aca="false">COUNTIFS(Cleaned!$D$2:$D$125,8,Cleaned!CC$2:CC$125,1)</f>
        <v>1</v>
      </c>
      <c r="E1628" s="13" t="n">
        <f aca="false">IFERROR(D1628/$F1628,"")</f>
        <v>0.333333333333333</v>
      </c>
      <c r="F1628" s="12" t="n">
        <f aca="false">B1628+D1628</f>
        <v>3</v>
      </c>
    </row>
    <row r="1629" customFormat="false" ht="15" hidden="false" customHeight="false" outlineLevel="0" collapsed="false">
      <c r="A1629" s="12" t="s">
        <v>712</v>
      </c>
      <c r="B1629" s="12" t="n">
        <f aca="false">COUNTIFS(Cleaned!$D$2:$D$125,9,Cleaned!CC$2:CC$125,0)</f>
        <v>2</v>
      </c>
      <c r="C1629" s="13" t="n">
        <f aca="false">IFERROR(B1629/$F1629,"")</f>
        <v>1</v>
      </c>
      <c r="D1629" s="12" t="n">
        <f aca="false">COUNTIFS(Cleaned!$D$2:$D$125,9,Cleaned!CC$2:CC$125,1)</f>
        <v>0</v>
      </c>
      <c r="E1629" s="13" t="n">
        <f aca="false">IFERROR(D1629/$F1629,"")</f>
        <v>0</v>
      </c>
      <c r="F1629" s="12" t="n">
        <f aca="false">B1629+D1629</f>
        <v>2</v>
      </c>
    </row>
    <row r="1630" customFormat="false" ht="15" hidden="false" customHeight="false" outlineLevel="0" collapsed="false">
      <c r="A1630" s="12" t="s">
        <v>713</v>
      </c>
      <c r="B1630" s="12" t="n">
        <f aca="false">COUNTIFS(Cleaned!$D$2:$D$125,10,Cleaned!CC$2:CC$125,0)</f>
        <v>0</v>
      </c>
      <c r="C1630" s="13" t="str">
        <f aca="false">IFERROR(B1630/$F1630,"")</f>
        <v/>
      </c>
      <c r="D1630" s="12" t="n">
        <f aca="false">COUNTIFS(Cleaned!$D$2:$D$125,10,Cleaned!CC$2:CC$125,1)</f>
        <v>0</v>
      </c>
      <c r="E1630" s="13" t="str">
        <f aca="false">IFERROR(D1630/$F1630,"")</f>
        <v/>
      </c>
      <c r="F1630" s="12" t="n">
        <f aca="false">B1630+D1630</f>
        <v>0</v>
      </c>
    </row>
    <row r="1631" customFormat="false" ht="15" hidden="false" customHeight="false" outlineLevel="0" collapsed="false">
      <c r="A1631" s="12" t="s">
        <v>714</v>
      </c>
      <c r="B1631" s="12" t="n">
        <f aca="false">COUNTIFS(Cleaned!$D$2:$D$125,11,Cleaned!CC$2:CC$125,0)</f>
        <v>4</v>
      </c>
      <c r="C1631" s="13" t="n">
        <f aca="false">IFERROR(B1631/$F1631,"")</f>
        <v>0.666666666666667</v>
      </c>
      <c r="D1631" s="12" t="n">
        <f aca="false">COUNTIFS(Cleaned!$D$2:$D$125,11,Cleaned!CC$2:CC$125,1)</f>
        <v>2</v>
      </c>
      <c r="E1631" s="13" t="n">
        <f aca="false">IFERROR(D1631/$F1631,"")</f>
        <v>0.333333333333333</v>
      </c>
      <c r="F1631" s="12" t="n">
        <f aca="false">B1631+D1631</f>
        <v>6</v>
      </c>
    </row>
    <row r="1632" customFormat="false" ht="15" hidden="false" customHeight="false" outlineLevel="0" collapsed="false">
      <c r="A1632" s="12" t="s">
        <v>715</v>
      </c>
      <c r="B1632" s="12" t="n">
        <f aca="false">COUNTIFS(Cleaned!$D$2:$D$125,12,Cleaned!CC$2:CC$125,0)</f>
        <v>3</v>
      </c>
      <c r="C1632" s="13" t="n">
        <f aca="false">IFERROR(B1632/$F1632,"")</f>
        <v>0.75</v>
      </c>
      <c r="D1632" s="12" t="n">
        <f aca="false">COUNTIFS(Cleaned!$D$2:$D$125,12,Cleaned!CC$2:CC$125,1)</f>
        <v>1</v>
      </c>
      <c r="E1632" s="13" t="n">
        <f aca="false">IFERROR(D1632/$F1632,"")</f>
        <v>0.25</v>
      </c>
      <c r="F1632" s="12" t="n">
        <f aca="false">B1632+D1632</f>
        <v>4</v>
      </c>
    </row>
    <row r="1633" customFormat="false" ht="15" hidden="false" customHeight="false" outlineLevel="0" collapsed="false">
      <c r="A1633" s="11" t="s">
        <v>716</v>
      </c>
      <c r="B1633" s="11" t="n">
        <f aca="false">SUM(B1621:B1632)</f>
        <v>43</v>
      </c>
      <c r="C1633" s="14" t="n">
        <f aca="false">IFERROR(B1633/$F1633,"")</f>
        <v>0.767857142857143</v>
      </c>
      <c r="D1633" s="11" t="n">
        <f aca="false">SUM(D1621:D1632)</f>
        <v>13</v>
      </c>
      <c r="E1633" s="14" t="n">
        <f aca="false">IFERROR(D1633/$F1633,"")</f>
        <v>0.232142857142857</v>
      </c>
      <c r="F1633" s="11" t="n">
        <f aca="false">SUM(F1621:F1632)</f>
        <v>56</v>
      </c>
    </row>
    <row r="1636" customFormat="false" ht="15" hidden="false" customHeight="false" outlineLevel="0" collapsed="false">
      <c r="A1636" s="6" t="s">
        <v>81</v>
      </c>
      <c r="B1636" s="7" t="s">
        <v>799</v>
      </c>
    </row>
    <row r="1637" customFormat="false" ht="15" hidden="false" customHeight="false" outlineLevel="0" collapsed="false">
      <c r="A1637" s="8"/>
      <c r="B1637" s="9" t="s">
        <v>718</v>
      </c>
      <c r="C1637" s="8"/>
      <c r="D1637" s="9" t="s">
        <v>719</v>
      </c>
      <c r="E1637" s="8"/>
      <c r="F1637" s="9" t="s">
        <v>694</v>
      </c>
    </row>
    <row r="1638" customFormat="false" ht="15" hidden="false" customHeight="false" outlineLevel="0" collapsed="false">
      <c r="B1638" s="10" t="s">
        <v>695</v>
      </c>
      <c r="C1638" s="10" t="s">
        <v>696</v>
      </c>
      <c r="D1638" s="10" t="s">
        <v>695</v>
      </c>
      <c r="E1638" s="10" t="s">
        <v>696</v>
      </c>
    </row>
    <row r="1639" customFormat="false" ht="15" hidden="false" customHeight="false" outlineLevel="0" collapsed="false">
      <c r="A1639" s="11" t="s">
        <v>697</v>
      </c>
    </row>
    <row r="1640" customFormat="false" ht="15" hidden="false" customHeight="false" outlineLevel="0" collapsed="false">
      <c r="A1640" s="12" t="s">
        <v>698</v>
      </c>
      <c r="B1640" s="12" t="n">
        <f aca="false">COUNTIFS(Cleaned!$C$2:$C$125,1,Cleaned!CD$2:CD$125,0)</f>
        <v>7</v>
      </c>
      <c r="C1640" s="13" t="n">
        <f aca="false">IFERROR(B1640/$F1640,"")</f>
        <v>0.875</v>
      </c>
      <c r="D1640" s="12" t="n">
        <f aca="false">COUNTIFS(Cleaned!$C$2:$C$125,1,Cleaned!CD$2:CD$125,1)</f>
        <v>1</v>
      </c>
      <c r="E1640" s="13" t="n">
        <f aca="false">IFERROR(D1640/$F1640,"")</f>
        <v>0.125</v>
      </c>
      <c r="F1640" s="12" t="n">
        <f aca="false">B1640+D1640</f>
        <v>8</v>
      </c>
    </row>
    <row r="1641" customFormat="false" ht="15" hidden="false" customHeight="false" outlineLevel="0" collapsed="false">
      <c r="A1641" s="12" t="s">
        <v>699</v>
      </c>
      <c r="B1641" s="12" t="n">
        <f aca="false">COUNTIFS(Cleaned!$C$2:$C$125,2,Cleaned!CD$2:CD$125,0)</f>
        <v>8</v>
      </c>
      <c r="C1641" s="13" t="n">
        <f aca="false">IFERROR(B1641/$F1641,"")</f>
        <v>1</v>
      </c>
      <c r="D1641" s="12" t="n">
        <f aca="false">COUNTIFS(Cleaned!$C$2:$C$125,2,Cleaned!CD$2:CD$125,1)</f>
        <v>0</v>
      </c>
      <c r="E1641" s="13" t="n">
        <f aca="false">IFERROR(D1641/$F1641,"")</f>
        <v>0</v>
      </c>
      <c r="F1641" s="12" t="n">
        <f aca="false">B1641+D1641</f>
        <v>8</v>
      </c>
    </row>
    <row r="1642" customFormat="false" ht="15" hidden="false" customHeight="false" outlineLevel="0" collapsed="false">
      <c r="A1642" s="12" t="s">
        <v>700</v>
      </c>
      <c r="B1642" s="12" t="n">
        <f aca="false">COUNTIFS(Cleaned!$C$2:$C$125,3,Cleaned!CD$2:CD$125,0)</f>
        <v>11</v>
      </c>
      <c r="C1642" s="13" t="n">
        <f aca="false">IFERROR(B1642/$F1642,"")</f>
        <v>1</v>
      </c>
      <c r="D1642" s="12" t="n">
        <f aca="false">COUNTIFS(Cleaned!$C$2:$C$125,3,Cleaned!CD$2:CD$125,1)</f>
        <v>0</v>
      </c>
      <c r="E1642" s="13" t="n">
        <f aca="false">IFERROR(D1642/$F1642,"")</f>
        <v>0</v>
      </c>
      <c r="F1642" s="12" t="n">
        <f aca="false">B1642+D1642</f>
        <v>11</v>
      </c>
    </row>
    <row r="1643" customFormat="false" ht="15" hidden="false" customHeight="false" outlineLevel="0" collapsed="false">
      <c r="A1643" s="12" t="s">
        <v>701</v>
      </c>
      <c r="B1643" s="12" t="n">
        <f aca="false">COUNTIFS(Cleaned!$C$2:$C$125,4,Cleaned!CD$2:CD$125,0)</f>
        <v>9</v>
      </c>
      <c r="C1643" s="13" t="n">
        <f aca="false">IFERROR(B1643/$F1643,"")</f>
        <v>0.9</v>
      </c>
      <c r="D1643" s="12" t="n">
        <f aca="false">COUNTIFS(Cleaned!$C$2:$C$125,4,Cleaned!CD$2:CD$125,1)</f>
        <v>1</v>
      </c>
      <c r="E1643" s="13" t="n">
        <f aca="false">IFERROR(D1643/$F1643,"")</f>
        <v>0.1</v>
      </c>
      <c r="F1643" s="12" t="n">
        <f aca="false">B1643+D1643</f>
        <v>10</v>
      </c>
    </row>
    <row r="1644" customFormat="false" ht="15" hidden="false" customHeight="false" outlineLevel="0" collapsed="false">
      <c r="A1644" s="12" t="s">
        <v>702</v>
      </c>
      <c r="B1644" s="12" t="n">
        <f aca="false">COUNTIFS(Cleaned!$C$2:$C$125,5,Cleaned!CD$2:CD$125,0)</f>
        <v>17</v>
      </c>
      <c r="C1644" s="13" t="n">
        <f aca="false">IFERROR(B1644/$F1644,"")</f>
        <v>0.894736842105263</v>
      </c>
      <c r="D1644" s="12" t="n">
        <f aca="false">COUNTIFS(Cleaned!$C$2:$C$125,5,Cleaned!CD$2:CD$125,1)</f>
        <v>2</v>
      </c>
      <c r="E1644" s="13" t="n">
        <f aca="false">IFERROR(D1644/$F1644,"")</f>
        <v>0.105263157894737</v>
      </c>
      <c r="F1644" s="12" t="n">
        <f aca="false">B1644+D1644</f>
        <v>19</v>
      </c>
    </row>
    <row r="1645" customFormat="false" ht="15" hidden="false" customHeight="false" outlineLevel="0" collapsed="false">
      <c r="A1645" s="11" t="s">
        <v>703</v>
      </c>
      <c r="B1645" s="11" t="n">
        <f aca="false">SUM(B1640:B1644)</f>
        <v>52</v>
      </c>
      <c r="C1645" s="14" t="n">
        <f aca="false">IFERROR(B1645/$F1645,"")</f>
        <v>0.928571428571429</v>
      </c>
      <c r="D1645" s="11" t="n">
        <f aca="false">SUM(D1640:D1644)</f>
        <v>4</v>
      </c>
      <c r="E1645" s="14" t="n">
        <f aca="false">IFERROR(D1645/$F1645,"")</f>
        <v>0.0714285714285714</v>
      </c>
      <c r="F1645" s="11" t="n">
        <f aca="false">SUM(F1640:F1644)</f>
        <v>56</v>
      </c>
    </row>
    <row r="1646" customFormat="false" ht="15" hidden="false" customHeight="false" outlineLevel="0" collapsed="false">
      <c r="A1646" s="11" t="s">
        <v>3</v>
      </c>
    </row>
    <row r="1647" customFormat="false" ht="15" hidden="false" customHeight="false" outlineLevel="0" collapsed="false">
      <c r="A1647" s="12" t="s">
        <v>704</v>
      </c>
      <c r="B1647" s="12" t="n">
        <f aca="false">COUNTIFS(Cleaned!$D$2:$D$125,1,Cleaned!CD$2:CD$125,0)</f>
        <v>4</v>
      </c>
      <c r="C1647" s="13" t="n">
        <f aca="false">IFERROR(B1647/$F1647,"")</f>
        <v>1</v>
      </c>
      <c r="D1647" s="12" t="n">
        <f aca="false">COUNTIFS(Cleaned!$D$2:$D$125,1,Cleaned!CD$2:CD$125,1)</f>
        <v>0</v>
      </c>
      <c r="E1647" s="13" t="n">
        <f aca="false">IFERROR(D1647/$F1647,"")</f>
        <v>0</v>
      </c>
      <c r="F1647" s="12" t="n">
        <f aca="false">B1647+D1647</f>
        <v>4</v>
      </c>
    </row>
    <row r="1648" customFormat="false" ht="15" hidden="false" customHeight="false" outlineLevel="0" collapsed="false">
      <c r="A1648" s="12" t="s">
        <v>705</v>
      </c>
      <c r="B1648" s="12" t="n">
        <f aca="false">COUNTIFS(Cleaned!$D$2:$D$125,2,Cleaned!CD$2:CD$125,0)</f>
        <v>10</v>
      </c>
      <c r="C1648" s="13" t="n">
        <f aca="false">IFERROR(B1648/$F1648,"")</f>
        <v>0.833333333333333</v>
      </c>
      <c r="D1648" s="12" t="n">
        <f aca="false">COUNTIFS(Cleaned!$D$2:$D$125,2,Cleaned!CD$2:CD$125,1)</f>
        <v>2</v>
      </c>
      <c r="E1648" s="13" t="n">
        <f aca="false">IFERROR(D1648/$F1648,"")</f>
        <v>0.166666666666667</v>
      </c>
      <c r="F1648" s="12" t="n">
        <f aca="false">B1648+D1648</f>
        <v>12</v>
      </c>
    </row>
    <row r="1649" customFormat="false" ht="15" hidden="false" customHeight="false" outlineLevel="0" collapsed="false">
      <c r="A1649" s="12" t="s">
        <v>706</v>
      </c>
      <c r="B1649" s="12" t="n">
        <f aca="false">COUNTIFS(Cleaned!$D$2:$D$125,3,Cleaned!CD$2:CD$125,0)</f>
        <v>8</v>
      </c>
      <c r="C1649" s="13" t="n">
        <f aca="false">IFERROR(B1649/$F1649,"")</f>
        <v>1</v>
      </c>
      <c r="D1649" s="12" t="n">
        <f aca="false">COUNTIFS(Cleaned!$D$2:$D$125,3,Cleaned!CD$2:CD$125,1)</f>
        <v>0</v>
      </c>
      <c r="E1649" s="13" t="n">
        <f aca="false">IFERROR(D1649/$F1649,"")</f>
        <v>0</v>
      </c>
      <c r="F1649" s="12" t="n">
        <f aca="false">B1649+D1649</f>
        <v>8</v>
      </c>
    </row>
    <row r="1650" customFormat="false" ht="15" hidden="false" customHeight="false" outlineLevel="0" collapsed="false">
      <c r="A1650" s="12" t="s">
        <v>707</v>
      </c>
      <c r="B1650" s="12" t="n">
        <f aca="false">COUNTIFS(Cleaned!$D$2:$D$125,4,Cleaned!CD$2:CD$125,0)</f>
        <v>6</v>
      </c>
      <c r="C1650" s="13" t="n">
        <f aca="false">IFERROR(B1650/$F1650,"")</f>
        <v>1</v>
      </c>
      <c r="D1650" s="12" t="n">
        <f aca="false">COUNTIFS(Cleaned!$D$2:$D$125,4,Cleaned!CD$2:CD$125,1)</f>
        <v>0</v>
      </c>
      <c r="E1650" s="13" t="n">
        <f aca="false">IFERROR(D1650/$F1650,"")</f>
        <v>0</v>
      </c>
      <c r="F1650" s="12" t="n">
        <f aca="false">B1650+D1650</f>
        <v>6</v>
      </c>
    </row>
    <row r="1651" customFormat="false" ht="15" hidden="false" customHeight="false" outlineLevel="0" collapsed="false">
      <c r="A1651" s="12" t="s">
        <v>708</v>
      </c>
      <c r="B1651" s="12" t="n">
        <f aca="false">COUNTIFS(Cleaned!$D$2:$D$125,5,Cleaned!CD$2:CD$125,0)</f>
        <v>1</v>
      </c>
      <c r="C1651" s="13" t="n">
        <f aca="false">IFERROR(B1651/$F1651,"")</f>
        <v>1</v>
      </c>
      <c r="D1651" s="12" t="n">
        <f aca="false">COUNTIFS(Cleaned!$D$2:$D$125,5,Cleaned!CD$2:CD$125,1)</f>
        <v>0</v>
      </c>
      <c r="E1651" s="13" t="n">
        <f aca="false">IFERROR(D1651/$F1651,"")</f>
        <v>0</v>
      </c>
      <c r="F1651" s="12" t="n">
        <f aca="false">B1651+D1651</f>
        <v>1</v>
      </c>
    </row>
    <row r="1652" customFormat="false" ht="15" hidden="false" customHeight="false" outlineLevel="0" collapsed="false">
      <c r="A1652" s="12" t="s">
        <v>709</v>
      </c>
      <c r="B1652" s="12" t="n">
        <f aca="false">COUNTIFS(Cleaned!$D$2:$D$125,6,Cleaned!CD$2:CD$125,0)</f>
        <v>2</v>
      </c>
      <c r="C1652" s="13" t="n">
        <f aca="false">IFERROR(B1652/$F1652,"")</f>
        <v>1</v>
      </c>
      <c r="D1652" s="12" t="n">
        <f aca="false">COUNTIFS(Cleaned!$D$2:$D$125,6,Cleaned!CD$2:CD$125,1)</f>
        <v>0</v>
      </c>
      <c r="E1652" s="13" t="n">
        <f aca="false">IFERROR(D1652/$F1652,"")</f>
        <v>0</v>
      </c>
      <c r="F1652" s="12" t="n">
        <f aca="false">B1652+D1652</f>
        <v>2</v>
      </c>
    </row>
    <row r="1653" customFormat="false" ht="15" hidden="false" customHeight="false" outlineLevel="0" collapsed="false">
      <c r="A1653" s="12" t="s">
        <v>710</v>
      </c>
      <c r="B1653" s="12" t="n">
        <f aca="false">COUNTIFS(Cleaned!$D$2:$D$125,7,Cleaned!CD$2:CD$125,0)</f>
        <v>8</v>
      </c>
      <c r="C1653" s="13" t="n">
        <f aca="false">IFERROR(B1653/$F1653,"")</f>
        <v>1</v>
      </c>
      <c r="D1653" s="12" t="n">
        <f aca="false">COUNTIFS(Cleaned!$D$2:$D$125,7,Cleaned!CD$2:CD$125,1)</f>
        <v>0</v>
      </c>
      <c r="E1653" s="13" t="n">
        <f aca="false">IFERROR(D1653/$F1653,"")</f>
        <v>0</v>
      </c>
      <c r="F1653" s="12" t="n">
        <f aca="false">B1653+D1653</f>
        <v>8</v>
      </c>
    </row>
    <row r="1654" customFormat="false" ht="15" hidden="false" customHeight="false" outlineLevel="0" collapsed="false">
      <c r="A1654" s="12" t="s">
        <v>711</v>
      </c>
      <c r="B1654" s="12" t="n">
        <f aca="false">COUNTIFS(Cleaned!$D$2:$D$125,8,Cleaned!CD$2:CD$125,0)</f>
        <v>2</v>
      </c>
      <c r="C1654" s="13" t="n">
        <f aca="false">IFERROR(B1654/$F1654,"")</f>
        <v>0.666666666666667</v>
      </c>
      <c r="D1654" s="12" t="n">
        <f aca="false">COUNTIFS(Cleaned!$D$2:$D$125,8,Cleaned!CD$2:CD$125,1)</f>
        <v>1</v>
      </c>
      <c r="E1654" s="13" t="n">
        <f aca="false">IFERROR(D1654/$F1654,"")</f>
        <v>0.333333333333333</v>
      </c>
      <c r="F1654" s="12" t="n">
        <f aca="false">B1654+D1654</f>
        <v>3</v>
      </c>
    </row>
    <row r="1655" customFormat="false" ht="15" hidden="false" customHeight="false" outlineLevel="0" collapsed="false">
      <c r="A1655" s="12" t="s">
        <v>712</v>
      </c>
      <c r="B1655" s="12" t="n">
        <f aca="false">COUNTIFS(Cleaned!$D$2:$D$125,9,Cleaned!CD$2:CD$125,0)</f>
        <v>2</v>
      </c>
      <c r="C1655" s="13" t="n">
        <f aca="false">IFERROR(B1655/$F1655,"")</f>
        <v>1</v>
      </c>
      <c r="D1655" s="12" t="n">
        <f aca="false">COUNTIFS(Cleaned!$D$2:$D$125,9,Cleaned!CD$2:CD$125,1)</f>
        <v>0</v>
      </c>
      <c r="E1655" s="13" t="n">
        <f aca="false">IFERROR(D1655/$F1655,"")</f>
        <v>0</v>
      </c>
      <c r="F1655" s="12" t="n">
        <f aca="false">B1655+D1655</f>
        <v>2</v>
      </c>
    </row>
    <row r="1656" customFormat="false" ht="15" hidden="false" customHeight="false" outlineLevel="0" collapsed="false">
      <c r="A1656" s="12" t="s">
        <v>713</v>
      </c>
      <c r="B1656" s="12" t="n">
        <f aca="false">COUNTIFS(Cleaned!$D$2:$D$125,10,Cleaned!CD$2:CD$125,0)</f>
        <v>0</v>
      </c>
      <c r="C1656" s="13" t="str">
        <f aca="false">IFERROR(B1656/$F1656,"")</f>
        <v/>
      </c>
      <c r="D1656" s="12" t="n">
        <f aca="false">COUNTIFS(Cleaned!$D$2:$D$125,10,Cleaned!CD$2:CD$125,1)</f>
        <v>0</v>
      </c>
      <c r="E1656" s="13" t="str">
        <f aca="false">IFERROR(D1656/$F1656,"")</f>
        <v/>
      </c>
      <c r="F1656" s="12" t="n">
        <f aca="false">B1656+D1656</f>
        <v>0</v>
      </c>
    </row>
    <row r="1657" customFormat="false" ht="15" hidden="false" customHeight="false" outlineLevel="0" collapsed="false">
      <c r="A1657" s="12" t="s">
        <v>714</v>
      </c>
      <c r="B1657" s="12" t="n">
        <f aca="false">COUNTIFS(Cleaned!$D$2:$D$125,11,Cleaned!CD$2:CD$125,0)</f>
        <v>5</v>
      </c>
      <c r="C1657" s="13" t="n">
        <f aca="false">IFERROR(B1657/$F1657,"")</f>
        <v>0.833333333333333</v>
      </c>
      <c r="D1657" s="12" t="n">
        <f aca="false">COUNTIFS(Cleaned!$D$2:$D$125,11,Cleaned!CD$2:CD$125,1)</f>
        <v>1</v>
      </c>
      <c r="E1657" s="13" t="n">
        <f aca="false">IFERROR(D1657/$F1657,"")</f>
        <v>0.166666666666667</v>
      </c>
      <c r="F1657" s="12" t="n">
        <f aca="false">B1657+D1657</f>
        <v>6</v>
      </c>
    </row>
    <row r="1658" customFormat="false" ht="15" hidden="false" customHeight="false" outlineLevel="0" collapsed="false">
      <c r="A1658" s="12" t="s">
        <v>715</v>
      </c>
      <c r="B1658" s="12" t="n">
        <f aca="false">COUNTIFS(Cleaned!$D$2:$D$125,12,Cleaned!CD$2:CD$125,0)</f>
        <v>4</v>
      </c>
      <c r="C1658" s="13" t="n">
        <f aca="false">IFERROR(B1658/$F1658,"")</f>
        <v>1</v>
      </c>
      <c r="D1658" s="12" t="n">
        <f aca="false">COUNTIFS(Cleaned!$D$2:$D$125,12,Cleaned!CD$2:CD$125,1)</f>
        <v>0</v>
      </c>
      <c r="E1658" s="13" t="n">
        <f aca="false">IFERROR(D1658/$F1658,"")</f>
        <v>0</v>
      </c>
      <c r="F1658" s="12" t="n">
        <f aca="false">B1658+D1658</f>
        <v>4</v>
      </c>
    </row>
    <row r="1659" customFormat="false" ht="15" hidden="false" customHeight="false" outlineLevel="0" collapsed="false">
      <c r="A1659" s="11" t="s">
        <v>716</v>
      </c>
      <c r="B1659" s="11" t="n">
        <f aca="false">SUM(B1647:B1658)</f>
        <v>52</v>
      </c>
      <c r="C1659" s="14" t="n">
        <f aca="false">IFERROR(B1659/$F1659,"")</f>
        <v>0.928571428571429</v>
      </c>
      <c r="D1659" s="11" t="n">
        <f aca="false">SUM(D1647:D1658)</f>
        <v>4</v>
      </c>
      <c r="E1659" s="14" t="n">
        <f aca="false">IFERROR(D1659/$F1659,"")</f>
        <v>0.0714285714285714</v>
      </c>
      <c r="F1659" s="11" t="n">
        <f aca="false">SUM(F1647:F1658)</f>
        <v>56</v>
      </c>
    </row>
    <row r="1662" customFormat="false" ht="15" hidden="false" customHeight="false" outlineLevel="0" collapsed="false">
      <c r="A1662" s="6" t="s">
        <v>82</v>
      </c>
      <c r="B1662" s="7" t="s">
        <v>800</v>
      </c>
    </row>
    <row r="1663" customFormat="false" ht="15" hidden="false" customHeight="false" outlineLevel="0" collapsed="false">
      <c r="A1663" s="8"/>
      <c r="B1663" s="9" t="s">
        <v>718</v>
      </c>
      <c r="C1663" s="8"/>
      <c r="D1663" s="9" t="s">
        <v>719</v>
      </c>
      <c r="E1663" s="8"/>
      <c r="F1663" s="9" t="s">
        <v>694</v>
      </c>
    </row>
    <row r="1664" customFormat="false" ht="15" hidden="false" customHeight="false" outlineLevel="0" collapsed="false">
      <c r="B1664" s="10" t="s">
        <v>695</v>
      </c>
      <c r="C1664" s="10" t="s">
        <v>696</v>
      </c>
      <c r="D1664" s="10" t="s">
        <v>695</v>
      </c>
      <c r="E1664" s="10" t="s">
        <v>696</v>
      </c>
    </row>
    <row r="1665" customFormat="false" ht="15" hidden="false" customHeight="false" outlineLevel="0" collapsed="false">
      <c r="A1665" s="11" t="s">
        <v>697</v>
      </c>
    </row>
    <row r="1666" customFormat="false" ht="15" hidden="false" customHeight="false" outlineLevel="0" collapsed="false">
      <c r="A1666" s="12" t="s">
        <v>698</v>
      </c>
      <c r="B1666" s="12" t="n">
        <f aca="false">COUNTIFS(Cleaned!$C$2:$C$125,1,Cleaned!CE$2:CE$125,0)</f>
        <v>4</v>
      </c>
      <c r="C1666" s="13" t="n">
        <f aca="false">IFERROR(B1666/$F1666,"")</f>
        <v>0.5</v>
      </c>
      <c r="D1666" s="12" t="n">
        <f aca="false">COUNTIFS(Cleaned!$C$2:$C$125,1,Cleaned!CE$2:CE$125,1)</f>
        <v>4</v>
      </c>
      <c r="E1666" s="13" t="n">
        <f aca="false">IFERROR(D1666/$F1666,"")</f>
        <v>0.5</v>
      </c>
      <c r="F1666" s="12" t="n">
        <f aca="false">B1666+D1666</f>
        <v>8</v>
      </c>
    </row>
    <row r="1667" customFormat="false" ht="15" hidden="false" customHeight="false" outlineLevel="0" collapsed="false">
      <c r="A1667" s="12" t="s">
        <v>699</v>
      </c>
      <c r="B1667" s="12" t="n">
        <f aca="false">COUNTIFS(Cleaned!$C$2:$C$125,2,Cleaned!CE$2:CE$125,0)</f>
        <v>3</v>
      </c>
      <c r="C1667" s="13" t="n">
        <f aca="false">IFERROR(B1667/$F1667,"")</f>
        <v>0.375</v>
      </c>
      <c r="D1667" s="12" t="n">
        <f aca="false">COUNTIFS(Cleaned!$C$2:$C$125,2,Cleaned!CE$2:CE$125,1)</f>
        <v>5</v>
      </c>
      <c r="E1667" s="13" t="n">
        <f aca="false">IFERROR(D1667/$F1667,"")</f>
        <v>0.625</v>
      </c>
      <c r="F1667" s="12" t="n">
        <f aca="false">B1667+D1667</f>
        <v>8</v>
      </c>
    </row>
    <row r="1668" customFormat="false" ht="15" hidden="false" customHeight="false" outlineLevel="0" collapsed="false">
      <c r="A1668" s="12" t="s">
        <v>700</v>
      </c>
      <c r="B1668" s="12" t="n">
        <f aca="false">COUNTIFS(Cleaned!$C$2:$C$125,3,Cleaned!CE$2:CE$125,0)</f>
        <v>9</v>
      </c>
      <c r="C1668" s="13" t="n">
        <f aca="false">IFERROR(B1668/$F1668,"")</f>
        <v>0.818181818181818</v>
      </c>
      <c r="D1668" s="12" t="n">
        <f aca="false">COUNTIFS(Cleaned!$C$2:$C$125,3,Cleaned!CE$2:CE$125,1)</f>
        <v>2</v>
      </c>
      <c r="E1668" s="13" t="n">
        <f aca="false">IFERROR(D1668/$F1668,"")</f>
        <v>0.181818181818182</v>
      </c>
      <c r="F1668" s="12" t="n">
        <f aca="false">B1668+D1668</f>
        <v>11</v>
      </c>
    </row>
    <row r="1669" customFormat="false" ht="15" hidden="false" customHeight="false" outlineLevel="0" collapsed="false">
      <c r="A1669" s="12" t="s">
        <v>701</v>
      </c>
      <c r="B1669" s="12" t="n">
        <f aca="false">COUNTIFS(Cleaned!$C$2:$C$125,4,Cleaned!CE$2:CE$125,0)</f>
        <v>6</v>
      </c>
      <c r="C1669" s="13" t="n">
        <f aca="false">IFERROR(B1669/$F1669,"")</f>
        <v>0.6</v>
      </c>
      <c r="D1669" s="12" t="n">
        <f aca="false">COUNTIFS(Cleaned!$C$2:$C$125,4,Cleaned!CE$2:CE$125,1)</f>
        <v>4</v>
      </c>
      <c r="E1669" s="13" t="n">
        <f aca="false">IFERROR(D1669/$F1669,"")</f>
        <v>0.4</v>
      </c>
      <c r="F1669" s="12" t="n">
        <f aca="false">B1669+D1669</f>
        <v>10</v>
      </c>
    </row>
    <row r="1670" customFormat="false" ht="15" hidden="false" customHeight="false" outlineLevel="0" collapsed="false">
      <c r="A1670" s="12" t="s">
        <v>702</v>
      </c>
      <c r="B1670" s="12" t="n">
        <f aca="false">COUNTIFS(Cleaned!$C$2:$C$125,5,Cleaned!CE$2:CE$125,0)</f>
        <v>5</v>
      </c>
      <c r="C1670" s="13" t="n">
        <f aca="false">IFERROR(B1670/$F1670,"")</f>
        <v>0.263157894736842</v>
      </c>
      <c r="D1670" s="12" t="n">
        <f aca="false">COUNTIFS(Cleaned!$C$2:$C$125,5,Cleaned!CE$2:CE$125,1)</f>
        <v>14</v>
      </c>
      <c r="E1670" s="13" t="n">
        <f aca="false">IFERROR(D1670/$F1670,"")</f>
        <v>0.736842105263158</v>
      </c>
      <c r="F1670" s="12" t="n">
        <f aca="false">B1670+D1670</f>
        <v>19</v>
      </c>
    </row>
    <row r="1671" customFormat="false" ht="15" hidden="false" customHeight="false" outlineLevel="0" collapsed="false">
      <c r="A1671" s="11" t="s">
        <v>703</v>
      </c>
      <c r="B1671" s="11" t="n">
        <f aca="false">SUM(B1666:B1670)</f>
        <v>27</v>
      </c>
      <c r="C1671" s="14" t="n">
        <f aca="false">IFERROR(B1671/$F1671,"")</f>
        <v>0.482142857142857</v>
      </c>
      <c r="D1671" s="11" t="n">
        <f aca="false">SUM(D1666:D1670)</f>
        <v>29</v>
      </c>
      <c r="E1671" s="14" t="n">
        <f aca="false">IFERROR(D1671/$F1671,"")</f>
        <v>0.517857142857143</v>
      </c>
      <c r="F1671" s="11" t="n">
        <f aca="false">SUM(F1666:F1670)</f>
        <v>56</v>
      </c>
    </row>
    <row r="1672" customFormat="false" ht="15" hidden="false" customHeight="false" outlineLevel="0" collapsed="false">
      <c r="A1672" s="11" t="s">
        <v>3</v>
      </c>
    </row>
    <row r="1673" customFormat="false" ht="15" hidden="false" customHeight="false" outlineLevel="0" collapsed="false">
      <c r="A1673" s="12" t="s">
        <v>704</v>
      </c>
      <c r="B1673" s="12" t="n">
        <f aca="false">COUNTIFS(Cleaned!$D$2:$D$125,1,Cleaned!CE$2:CE$125,0)</f>
        <v>1</v>
      </c>
      <c r="C1673" s="13" t="n">
        <f aca="false">IFERROR(B1673/$F1673,"")</f>
        <v>0.25</v>
      </c>
      <c r="D1673" s="12" t="n">
        <f aca="false">COUNTIFS(Cleaned!$D$2:$D$125,1,Cleaned!CE$2:CE$125,1)</f>
        <v>3</v>
      </c>
      <c r="E1673" s="13" t="n">
        <f aca="false">IFERROR(D1673/$F1673,"")</f>
        <v>0.75</v>
      </c>
      <c r="F1673" s="12" t="n">
        <f aca="false">B1673+D1673</f>
        <v>4</v>
      </c>
    </row>
    <row r="1674" customFormat="false" ht="15" hidden="false" customHeight="false" outlineLevel="0" collapsed="false">
      <c r="A1674" s="12" t="s">
        <v>705</v>
      </c>
      <c r="B1674" s="12" t="n">
        <f aca="false">COUNTIFS(Cleaned!$D$2:$D$125,2,Cleaned!CE$2:CE$125,0)</f>
        <v>5</v>
      </c>
      <c r="C1674" s="13" t="n">
        <f aca="false">IFERROR(B1674/$F1674,"")</f>
        <v>0.416666666666667</v>
      </c>
      <c r="D1674" s="12" t="n">
        <f aca="false">COUNTIFS(Cleaned!$D$2:$D$125,2,Cleaned!CE$2:CE$125,1)</f>
        <v>7</v>
      </c>
      <c r="E1674" s="13" t="n">
        <f aca="false">IFERROR(D1674/$F1674,"")</f>
        <v>0.583333333333333</v>
      </c>
      <c r="F1674" s="12" t="n">
        <f aca="false">B1674+D1674</f>
        <v>12</v>
      </c>
    </row>
    <row r="1675" customFormat="false" ht="15" hidden="false" customHeight="false" outlineLevel="0" collapsed="false">
      <c r="A1675" s="12" t="s">
        <v>706</v>
      </c>
      <c r="B1675" s="12" t="n">
        <f aca="false">COUNTIFS(Cleaned!$D$2:$D$125,3,Cleaned!CE$2:CE$125,0)</f>
        <v>3</v>
      </c>
      <c r="C1675" s="13" t="n">
        <f aca="false">IFERROR(B1675/$F1675,"")</f>
        <v>0.375</v>
      </c>
      <c r="D1675" s="12" t="n">
        <f aca="false">COUNTIFS(Cleaned!$D$2:$D$125,3,Cleaned!CE$2:CE$125,1)</f>
        <v>5</v>
      </c>
      <c r="E1675" s="13" t="n">
        <f aca="false">IFERROR(D1675/$F1675,"")</f>
        <v>0.625</v>
      </c>
      <c r="F1675" s="12" t="n">
        <f aca="false">B1675+D1675</f>
        <v>8</v>
      </c>
    </row>
    <row r="1676" customFormat="false" ht="15" hidden="false" customHeight="false" outlineLevel="0" collapsed="false">
      <c r="A1676" s="12" t="s">
        <v>707</v>
      </c>
      <c r="B1676" s="12" t="n">
        <f aca="false">COUNTIFS(Cleaned!$D$2:$D$125,4,Cleaned!CE$2:CE$125,0)</f>
        <v>4</v>
      </c>
      <c r="C1676" s="13" t="n">
        <f aca="false">IFERROR(B1676/$F1676,"")</f>
        <v>0.666666666666667</v>
      </c>
      <c r="D1676" s="12" t="n">
        <f aca="false">COUNTIFS(Cleaned!$D$2:$D$125,4,Cleaned!CE$2:CE$125,1)</f>
        <v>2</v>
      </c>
      <c r="E1676" s="13" t="n">
        <f aca="false">IFERROR(D1676/$F1676,"")</f>
        <v>0.333333333333333</v>
      </c>
      <c r="F1676" s="12" t="n">
        <f aca="false">B1676+D1676</f>
        <v>6</v>
      </c>
    </row>
    <row r="1677" customFormat="false" ht="15" hidden="false" customHeight="false" outlineLevel="0" collapsed="false">
      <c r="A1677" s="12" t="s">
        <v>708</v>
      </c>
      <c r="B1677" s="12" t="n">
        <f aca="false">COUNTIFS(Cleaned!$D$2:$D$125,5,Cleaned!CE$2:CE$125,0)</f>
        <v>1</v>
      </c>
      <c r="C1677" s="13" t="n">
        <f aca="false">IFERROR(B1677/$F1677,"")</f>
        <v>1</v>
      </c>
      <c r="D1677" s="12" t="n">
        <f aca="false">COUNTIFS(Cleaned!$D$2:$D$125,5,Cleaned!CE$2:CE$125,1)</f>
        <v>0</v>
      </c>
      <c r="E1677" s="13" t="n">
        <f aca="false">IFERROR(D1677/$F1677,"")</f>
        <v>0</v>
      </c>
      <c r="F1677" s="12" t="n">
        <f aca="false">B1677+D1677</f>
        <v>1</v>
      </c>
    </row>
    <row r="1678" customFormat="false" ht="15" hidden="false" customHeight="false" outlineLevel="0" collapsed="false">
      <c r="A1678" s="12" t="s">
        <v>709</v>
      </c>
      <c r="B1678" s="12" t="n">
        <f aca="false">COUNTIFS(Cleaned!$D$2:$D$125,6,Cleaned!CE$2:CE$125,0)</f>
        <v>0</v>
      </c>
      <c r="C1678" s="13" t="n">
        <f aca="false">IFERROR(B1678/$F1678,"")</f>
        <v>0</v>
      </c>
      <c r="D1678" s="12" t="n">
        <f aca="false">COUNTIFS(Cleaned!$D$2:$D$125,6,Cleaned!CE$2:CE$125,1)</f>
        <v>2</v>
      </c>
      <c r="E1678" s="13" t="n">
        <f aca="false">IFERROR(D1678/$F1678,"")</f>
        <v>1</v>
      </c>
      <c r="F1678" s="12" t="n">
        <f aca="false">B1678+D1678</f>
        <v>2</v>
      </c>
    </row>
    <row r="1679" customFormat="false" ht="15" hidden="false" customHeight="false" outlineLevel="0" collapsed="false">
      <c r="A1679" s="12" t="s">
        <v>710</v>
      </c>
      <c r="B1679" s="12" t="n">
        <f aca="false">COUNTIFS(Cleaned!$D$2:$D$125,7,Cleaned!CE$2:CE$125,0)</f>
        <v>6</v>
      </c>
      <c r="C1679" s="13" t="n">
        <f aca="false">IFERROR(B1679/$F1679,"")</f>
        <v>0.75</v>
      </c>
      <c r="D1679" s="12" t="n">
        <f aca="false">COUNTIFS(Cleaned!$D$2:$D$125,7,Cleaned!CE$2:CE$125,1)</f>
        <v>2</v>
      </c>
      <c r="E1679" s="13" t="n">
        <f aca="false">IFERROR(D1679/$F1679,"")</f>
        <v>0.25</v>
      </c>
      <c r="F1679" s="12" t="n">
        <f aca="false">B1679+D1679</f>
        <v>8</v>
      </c>
    </row>
    <row r="1680" customFormat="false" ht="15" hidden="false" customHeight="false" outlineLevel="0" collapsed="false">
      <c r="A1680" s="12" t="s">
        <v>711</v>
      </c>
      <c r="B1680" s="12" t="n">
        <f aca="false">COUNTIFS(Cleaned!$D$2:$D$125,8,Cleaned!CE$2:CE$125,0)</f>
        <v>2</v>
      </c>
      <c r="C1680" s="13" t="n">
        <f aca="false">IFERROR(B1680/$F1680,"")</f>
        <v>0.666666666666667</v>
      </c>
      <c r="D1680" s="12" t="n">
        <f aca="false">COUNTIFS(Cleaned!$D$2:$D$125,8,Cleaned!CE$2:CE$125,1)</f>
        <v>1</v>
      </c>
      <c r="E1680" s="13" t="n">
        <f aca="false">IFERROR(D1680/$F1680,"")</f>
        <v>0.333333333333333</v>
      </c>
      <c r="F1680" s="12" t="n">
        <f aca="false">B1680+D1680</f>
        <v>3</v>
      </c>
    </row>
    <row r="1681" customFormat="false" ht="15" hidden="false" customHeight="false" outlineLevel="0" collapsed="false">
      <c r="A1681" s="12" t="s">
        <v>712</v>
      </c>
      <c r="B1681" s="12" t="n">
        <f aca="false">COUNTIFS(Cleaned!$D$2:$D$125,9,Cleaned!CE$2:CE$125,0)</f>
        <v>0</v>
      </c>
      <c r="C1681" s="13" t="n">
        <f aca="false">IFERROR(B1681/$F1681,"")</f>
        <v>0</v>
      </c>
      <c r="D1681" s="12" t="n">
        <f aca="false">COUNTIFS(Cleaned!$D$2:$D$125,9,Cleaned!CE$2:CE$125,1)</f>
        <v>2</v>
      </c>
      <c r="E1681" s="13" t="n">
        <f aca="false">IFERROR(D1681/$F1681,"")</f>
        <v>1</v>
      </c>
      <c r="F1681" s="12" t="n">
        <f aca="false">B1681+D1681</f>
        <v>2</v>
      </c>
    </row>
    <row r="1682" customFormat="false" ht="15" hidden="false" customHeight="false" outlineLevel="0" collapsed="false">
      <c r="A1682" s="12" t="s">
        <v>713</v>
      </c>
      <c r="B1682" s="12" t="n">
        <f aca="false">COUNTIFS(Cleaned!$D$2:$D$125,10,Cleaned!CE$2:CE$125,0)</f>
        <v>0</v>
      </c>
      <c r="C1682" s="13" t="str">
        <f aca="false">IFERROR(B1682/$F1682,"")</f>
        <v/>
      </c>
      <c r="D1682" s="12" t="n">
        <f aca="false">COUNTIFS(Cleaned!$D$2:$D$125,10,Cleaned!CE$2:CE$125,1)</f>
        <v>0</v>
      </c>
      <c r="E1682" s="13" t="str">
        <f aca="false">IFERROR(D1682/$F1682,"")</f>
        <v/>
      </c>
      <c r="F1682" s="12" t="n">
        <f aca="false">B1682+D1682</f>
        <v>0</v>
      </c>
    </row>
    <row r="1683" customFormat="false" ht="15" hidden="false" customHeight="false" outlineLevel="0" collapsed="false">
      <c r="A1683" s="12" t="s">
        <v>714</v>
      </c>
      <c r="B1683" s="12" t="n">
        <f aca="false">COUNTIFS(Cleaned!$D$2:$D$125,11,Cleaned!CE$2:CE$125,0)</f>
        <v>3</v>
      </c>
      <c r="C1683" s="13" t="n">
        <f aca="false">IFERROR(B1683/$F1683,"")</f>
        <v>0.5</v>
      </c>
      <c r="D1683" s="12" t="n">
        <f aca="false">COUNTIFS(Cleaned!$D$2:$D$125,11,Cleaned!CE$2:CE$125,1)</f>
        <v>3</v>
      </c>
      <c r="E1683" s="13" t="n">
        <f aca="false">IFERROR(D1683/$F1683,"")</f>
        <v>0.5</v>
      </c>
      <c r="F1683" s="12" t="n">
        <f aca="false">B1683+D1683</f>
        <v>6</v>
      </c>
    </row>
    <row r="1684" customFormat="false" ht="15" hidden="false" customHeight="false" outlineLevel="0" collapsed="false">
      <c r="A1684" s="12" t="s">
        <v>715</v>
      </c>
      <c r="B1684" s="12" t="n">
        <f aca="false">COUNTIFS(Cleaned!$D$2:$D$125,12,Cleaned!CE$2:CE$125,0)</f>
        <v>2</v>
      </c>
      <c r="C1684" s="13" t="n">
        <f aca="false">IFERROR(B1684/$F1684,"")</f>
        <v>0.5</v>
      </c>
      <c r="D1684" s="12" t="n">
        <f aca="false">COUNTIFS(Cleaned!$D$2:$D$125,12,Cleaned!CE$2:CE$125,1)</f>
        <v>2</v>
      </c>
      <c r="E1684" s="13" t="n">
        <f aca="false">IFERROR(D1684/$F1684,"")</f>
        <v>0.5</v>
      </c>
      <c r="F1684" s="12" t="n">
        <f aca="false">B1684+D1684</f>
        <v>4</v>
      </c>
    </row>
    <row r="1685" customFormat="false" ht="15" hidden="false" customHeight="false" outlineLevel="0" collapsed="false">
      <c r="A1685" s="11" t="s">
        <v>716</v>
      </c>
      <c r="B1685" s="11" t="n">
        <f aca="false">SUM(B1673:B1684)</f>
        <v>27</v>
      </c>
      <c r="C1685" s="14" t="n">
        <f aca="false">IFERROR(B1685/$F1685,"")</f>
        <v>0.482142857142857</v>
      </c>
      <c r="D1685" s="11" t="n">
        <f aca="false">SUM(D1673:D1684)</f>
        <v>29</v>
      </c>
      <c r="E1685" s="14" t="n">
        <f aca="false">IFERROR(D1685/$F1685,"")</f>
        <v>0.517857142857143</v>
      </c>
      <c r="F1685" s="11" t="n">
        <f aca="false">SUM(F1673:F1684)</f>
        <v>56</v>
      </c>
    </row>
    <row r="1688" customFormat="false" ht="15" hidden="false" customHeight="false" outlineLevel="0" collapsed="false">
      <c r="A1688" s="6" t="s">
        <v>84</v>
      </c>
      <c r="B1688" s="7" t="s">
        <v>801</v>
      </c>
    </row>
    <row r="1689" customFormat="false" ht="15" hidden="false" customHeight="false" outlineLevel="0" collapsed="false">
      <c r="A1689" s="8"/>
      <c r="B1689" s="9" t="s">
        <v>802</v>
      </c>
      <c r="C1689" s="8"/>
      <c r="D1689" s="9" t="s">
        <v>803</v>
      </c>
      <c r="E1689" s="8"/>
      <c r="F1689" s="9" t="s">
        <v>804</v>
      </c>
      <c r="G1689" s="8"/>
      <c r="H1689" s="9" t="s">
        <v>805</v>
      </c>
      <c r="I1689" s="8"/>
      <c r="J1689" s="9" t="s">
        <v>693</v>
      </c>
      <c r="K1689" s="8"/>
      <c r="L1689" s="9" t="s">
        <v>694</v>
      </c>
    </row>
    <row r="1690" customFormat="false" ht="15" hidden="false" customHeight="false" outlineLevel="0" collapsed="false">
      <c r="B1690" s="10" t="s">
        <v>695</v>
      </c>
      <c r="C1690" s="10" t="s">
        <v>696</v>
      </c>
      <c r="D1690" s="10" t="s">
        <v>695</v>
      </c>
      <c r="E1690" s="10" t="s">
        <v>696</v>
      </c>
      <c r="F1690" s="10" t="s">
        <v>695</v>
      </c>
      <c r="G1690" s="10" t="s">
        <v>696</v>
      </c>
      <c r="H1690" s="10" t="s">
        <v>695</v>
      </c>
      <c r="I1690" s="10" t="s">
        <v>696</v>
      </c>
      <c r="J1690" s="10" t="s">
        <v>695</v>
      </c>
      <c r="K1690" s="10" t="s">
        <v>696</v>
      </c>
    </row>
    <row r="1691" customFormat="false" ht="15" hidden="false" customHeight="false" outlineLevel="0" collapsed="false">
      <c r="A1691" s="11" t="s">
        <v>697</v>
      </c>
    </row>
    <row r="1692" customFormat="false" ht="15" hidden="false" customHeight="false" outlineLevel="0" collapsed="false">
      <c r="A1692" s="12" t="s">
        <v>698</v>
      </c>
      <c r="B1692" s="12" t="n">
        <f aca="false">COUNTIFS(Cleaned!$C$2:$C$125,1,Cleaned!CG$2:CG$125,1)</f>
        <v>4</v>
      </c>
      <c r="C1692" s="13" t="n">
        <f aca="false">IFERROR(B1692/$L1692,"")</f>
        <v>0.5</v>
      </c>
      <c r="D1692" s="12" t="n">
        <f aca="false">COUNTIFS(Cleaned!$C$2:$C$125,1,Cleaned!CG$2:CG$125,2)</f>
        <v>1</v>
      </c>
      <c r="E1692" s="13" t="n">
        <f aca="false">IFERROR(D1692/$L1692,"")</f>
        <v>0.125</v>
      </c>
      <c r="F1692" s="12" t="n">
        <f aca="false">COUNTIFS(Cleaned!$C$2:$C$125,1,Cleaned!CG$2:CG$125,3)</f>
        <v>0</v>
      </c>
      <c r="G1692" s="13" t="n">
        <f aca="false">IFERROR(F1692/$L1692,"")</f>
        <v>0</v>
      </c>
      <c r="H1692" s="12" t="n">
        <f aca="false">COUNTIFS(Cleaned!$C$2:$C$125,1,Cleaned!CG$2:CG$125,4)</f>
        <v>0</v>
      </c>
      <c r="I1692" s="13" t="n">
        <f aca="false">IFERROR(H1692/$L1692,"")</f>
        <v>0</v>
      </c>
      <c r="J1692" s="12" t="n">
        <f aca="false">COUNTIFS(Cleaned!$C$2:$C$125,1,Cleaned!CG$2:CG$125,5)</f>
        <v>3</v>
      </c>
      <c r="K1692" s="13" t="n">
        <f aca="false">IFERROR(J1692/$L1692,"")</f>
        <v>0.375</v>
      </c>
      <c r="L1692" s="12" t="n">
        <f aca="false">B1692+D1692+F1692+H1692+J1692</f>
        <v>8</v>
      </c>
    </row>
    <row r="1693" customFormat="false" ht="15" hidden="false" customHeight="false" outlineLevel="0" collapsed="false">
      <c r="A1693" s="12" t="s">
        <v>699</v>
      </c>
      <c r="B1693" s="12" t="n">
        <f aca="false">COUNTIFS(Cleaned!$C$2:$C$125,2,Cleaned!CG$2:CG$125,1)</f>
        <v>5</v>
      </c>
      <c r="C1693" s="13" t="n">
        <f aca="false">IFERROR(B1693/$L1693,"")</f>
        <v>0.625</v>
      </c>
      <c r="D1693" s="12" t="n">
        <f aca="false">COUNTIFS(Cleaned!$C$2:$C$125,2,Cleaned!CG$2:CG$125,2)</f>
        <v>0</v>
      </c>
      <c r="E1693" s="13" t="n">
        <f aca="false">IFERROR(D1693/$L1693,"")</f>
        <v>0</v>
      </c>
      <c r="F1693" s="12" t="n">
        <f aca="false">COUNTIFS(Cleaned!$C$2:$C$125,2,Cleaned!CG$2:CG$125,3)</f>
        <v>1</v>
      </c>
      <c r="G1693" s="13" t="n">
        <f aca="false">IFERROR(F1693/$L1693,"")</f>
        <v>0.125</v>
      </c>
      <c r="H1693" s="12" t="n">
        <f aca="false">COUNTIFS(Cleaned!$C$2:$C$125,2,Cleaned!CG$2:CG$125,4)</f>
        <v>0</v>
      </c>
      <c r="I1693" s="13" t="n">
        <f aca="false">IFERROR(H1693/$L1693,"")</f>
        <v>0</v>
      </c>
      <c r="J1693" s="12" t="n">
        <f aca="false">COUNTIFS(Cleaned!$C$2:$C$125,2,Cleaned!CG$2:CG$125,5)</f>
        <v>2</v>
      </c>
      <c r="K1693" s="13" t="n">
        <f aca="false">IFERROR(J1693/$L1693,"")</f>
        <v>0.25</v>
      </c>
      <c r="L1693" s="12" t="n">
        <f aca="false">B1693+D1693+F1693+H1693+J1693</f>
        <v>8</v>
      </c>
    </row>
    <row r="1694" customFormat="false" ht="15" hidden="false" customHeight="false" outlineLevel="0" collapsed="false">
      <c r="A1694" s="12" t="s">
        <v>700</v>
      </c>
      <c r="B1694" s="12" t="n">
        <f aca="false">COUNTIFS(Cleaned!$C$2:$C$125,3,Cleaned!CG$2:CG$125,1)</f>
        <v>3</v>
      </c>
      <c r="C1694" s="13" t="n">
        <f aca="false">IFERROR(B1694/$L1694,"")</f>
        <v>0.272727272727273</v>
      </c>
      <c r="D1694" s="12" t="n">
        <f aca="false">COUNTIFS(Cleaned!$C$2:$C$125,3,Cleaned!CG$2:CG$125,2)</f>
        <v>0</v>
      </c>
      <c r="E1694" s="13" t="n">
        <f aca="false">IFERROR(D1694/$L1694,"")</f>
        <v>0</v>
      </c>
      <c r="F1694" s="12" t="n">
        <f aca="false">COUNTIFS(Cleaned!$C$2:$C$125,3,Cleaned!CG$2:CG$125,3)</f>
        <v>0</v>
      </c>
      <c r="G1694" s="13" t="n">
        <f aca="false">IFERROR(F1694/$L1694,"")</f>
        <v>0</v>
      </c>
      <c r="H1694" s="12" t="n">
        <f aca="false">COUNTIFS(Cleaned!$C$2:$C$125,3,Cleaned!CG$2:CG$125,4)</f>
        <v>2</v>
      </c>
      <c r="I1694" s="13" t="n">
        <f aca="false">IFERROR(H1694/$L1694,"")</f>
        <v>0.181818181818182</v>
      </c>
      <c r="J1694" s="12" t="n">
        <f aca="false">COUNTIFS(Cleaned!$C$2:$C$125,3,Cleaned!CG$2:CG$125,5)</f>
        <v>6</v>
      </c>
      <c r="K1694" s="13" t="n">
        <f aca="false">IFERROR(J1694/$L1694,"")</f>
        <v>0.545454545454545</v>
      </c>
      <c r="L1694" s="12" t="n">
        <f aca="false">B1694+D1694+F1694+H1694+J1694</f>
        <v>11</v>
      </c>
    </row>
    <row r="1695" customFormat="false" ht="15" hidden="false" customHeight="false" outlineLevel="0" collapsed="false">
      <c r="A1695" s="12" t="s">
        <v>701</v>
      </c>
      <c r="B1695" s="12" t="n">
        <f aca="false">COUNTIFS(Cleaned!$C$2:$C$125,4,Cleaned!CG$2:CG$125,1)</f>
        <v>6</v>
      </c>
      <c r="C1695" s="13" t="n">
        <f aca="false">IFERROR(B1695/$L1695,"")</f>
        <v>0.6</v>
      </c>
      <c r="D1695" s="12" t="n">
        <f aca="false">COUNTIFS(Cleaned!$C$2:$C$125,4,Cleaned!CG$2:CG$125,2)</f>
        <v>0</v>
      </c>
      <c r="E1695" s="13" t="n">
        <f aca="false">IFERROR(D1695/$L1695,"")</f>
        <v>0</v>
      </c>
      <c r="F1695" s="12" t="n">
        <f aca="false">COUNTIFS(Cleaned!$C$2:$C$125,4,Cleaned!CG$2:CG$125,3)</f>
        <v>1</v>
      </c>
      <c r="G1695" s="13" t="n">
        <f aca="false">IFERROR(F1695/$L1695,"")</f>
        <v>0.1</v>
      </c>
      <c r="H1695" s="12" t="n">
        <f aca="false">COUNTIFS(Cleaned!$C$2:$C$125,4,Cleaned!CG$2:CG$125,4)</f>
        <v>2</v>
      </c>
      <c r="I1695" s="13" t="n">
        <f aca="false">IFERROR(H1695/$L1695,"")</f>
        <v>0.2</v>
      </c>
      <c r="J1695" s="12" t="n">
        <f aca="false">COUNTIFS(Cleaned!$C$2:$C$125,4,Cleaned!CG$2:CG$125,5)</f>
        <v>1</v>
      </c>
      <c r="K1695" s="13" t="n">
        <f aca="false">IFERROR(J1695/$L1695,"")</f>
        <v>0.1</v>
      </c>
      <c r="L1695" s="12" t="n">
        <f aca="false">B1695+D1695+F1695+H1695+J1695</f>
        <v>10</v>
      </c>
    </row>
    <row r="1696" customFormat="false" ht="15" hidden="false" customHeight="false" outlineLevel="0" collapsed="false">
      <c r="A1696" s="12" t="s">
        <v>702</v>
      </c>
      <c r="B1696" s="12" t="n">
        <f aca="false">COUNTIFS(Cleaned!$C$2:$C$125,5,Cleaned!CG$2:CG$125,1)</f>
        <v>7</v>
      </c>
      <c r="C1696" s="13" t="n">
        <f aca="false">IFERROR(B1696/$L1696,"")</f>
        <v>0.368421052631579</v>
      </c>
      <c r="D1696" s="12" t="n">
        <f aca="false">COUNTIFS(Cleaned!$C$2:$C$125,5,Cleaned!CG$2:CG$125,2)</f>
        <v>0</v>
      </c>
      <c r="E1696" s="13" t="n">
        <f aca="false">IFERROR(D1696/$L1696,"")</f>
        <v>0</v>
      </c>
      <c r="F1696" s="12" t="n">
        <f aca="false">COUNTIFS(Cleaned!$C$2:$C$125,5,Cleaned!CG$2:CG$125,3)</f>
        <v>3</v>
      </c>
      <c r="G1696" s="13" t="n">
        <f aca="false">IFERROR(F1696/$L1696,"")</f>
        <v>0.157894736842105</v>
      </c>
      <c r="H1696" s="12" t="n">
        <f aca="false">COUNTIFS(Cleaned!$C$2:$C$125,5,Cleaned!CG$2:CG$125,4)</f>
        <v>7</v>
      </c>
      <c r="I1696" s="13" t="n">
        <f aca="false">IFERROR(H1696/$L1696,"")</f>
        <v>0.368421052631579</v>
      </c>
      <c r="J1696" s="12" t="n">
        <f aca="false">COUNTIFS(Cleaned!$C$2:$C$125,5,Cleaned!CG$2:CG$125,5)</f>
        <v>2</v>
      </c>
      <c r="K1696" s="13" t="n">
        <f aca="false">IFERROR(J1696/$L1696,"")</f>
        <v>0.105263157894737</v>
      </c>
      <c r="L1696" s="12" t="n">
        <f aca="false">B1696+D1696+F1696+H1696+J1696</f>
        <v>19</v>
      </c>
    </row>
    <row r="1697" customFormat="false" ht="15" hidden="false" customHeight="false" outlineLevel="0" collapsed="false">
      <c r="A1697" s="11" t="s">
        <v>703</v>
      </c>
      <c r="B1697" s="11" t="n">
        <f aca="false">SUM(B1692:B1696)</f>
        <v>25</v>
      </c>
      <c r="C1697" s="14" t="n">
        <f aca="false">IFERROR(B1697/$L1697,"")</f>
        <v>0.446428571428571</v>
      </c>
      <c r="D1697" s="11" t="n">
        <f aca="false">SUM(D1692:D1696)</f>
        <v>1</v>
      </c>
      <c r="E1697" s="14" t="n">
        <f aca="false">IFERROR(D1697/$L1697,"")</f>
        <v>0.0178571428571429</v>
      </c>
      <c r="F1697" s="11" t="n">
        <f aca="false">SUM(F1692:F1696)</f>
        <v>5</v>
      </c>
      <c r="G1697" s="14" t="n">
        <f aca="false">IFERROR(F1697/$L1697,"")</f>
        <v>0.0892857142857143</v>
      </c>
      <c r="H1697" s="11" t="n">
        <f aca="false">SUM(H1692:H1696)</f>
        <v>11</v>
      </c>
      <c r="I1697" s="14" t="n">
        <f aca="false">IFERROR(H1697/$L1697,"")</f>
        <v>0.196428571428571</v>
      </c>
      <c r="J1697" s="11" t="n">
        <f aca="false">SUM(J1692:J1696)</f>
        <v>14</v>
      </c>
      <c r="K1697" s="14" t="n">
        <f aca="false">IFERROR(J1697/$L1697,"")</f>
        <v>0.25</v>
      </c>
      <c r="L1697" s="11" t="n">
        <f aca="false">SUM(L1692:L1696)</f>
        <v>56</v>
      </c>
    </row>
    <row r="1698" customFormat="false" ht="15" hidden="false" customHeight="false" outlineLevel="0" collapsed="false">
      <c r="A1698" s="11" t="s">
        <v>3</v>
      </c>
    </row>
    <row r="1699" customFormat="false" ht="15" hidden="false" customHeight="false" outlineLevel="0" collapsed="false">
      <c r="A1699" s="12" t="s">
        <v>704</v>
      </c>
      <c r="B1699" s="12" t="n">
        <f aca="false">COUNTIFS(Cleaned!$D$2:$D$125,1,Cleaned!CG$2:CG$125,1)</f>
        <v>3</v>
      </c>
      <c r="C1699" s="13" t="n">
        <f aca="false">IFERROR(B1699/$L1699,"")</f>
        <v>0.75</v>
      </c>
      <c r="D1699" s="12" t="n">
        <f aca="false">COUNTIFS(Cleaned!$D$2:$D$125,1,Cleaned!CG$2:CG$125,2)</f>
        <v>0</v>
      </c>
      <c r="E1699" s="13" t="n">
        <f aca="false">IFERROR(D1699/$L1699,"")</f>
        <v>0</v>
      </c>
      <c r="F1699" s="12" t="n">
        <f aca="false">COUNTIFS(Cleaned!$D$2:$D$125,1,Cleaned!CG$2:CG$125,3)</f>
        <v>0</v>
      </c>
      <c r="G1699" s="13" t="n">
        <f aca="false">IFERROR(F1699/$L1699,"")</f>
        <v>0</v>
      </c>
      <c r="H1699" s="12" t="n">
        <f aca="false">COUNTIFS(Cleaned!$D$2:$D$125,1,Cleaned!CG$2:CG$125,4)</f>
        <v>0</v>
      </c>
      <c r="I1699" s="13" t="n">
        <f aca="false">IFERROR(H1699/$L1699,"")</f>
        <v>0</v>
      </c>
      <c r="J1699" s="12" t="n">
        <f aca="false">COUNTIFS(Cleaned!$D$2:$D$125,1,Cleaned!CG$2:CG$125,5)</f>
        <v>1</v>
      </c>
      <c r="K1699" s="13" t="n">
        <f aca="false">IFERROR(J1699/$L1699,"")</f>
        <v>0.25</v>
      </c>
      <c r="L1699" s="12" t="n">
        <f aca="false">B1699+D1699+F1699+H1699+J1699</f>
        <v>4</v>
      </c>
    </row>
    <row r="1700" customFormat="false" ht="15" hidden="false" customHeight="false" outlineLevel="0" collapsed="false">
      <c r="A1700" s="12" t="s">
        <v>705</v>
      </c>
      <c r="B1700" s="12" t="n">
        <f aca="false">COUNTIFS(Cleaned!$D$2:$D$125,2,Cleaned!CG$2:CG$125,1)</f>
        <v>6</v>
      </c>
      <c r="C1700" s="13" t="n">
        <f aca="false">IFERROR(B1700/$L1700,"")</f>
        <v>0.5</v>
      </c>
      <c r="D1700" s="12" t="n">
        <f aca="false">COUNTIFS(Cleaned!$D$2:$D$125,2,Cleaned!CG$2:CG$125,2)</f>
        <v>0</v>
      </c>
      <c r="E1700" s="13" t="n">
        <f aca="false">IFERROR(D1700/$L1700,"")</f>
        <v>0</v>
      </c>
      <c r="F1700" s="12" t="n">
        <f aca="false">COUNTIFS(Cleaned!$D$2:$D$125,2,Cleaned!CG$2:CG$125,3)</f>
        <v>2</v>
      </c>
      <c r="G1700" s="13" t="n">
        <f aca="false">IFERROR(F1700/$L1700,"")</f>
        <v>0.166666666666667</v>
      </c>
      <c r="H1700" s="12" t="n">
        <f aca="false">COUNTIFS(Cleaned!$D$2:$D$125,2,Cleaned!CG$2:CG$125,4)</f>
        <v>3</v>
      </c>
      <c r="I1700" s="13" t="n">
        <f aca="false">IFERROR(H1700/$L1700,"")</f>
        <v>0.25</v>
      </c>
      <c r="J1700" s="12" t="n">
        <f aca="false">COUNTIFS(Cleaned!$D$2:$D$125,2,Cleaned!CG$2:CG$125,5)</f>
        <v>1</v>
      </c>
      <c r="K1700" s="13" t="n">
        <f aca="false">IFERROR(J1700/$L1700,"")</f>
        <v>0.0833333333333333</v>
      </c>
      <c r="L1700" s="12" t="n">
        <f aca="false">B1700+D1700+F1700+H1700+J1700</f>
        <v>12</v>
      </c>
    </row>
    <row r="1701" customFormat="false" ht="15" hidden="false" customHeight="false" outlineLevel="0" collapsed="false">
      <c r="A1701" s="12" t="s">
        <v>706</v>
      </c>
      <c r="B1701" s="12" t="n">
        <f aca="false">COUNTIFS(Cleaned!$D$2:$D$125,3,Cleaned!CG$2:CG$125,1)</f>
        <v>2</v>
      </c>
      <c r="C1701" s="13" t="n">
        <f aca="false">IFERROR(B1701/$L1701,"")</f>
        <v>0.25</v>
      </c>
      <c r="D1701" s="12" t="n">
        <f aca="false">COUNTIFS(Cleaned!$D$2:$D$125,3,Cleaned!CG$2:CG$125,2)</f>
        <v>0</v>
      </c>
      <c r="E1701" s="13" t="n">
        <f aca="false">IFERROR(D1701/$L1701,"")</f>
        <v>0</v>
      </c>
      <c r="F1701" s="12" t="n">
        <f aca="false">COUNTIFS(Cleaned!$D$2:$D$125,3,Cleaned!CG$2:CG$125,3)</f>
        <v>0</v>
      </c>
      <c r="G1701" s="13" t="n">
        <f aca="false">IFERROR(F1701/$L1701,"")</f>
        <v>0</v>
      </c>
      <c r="H1701" s="12" t="n">
        <f aca="false">COUNTIFS(Cleaned!$D$2:$D$125,3,Cleaned!CG$2:CG$125,4)</f>
        <v>4</v>
      </c>
      <c r="I1701" s="13" t="n">
        <f aca="false">IFERROR(H1701/$L1701,"")</f>
        <v>0.5</v>
      </c>
      <c r="J1701" s="12" t="n">
        <f aca="false">COUNTIFS(Cleaned!$D$2:$D$125,3,Cleaned!CG$2:CG$125,5)</f>
        <v>2</v>
      </c>
      <c r="K1701" s="13" t="n">
        <f aca="false">IFERROR(J1701/$L1701,"")</f>
        <v>0.25</v>
      </c>
      <c r="L1701" s="12" t="n">
        <f aca="false">B1701+D1701+F1701+H1701+J1701</f>
        <v>8</v>
      </c>
    </row>
    <row r="1702" customFormat="false" ht="15" hidden="false" customHeight="false" outlineLevel="0" collapsed="false">
      <c r="A1702" s="12" t="s">
        <v>707</v>
      </c>
      <c r="B1702" s="12" t="n">
        <f aca="false">COUNTIFS(Cleaned!$D$2:$D$125,4,Cleaned!CG$2:CG$125,1)</f>
        <v>3</v>
      </c>
      <c r="C1702" s="13" t="n">
        <f aca="false">IFERROR(B1702/$L1702,"")</f>
        <v>0.5</v>
      </c>
      <c r="D1702" s="12" t="n">
        <f aca="false">COUNTIFS(Cleaned!$D$2:$D$125,4,Cleaned!CG$2:CG$125,2)</f>
        <v>0</v>
      </c>
      <c r="E1702" s="13" t="n">
        <f aca="false">IFERROR(D1702/$L1702,"")</f>
        <v>0</v>
      </c>
      <c r="F1702" s="12" t="n">
        <f aca="false">COUNTIFS(Cleaned!$D$2:$D$125,4,Cleaned!CG$2:CG$125,3)</f>
        <v>1</v>
      </c>
      <c r="G1702" s="13" t="n">
        <f aca="false">IFERROR(F1702/$L1702,"")</f>
        <v>0.166666666666667</v>
      </c>
      <c r="H1702" s="12" t="n">
        <f aca="false">COUNTIFS(Cleaned!$D$2:$D$125,4,Cleaned!CG$2:CG$125,4)</f>
        <v>1</v>
      </c>
      <c r="I1702" s="13" t="n">
        <f aca="false">IFERROR(H1702/$L1702,"")</f>
        <v>0.166666666666667</v>
      </c>
      <c r="J1702" s="12" t="n">
        <f aca="false">COUNTIFS(Cleaned!$D$2:$D$125,4,Cleaned!CG$2:CG$125,5)</f>
        <v>1</v>
      </c>
      <c r="K1702" s="13" t="n">
        <f aca="false">IFERROR(J1702/$L1702,"")</f>
        <v>0.166666666666667</v>
      </c>
      <c r="L1702" s="12" t="n">
        <f aca="false">B1702+D1702+F1702+H1702+J1702</f>
        <v>6</v>
      </c>
    </row>
    <row r="1703" customFormat="false" ht="15" hidden="false" customHeight="false" outlineLevel="0" collapsed="false">
      <c r="A1703" s="12" t="s">
        <v>708</v>
      </c>
      <c r="B1703" s="12" t="n">
        <f aca="false">COUNTIFS(Cleaned!$D$2:$D$125,5,Cleaned!CG$2:CG$125,1)</f>
        <v>1</v>
      </c>
      <c r="C1703" s="13" t="n">
        <f aca="false">IFERROR(B1703/$L1703,"")</f>
        <v>1</v>
      </c>
      <c r="D1703" s="12" t="n">
        <f aca="false">COUNTIFS(Cleaned!$D$2:$D$125,5,Cleaned!CG$2:CG$125,2)</f>
        <v>0</v>
      </c>
      <c r="E1703" s="13" t="n">
        <f aca="false">IFERROR(D1703/$L1703,"")</f>
        <v>0</v>
      </c>
      <c r="F1703" s="12" t="n">
        <f aca="false">COUNTIFS(Cleaned!$D$2:$D$125,5,Cleaned!CG$2:CG$125,3)</f>
        <v>0</v>
      </c>
      <c r="G1703" s="13" t="n">
        <f aca="false">IFERROR(F1703/$L1703,"")</f>
        <v>0</v>
      </c>
      <c r="H1703" s="12" t="n">
        <f aca="false">COUNTIFS(Cleaned!$D$2:$D$125,5,Cleaned!CG$2:CG$125,4)</f>
        <v>0</v>
      </c>
      <c r="I1703" s="13" t="n">
        <f aca="false">IFERROR(H1703/$L1703,"")</f>
        <v>0</v>
      </c>
      <c r="J1703" s="12" t="n">
        <f aca="false">COUNTIFS(Cleaned!$D$2:$D$125,5,Cleaned!CG$2:CG$125,5)</f>
        <v>0</v>
      </c>
      <c r="K1703" s="13" t="n">
        <f aca="false">IFERROR(J1703/$L1703,"")</f>
        <v>0</v>
      </c>
      <c r="L1703" s="12" t="n">
        <f aca="false">B1703+D1703+F1703+H1703+J1703</f>
        <v>1</v>
      </c>
    </row>
    <row r="1704" customFormat="false" ht="15" hidden="false" customHeight="false" outlineLevel="0" collapsed="false">
      <c r="A1704" s="12" t="s">
        <v>709</v>
      </c>
      <c r="B1704" s="12" t="n">
        <f aca="false">COUNTIFS(Cleaned!$D$2:$D$125,6,Cleaned!CG$2:CG$125,1)</f>
        <v>0</v>
      </c>
      <c r="C1704" s="13" t="n">
        <f aca="false">IFERROR(B1704/$L1704,"")</f>
        <v>0</v>
      </c>
      <c r="D1704" s="12" t="n">
        <f aca="false">COUNTIFS(Cleaned!$D$2:$D$125,6,Cleaned!CG$2:CG$125,2)</f>
        <v>0</v>
      </c>
      <c r="E1704" s="13" t="n">
        <f aca="false">IFERROR(D1704/$L1704,"")</f>
        <v>0</v>
      </c>
      <c r="F1704" s="12" t="n">
        <f aca="false">COUNTIFS(Cleaned!$D$2:$D$125,6,Cleaned!CG$2:CG$125,3)</f>
        <v>0</v>
      </c>
      <c r="G1704" s="13" t="n">
        <f aca="false">IFERROR(F1704/$L1704,"")</f>
        <v>0</v>
      </c>
      <c r="H1704" s="12" t="n">
        <f aca="false">COUNTIFS(Cleaned!$D$2:$D$125,6,Cleaned!CG$2:CG$125,4)</f>
        <v>1</v>
      </c>
      <c r="I1704" s="13" t="n">
        <f aca="false">IFERROR(H1704/$L1704,"")</f>
        <v>0.5</v>
      </c>
      <c r="J1704" s="12" t="n">
        <f aca="false">COUNTIFS(Cleaned!$D$2:$D$125,6,Cleaned!CG$2:CG$125,5)</f>
        <v>1</v>
      </c>
      <c r="K1704" s="13" t="n">
        <f aca="false">IFERROR(J1704/$L1704,"")</f>
        <v>0.5</v>
      </c>
      <c r="L1704" s="12" t="n">
        <f aca="false">B1704+D1704+F1704+H1704+J1704</f>
        <v>2</v>
      </c>
    </row>
    <row r="1705" customFormat="false" ht="15" hidden="false" customHeight="false" outlineLevel="0" collapsed="false">
      <c r="A1705" s="12" t="s">
        <v>710</v>
      </c>
      <c r="B1705" s="12" t="n">
        <f aca="false">COUNTIFS(Cleaned!$D$2:$D$125,7,Cleaned!CG$2:CG$125,1)</f>
        <v>2</v>
      </c>
      <c r="C1705" s="13" t="n">
        <f aca="false">IFERROR(B1705/$L1705,"")</f>
        <v>0.25</v>
      </c>
      <c r="D1705" s="12" t="n">
        <f aca="false">COUNTIFS(Cleaned!$D$2:$D$125,7,Cleaned!CG$2:CG$125,2)</f>
        <v>0</v>
      </c>
      <c r="E1705" s="13" t="n">
        <f aca="false">IFERROR(D1705/$L1705,"")</f>
        <v>0</v>
      </c>
      <c r="F1705" s="12" t="n">
        <f aca="false">COUNTIFS(Cleaned!$D$2:$D$125,7,Cleaned!CG$2:CG$125,3)</f>
        <v>2</v>
      </c>
      <c r="G1705" s="13" t="n">
        <f aca="false">IFERROR(F1705/$L1705,"")</f>
        <v>0.25</v>
      </c>
      <c r="H1705" s="12" t="n">
        <f aca="false">COUNTIFS(Cleaned!$D$2:$D$125,7,Cleaned!CG$2:CG$125,4)</f>
        <v>1</v>
      </c>
      <c r="I1705" s="13" t="n">
        <f aca="false">IFERROR(H1705/$L1705,"")</f>
        <v>0.125</v>
      </c>
      <c r="J1705" s="12" t="n">
        <f aca="false">COUNTIFS(Cleaned!$D$2:$D$125,7,Cleaned!CG$2:CG$125,5)</f>
        <v>3</v>
      </c>
      <c r="K1705" s="13" t="n">
        <f aca="false">IFERROR(J1705/$L1705,"")</f>
        <v>0.375</v>
      </c>
      <c r="L1705" s="12" t="n">
        <f aca="false">B1705+D1705+F1705+H1705+J1705</f>
        <v>8</v>
      </c>
    </row>
    <row r="1706" customFormat="false" ht="15" hidden="false" customHeight="false" outlineLevel="0" collapsed="false">
      <c r="A1706" s="12" t="s">
        <v>711</v>
      </c>
      <c r="B1706" s="12" t="n">
        <f aca="false">COUNTIFS(Cleaned!$D$2:$D$125,8,Cleaned!CG$2:CG$125,1)</f>
        <v>0</v>
      </c>
      <c r="C1706" s="13" t="n">
        <f aca="false">IFERROR(B1706/$L1706,"")</f>
        <v>0</v>
      </c>
      <c r="D1706" s="12" t="n">
        <f aca="false">COUNTIFS(Cleaned!$D$2:$D$125,8,Cleaned!CG$2:CG$125,2)</f>
        <v>0</v>
      </c>
      <c r="E1706" s="13" t="n">
        <f aca="false">IFERROR(D1706/$L1706,"")</f>
        <v>0</v>
      </c>
      <c r="F1706" s="12" t="n">
        <f aca="false">COUNTIFS(Cleaned!$D$2:$D$125,8,Cleaned!CG$2:CG$125,3)</f>
        <v>0</v>
      </c>
      <c r="G1706" s="13" t="n">
        <f aca="false">IFERROR(F1706/$L1706,"")</f>
        <v>0</v>
      </c>
      <c r="H1706" s="12" t="n">
        <f aca="false">COUNTIFS(Cleaned!$D$2:$D$125,8,Cleaned!CG$2:CG$125,4)</f>
        <v>1</v>
      </c>
      <c r="I1706" s="13" t="n">
        <f aca="false">IFERROR(H1706/$L1706,"")</f>
        <v>0.333333333333333</v>
      </c>
      <c r="J1706" s="12" t="n">
        <f aca="false">COUNTIFS(Cleaned!$D$2:$D$125,8,Cleaned!CG$2:CG$125,5)</f>
        <v>2</v>
      </c>
      <c r="K1706" s="13" t="n">
        <f aca="false">IFERROR(J1706/$L1706,"")</f>
        <v>0.666666666666667</v>
      </c>
      <c r="L1706" s="12" t="n">
        <f aca="false">B1706+D1706+F1706+H1706+J1706</f>
        <v>3</v>
      </c>
    </row>
    <row r="1707" customFormat="false" ht="15" hidden="false" customHeight="false" outlineLevel="0" collapsed="false">
      <c r="A1707" s="12" t="s">
        <v>712</v>
      </c>
      <c r="B1707" s="12" t="n">
        <f aca="false">COUNTIFS(Cleaned!$D$2:$D$125,9,Cleaned!CG$2:CG$125,1)</f>
        <v>1</v>
      </c>
      <c r="C1707" s="13" t="n">
        <f aca="false">IFERROR(B1707/$L1707,"")</f>
        <v>0.5</v>
      </c>
      <c r="D1707" s="12" t="n">
        <f aca="false">COUNTIFS(Cleaned!$D$2:$D$125,9,Cleaned!CG$2:CG$125,2)</f>
        <v>0</v>
      </c>
      <c r="E1707" s="13" t="n">
        <f aca="false">IFERROR(D1707/$L1707,"")</f>
        <v>0</v>
      </c>
      <c r="F1707" s="12" t="n">
        <f aca="false">COUNTIFS(Cleaned!$D$2:$D$125,9,Cleaned!CG$2:CG$125,3)</f>
        <v>0</v>
      </c>
      <c r="G1707" s="13" t="n">
        <f aca="false">IFERROR(F1707/$L1707,"")</f>
        <v>0</v>
      </c>
      <c r="H1707" s="12" t="n">
        <f aca="false">COUNTIFS(Cleaned!$D$2:$D$125,9,Cleaned!CG$2:CG$125,4)</f>
        <v>0</v>
      </c>
      <c r="I1707" s="13" t="n">
        <f aca="false">IFERROR(H1707/$L1707,"")</f>
        <v>0</v>
      </c>
      <c r="J1707" s="12" t="n">
        <f aca="false">COUNTIFS(Cleaned!$D$2:$D$125,9,Cleaned!CG$2:CG$125,5)</f>
        <v>1</v>
      </c>
      <c r="K1707" s="13" t="n">
        <f aca="false">IFERROR(J1707/$L1707,"")</f>
        <v>0.5</v>
      </c>
      <c r="L1707" s="12" t="n">
        <f aca="false">B1707+D1707+F1707+H1707+J1707</f>
        <v>2</v>
      </c>
    </row>
    <row r="1708" customFormat="false" ht="15" hidden="false" customHeight="false" outlineLevel="0" collapsed="false">
      <c r="A1708" s="12" t="s">
        <v>713</v>
      </c>
      <c r="B1708" s="12" t="n">
        <f aca="false">COUNTIFS(Cleaned!$D$2:$D$125,10,Cleaned!CG$2:CG$125,1)</f>
        <v>0</v>
      </c>
      <c r="C1708" s="13" t="str">
        <f aca="false">IFERROR(B1708/$L1708,"")</f>
        <v/>
      </c>
      <c r="D1708" s="12" t="n">
        <f aca="false">COUNTIFS(Cleaned!$D$2:$D$125,10,Cleaned!CG$2:CG$125,2)</f>
        <v>0</v>
      </c>
      <c r="E1708" s="13" t="str">
        <f aca="false">IFERROR(D1708/$L1708,"")</f>
        <v/>
      </c>
      <c r="F1708" s="12" t="n">
        <f aca="false">COUNTIFS(Cleaned!$D$2:$D$125,10,Cleaned!CG$2:CG$125,3)</f>
        <v>0</v>
      </c>
      <c r="G1708" s="13" t="str">
        <f aca="false">IFERROR(F1708/$L1708,"")</f>
        <v/>
      </c>
      <c r="H1708" s="12" t="n">
        <f aca="false">COUNTIFS(Cleaned!$D$2:$D$125,10,Cleaned!CG$2:CG$125,4)</f>
        <v>0</v>
      </c>
      <c r="I1708" s="13" t="str">
        <f aca="false">IFERROR(H1708/$L1708,"")</f>
        <v/>
      </c>
      <c r="J1708" s="12" t="n">
        <f aca="false">COUNTIFS(Cleaned!$D$2:$D$125,10,Cleaned!CG$2:CG$125,5)</f>
        <v>0</v>
      </c>
      <c r="K1708" s="13" t="str">
        <f aca="false">IFERROR(J1708/$L1708,"")</f>
        <v/>
      </c>
      <c r="L1708" s="12" t="n">
        <f aca="false">B1708+D1708+F1708+H1708+J1708</f>
        <v>0</v>
      </c>
    </row>
    <row r="1709" customFormat="false" ht="15" hidden="false" customHeight="false" outlineLevel="0" collapsed="false">
      <c r="A1709" s="12" t="s">
        <v>714</v>
      </c>
      <c r="B1709" s="12" t="n">
        <f aca="false">COUNTIFS(Cleaned!$D$2:$D$125,11,Cleaned!CG$2:CG$125,1)</f>
        <v>5</v>
      </c>
      <c r="C1709" s="13" t="n">
        <f aca="false">IFERROR(B1709/$L1709,"")</f>
        <v>0.833333333333333</v>
      </c>
      <c r="D1709" s="12" t="n">
        <f aca="false">COUNTIFS(Cleaned!$D$2:$D$125,11,Cleaned!CG$2:CG$125,2)</f>
        <v>0</v>
      </c>
      <c r="E1709" s="13" t="n">
        <f aca="false">IFERROR(D1709/$L1709,"")</f>
        <v>0</v>
      </c>
      <c r="F1709" s="12" t="n">
        <f aca="false">COUNTIFS(Cleaned!$D$2:$D$125,11,Cleaned!CG$2:CG$125,3)</f>
        <v>0</v>
      </c>
      <c r="G1709" s="13" t="n">
        <f aca="false">IFERROR(F1709/$L1709,"")</f>
        <v>0</v>
      </c>
      <c r="H1709" s="12" t="n">
        <f aca="false">COUNTIFS(Cleaned!$D$2:$D$125,11,Cleaned!CG$2:CG$125,4)</f>
        <v>0</v>
      </c>
      <c r="I1709" s="13" t="n">
        <f aca="false">IFERROR(H1709/$L1709,"")</f>
        <v>0</v>
      </c>
      <c r="J1709" s="12" t="n">
        <f aca="false">COUNTIFS(Cleaned!$D$2:$D$125,11,Cleaned!CG$2:CG$125,5)</f>
        <v>1</v>
      </c>
      <c r="K1709" s="13" t="n">
        <f aca="false">IFERROR(J1709/$L1709,"")</f>
        <v>0.166666666666667</v>
      </c>
      <c r="L1709" s="12" t="n">
        <f aca="false">B1709+D1709+F1709+H1709+J1709</f>
        <v>6</v>
      </c>
    </row>
    <row r="1710" customFormat="false" ht="15" hidden="false" customHeight="false" outlineLevel="0" collapsed="false">
      <c r="A1710" s="12" t="s">
        <v>715</v>
      </c>
      <c r="B1710" s="12" t="n">
        <f aca="false">COUNTIFS(Cleaned!$D$2:$D$125,12,Cleaned!CG$2:CG$125,1)</f>
        <v>2</v>
      </c>
      <c r="C1710" s="13" t="n">
        <f aca="false">IFERROR(B1710/$L1710,"")</f>
        <v>0.5</v>
      </c>
      <c r="D1710" s="12" t="n">
        <f aca="false">COUNTIFS(Cleaned!$D$2:$D$125,12,Cleaned!CG$2:CG$125,2)</f>
        <v>1</v>
      </c>
      <c r="E1710" s="13" t="n">
        <f aca="false">IFERROR(D1710/$L1710,"")</f>
        <v>0.25</v>
      </c>
      <c r="F1710" s="12" t="n">
        <f aca="false">COUNTIFS(Cleaned!$D$2:$D$125,12,Cleaned!CG$2:CG$125,3)</f>
        <v>0</v>
      </c>
      <c r="G1710" s="13" t="n">
        <f aca="false">IFERROR(F1710/$L1710,"")</f>
        <v>0</v>
      </c>
      <c r="H1710" s="12" t="n">
        <f aca="false">COUNTIFS(Cleaned!$D$2:$D$125,12,Cleaned!CG$2:CG$125,4)</f>
        <v>0</v>
      </c>
      <c r="I1710" s="13" t="n">
        <f aca="false">IFERROR(H1710/$L1710,"")</f>
        <v>0</v>
      </c>
      <c r="J1710" s="12" t="n">
        <f aca="false">COUNTIFS(Cleaned!$D$2:$D$125,12,Cleaned!CG$2:CG$125,5)</f>
        <v>1</v>
      </c>
      <c r="K1710" s="13" t="n">
        <f aca="false">IFERROR(J1710/$L1710,"")</f>
        <v>0.25</v>
      </c>
      <c r="L1710" s="12" t="n">
        <f aca="false">B1710+D1710+F1710+H1710+J1710</f>
        <v>4</v>
      </c>
    </row>
    <row r="1711" customFormat="false" ht="15" hidden="false" customHeight="false" outlineLevel="0" collapsed="false">
      <c r="A1711" s="11" t="s">
        <v>716</v>
      </c>
      <c r="B1711" s="11" t="n">
        <f aca="false">SUM(B1699:B1710)</f>
        <v>25</v>
      </c>
      <c r="C1711" s="14" t="n">
        <f aca="false">IFERROR(B1711/$L1711,"")</f>
        <v>0.446428571428571</v>
      </c>
      <c r="D1711" s="11" t="n">
        <f aca="false">SUM(D1699:D1710)</f>
        <v>1</v>
      </c>
      <c r="E1711" s="14" t="n">
        <f aca="false">IFERROR(D1711/$L1711,"")</f>
        <v>0.0178571428571429</v>
      </c>
      <c r="F1711" s="11" t="n">
        <f aca="false">SUM(F1699:F1710)</f>
        <v>5</v>
      </c>
      <c r="G1711" s="14" t="n">
        <f aca="false">IFERROR(F1711/$L1711,"")</f>
        <v>0.0892857142857143</v>
      </c>
      <c r="H1711" s="11" t="n">
        <f aca="false">SUM(H1699:H1710)</f>
        <v>11</v>
      </c>
      <c r="I1711" s="14" t="n">
        <f aca="false">IFERROR(H1711/$L1711,"")</f>
        <v>0.196428571428571</v>
      </c>
      <c r="J1711" s="11" t="n">
        <f aca="false">SUM(J1699:J1710)</f>
        <v>14</v>
      </c>
      <c r="K1711" s="14" t="n">
        <f aca="false">IFERROR(J1711/$L1711,"")</f>
        <v>0.25</v>
      </c>
      <c r="L1711" s="11" t="n">
        <f aca="false">SUM(L1699:L1710)</f>
        <v>56</v>
      </c>
    </row>
    <row r="1714" customFormat="false" ht="15" hidden="false" customHeight="false" outlineLevel="0" collapsed="false">
      <c r="A1714" s="6" t="s">
        <v>86</v>
      </c>
      <c r="B1714" s="7" t="s">
        <v>806</v>
      </c>
    </row>
    <row r="1715" customFormat="false" ht="15" hidden="false" customHeight="false" outlineLevel="0" collapsed="false">
      <c r="A1715" s="11" t="s">
        <v>734</v>
      </c>
      <c r="B1715" s="9" t="s">
        <v>694</v>
      </c>
      <c r="C1715" s="9" t="s">
        <v>735</v>
      </c>
      <c r="D1715" s="9" t="s">
        <v>736</v>
      </c>
      <c r="E1715" s="9" t="s">
        <v>737</v>
      </c>
      <c r="F1715" s="9" t="s">
        <v>738</v>
      </c>
    </row>
    <row r="1716" customFormat="false" ht="15" hidden="false" customHeight="false" outlineLevel="0" collapsed="false">
      <c r="B1716" s="12" t="n">
        <f aca="false">COUNT(Cleaned!$CI$2:$CI$125)</f>
        <v>42</v>
      </c>
      <c r="C1716" s="12" t="n">
        <f aca="false">IFERROR(AVERAGE(Cleaned!$CI$2:$CI$125),"")</f>
        <v>55.6221428571429</v>
      </c>
      <c r="D1716" s="12" t="n">
        <f aca="false">IFERROR(MEDIAN(Cleaned!$CI$2:$CI$125),"")</f>
        <v>51.135</v>
      </c>
      <c r="E1716" s="12" t="n">
        <f aca="false">IFERROR(MIN(Cleaned!$CI$2:$CI$125),"")</f>
        <v>25.05</v>
      </c>
      <c r="F1716" s="12" t="n">
        <f aca="false">IFERROR(MAX(Cleaned!$CI$2:$CI$125),"")</f>
        <v>167.68</v>
      </c>
    </row>
    <row r="1717" customFormat="false" ht="15" hidden="false" customHeight="false" outlineLevel="0" collapsed="false">
      <c r="A1717" s="11" t="s">
        <v>697</v>
      </c>
      <c r="B1717" s="9" t="s">
        <v>739</v>
      </c>
      <c r="C1717" s="9" t="s">
        <v>735</v>
      </c>
    </row>
    <row r="1718" customFormat="false" ht="15" hidden="false" customHeight="false" outlineLevel="0" collapsed="false">
      <c r="A1718" s="12" t="s">
        <v>698</v>
      </c>
      <c r="B1718" s="12" t="n">
        <f aca="false">COUNTIFS(Cleaned!$C$2:$C$125,1,Cleaned!CI$2:CI$125,"&lt;&gt;")</f>
        <v>5</v>
      </c>
      <c r="C1718" s="15" t="n">
        <f aca="false">IF(B1718=0,"",AVERAGEIF(Cleaned!$C$2:$C$125,1,Cleaned!CI$2:CI$125))</f>
        <v>75.752</v>
      </c>
    </row>
    <row r="1719" customFormat="false" ht="15" hidden="false" customHeight="false" outlineLevel="0" collapsed="false">
      <c r="A1719" s="12" t="s">
        <v>699</v>
      </c>
      <c r="B1719" s="12" t="n">
        <f aca="false">COUNTIFS(Cleaned!$C$2:$C$125,2,Cleaned!CI$2:CI$125,"&lt;&gt;")</f>
        <v>8</v>
      </c>
      <c r="C1719" s="15" t="n">
        <f aca="false">IF(B1719=0,"",AVERAGEIF(Cleaned!$C$2:$C$125,2,Cleaned!CI$2:CI$125))</f>
        <v>57.85125</v>
      </c>
    </row>
    <row r="1720" customFormat="false" ht="15" hidden="false" customHeight="false" outlineLevel="0" collapsed="false">
      <c r="A1720" s="12" t="s">
        <v>700</v>
      </c>
      <c r="B1720" s="12" t="n">
        <f aca="false">COUNTIFS(Cleaned!$C$2:$C$125,3,Cleaned!CI$2:CI$125,"&lt;&gt;")</f>
        <v>10</v>
      </c>
      <c r="C1720" s="15" t="n">
        <f aca="false">IF(B1720=0,"",AVERAGEIF(Cleaned!$C$2:$C$125,3,Cleaned!CI$2:CI$125))</f>
        <v>53.604</v>
      </c>
    </row>
    <row r="1721" customFormat="false" ht="15" hidden="false" customHeight="false" outlineLevel="0" collapsed="false">
      <c r="A1721" s="12" t="s">
        <v>701</v>
      </c>
      <c r="B1721" s="12" t="n">
        <f aca="false">COUNTIFS(Cleaned!$C$2:$C$125,4,Cleaned!CI$2:CI$125,"&lt;&gt;")</f>
        <v>5</v>
      </c>
      <c r="C1721" s="15" t="n">
        <f aca="false">IF(B1721=0,"",AVERAGEIF(Cleaned!$C$2:$C$125,4,Cleaned!CI$2:CI$125))</f>
        <v>41.142</v>
      </c>
    </row>
    <row r="1722" customFormat="false" ht="15" hidden="false" customHeight="false" outlineLevel="0" collapsed="false">
      <c r="A1722" s="12" t="s">
        <v>702</v>
      </c>
      <c r="B1722" s="12" t="n">
        <f aca="false">COUNTIFS(Cleaned!$C$2:$C$125,5,Cleaned!CI$2:CI$125,"&lt;&gt;")</f>
        <v>14</v>
      </c>
      <c r="C1722" s="15" t="n">
        <f aca="false">IF(B1722=0,"",AVERAGEIF(Cleaned!$C$2:$C$125,5,Cleaned!CI$2:CI$125))</f>
        <v>53.7721428571429</v>
      </c>
    </row>
    <row r="1723" customFormat="false" ht="15" hidden="false" customHeight="false" outlineLevel="0" collapsed="false">
      <c r="A1723" s="11" t="s">
        <v>3</v>
      </c>
      <c r="B1723" s="9" t="s">
        <v>739</v>
      </c>
      <c r="C1723" s="9" t="s">
        <v>735</v>
      </c>
    </row>
    <row r="1724" customFormat="false" ht="15" hidden="false" customHeight="false" outlineLevel="0" collapsed="false">
      <c r="A1724" s="12" t="s">
        <v>704</v>
      </c>
      <c r="B1724" s="12" t="n">
        <f aca="false">COUNTIFS(Cleaned!$D$2:$D$125,1,Cleaned!CI$2:CI$125,"&lt;&gt;")</f>
        <v>4</v>
      </c>
      <c r="C1724" s="15" t="n">
        <f aca="false">IF(B1724=0,"",AVERAGEIF(Cleaned!$D$2:$D$125,1,Cleaned!CI$2:CI$125))</f>
        <v>58.5825</v>
      </c>
    </row>
    <row r="1725" customFormat="false" ht="15" hidden="false" customHeight="false" outlineLevel="0" collapsed="false">
      <c r="A1725" s="12" t="s">
        <v>705</v>
      </c>
      <c r="B1725" s="12" t="n">
        <f aca="false">COUNTIFS(Cleaned!$D$2:$D$125,2,Cleaned!CI$2:CI$125,"&lt;&gt;")</f>
        <v>8</v>
      </c>
      <c r="C1725" s="15" t="n">
        <f aca="false">IF(B1725=0,"",AVERAGEIF(Cleaned!$D$2:$D$125,2,Cleaned!CI$2:CI$125))</f>
        <v>56.17625</v>
      </c>
    </row>
    <row r="1726" customFormat="false" ht="15" hidden="false" customHeight="false" outlineLevel="0" collapsed="false">
      <c r="A1726" s="12" t="s">
        <v>706</v>
      </c>
      <c r="B1726" s="12" t="n">
        <f aca="false">COUNTIFS(Cleaned!$D$2:$D$125,3,Cleaned!CI$2:CI$125,"&lt;&gt;")</f>
        <v>5</v>
      </c>
      <c r="C1726" s="15" t="n">
        <f aca="false">IF(B1726=0,"",AVERAGEIF(Cleaned!$D$2:$D$125,3,Cleaned!CI$2:CI$125))</f>
        <v>91.962</v>
      </c>
    </row>
    <row r="1727" customFormat="false" ht="15" hidden="false" customHeight="false" outlineLevel="0" collapsed="false">
      <c r="A1727" s="12" t="s">
        <v>707</v>
      </c>
      <c r="B1727" s="12" t="n">
        <f aca="false">COUNTIFS(Cleaned!$D$2:$D$125,4,Cleaned!CI$2:CI$125,"&lt;&gt;")</f>
        <v>6</v>
      </c>
      <c r="C1727" s="15" t="n">
        <f aca="false">IF(B1727=0,"",AVERAGEIF(Cleaned!$D$2:$D$125,4,Cleaned!CI$2:CI$125))</f>
        <v>60.65</v>
      </c>
    </row>
    <row r="1728" customFormat="false" ht="15" hidden="false" customHeight="false" outlineLevel="0" collapsed="false">
      <c r="A1728" s="12" t="s">
        <v>708</v>
      </c>
      <c r="B1728" s="12" t="n">
        <f aca="false">COUNTIFS(Cleaned!$D$2:$D$125,5,Cleaned!CI$2:CI$125,"&lt;&gt;")</f>
        <v>0</v>
      </c>
      <c r="C1728" s="15" t="str">
        <f aca="false">IF(B1728=0,"",AVERAGEIF(Cleaned!$D$2:$D$125,5,Cleaned!CI$2:CI$125))</f>
        <v/>
      </c>
    </row>
    <row r="1729" customFormat="false" ht="15" hidden="false" customHeight="false" outlineLevel="0" collapsed="false">
      <c r="A1729" s="12" t="s">
        <v>709</v>
      </c>
      <c r="B1729" s="12" t="n">
        <f aca="false">COUNTIFS(Cleaned!$D$2:$D$125,6,Cleaned!CI$2:CI$125,"&lt;&gt;")</f>
        <v>0</v>
      </c>
      <c r="C1729" s="15" t="str">
        <f aca="false">IF(B1729=0,"",AVERAGEIF(Cleaned!$D$2:$D$125,6,Cleaned!CI$2:CI$125))</f>
        <v/>
      </c>
    </row>
    <row r="1730" customFormat="false" ht="15" hidden="false" customHeight="false" outlineLevel="0" collapsed="false">
      <c r="A1730" s="12" t="s">
        <v>710</v>
      </c>
      <c r="B1730" s="12" t="n">
        <f aca="false">COUNTIFS(Cleaned!$D$2:$D$125,7,Cleaned!CI$2:CI$125,"&lt;&gt;")</f>
        <v>8</v>
      </c>
      <c r="C1730" s="15" t="n">
        <f aca="false">IF(B1730=0,"",AVERAGEIF(Cleaned!$D$2:$D$125,7,Cleaned!CI$2:CI$125))</f>
        <v>38.3375</v>
      </c>
    </row>
    <row r="1731" customFormat="false" ht="15" hidden="false" customHeight="false" outlineLevel="0" collapsed="false">
      <c r="A1731" s="12" t="s">
        <v>711</v>
      </c>
      <c r="B1731" s="12" t="n">
        <f aca="false">COUNTIFS(Cleaned!$D$2:$D$125,8,Cleaned!CI$2:CI$125,"&lt;&gt;")</f>
        <v>2</v>
      </c>
      <c r="C1731" s="15" t="n">
        <f aca="false">IF(B1731=0,"",AVERAGEIF(Cleaned!$D$2:$D$125,8,Cleaned!CI$2:CI$125))</f>
        <v>42.345</v>
      </c>
    </row>
    <row r="1732" customFormat="false" ht="15" hidden="false" customHeight="false" outlineLevel="0" collapsed="false">
      <c r="A1732" s="12" t="s">
        <v>712</v>
      </c>
      <c r="B1732" s="12" t="n">
        <f aca="false">COUNTIFS(Cleaned!$D$2:$D$125,9,Cleaned!CI$2:CI$125,"&lt;&gt;")</f>
        <v>1</v>
      </c>
      <c r="C1732" s="15" t="n">
        <f aca="false">IF(B1732=0,"",AVERAGEIF(Cleaned!$D$2:$D$125,9,Cleaned!CI$2:CI$125))</f>
        <v>35.48</v>
      </c>
    </row>
    <row r="1733" customFormat="false" ht="15" hidden="false" customHeight="false" outlineLevel="0" collapsed="false">
      <c r="A1733" s="12" t="s">
        <v>713</v>
      </c>
      <c r="B1733" s="12" t="n">
        <f aca="false">COUNTIFS(Cleaned!$D$2:$D$125,10,Cleaned!CI$2:CI$125,"&lt;&gt;")</f>
        <v>0</v>
      </c>
      <c r="C1733" s="15" t="str">
        <f aca="false">IF(B1733=0,"",AVERAGEIF(Cleaned!$D$2:$D$125,10,Cleaned!CI$2:CI$125))</f>
        <v/>
      </c>
    </row>
    <row r="1734" customFormat="false" ht="15" hidden="false" customHeight="false" outlineLevel="0" collapsed="false">
      <c r="A1734" s="12" t="s">
        <v>714</v>
      </c>
      <c r="B1734" s="12" t="n">
        <f aca="false">COUNTIFS(Cleaned!$D$2:$D$125,11,Cleaned!CI$2:CI$125,"&lt;&gt;")</f>
        <v>4</v>
      </c>
      <c r="C1734" s="15" t="n">
        <f aca="false">IF(B1734=0,"",AVERAGEIF(Cleaned!$D$2:$D$125,11,Cleaned!CI$2:CI$125))</f>
        <v>47.0825</v>
      </c>
    </row>
    <row r="1735" customFormat="false" ht="15" hidden="false" customHeight="false" outlineLevel="0" collapsed="false">
      <c r="A1735" s="12" t="s">
        <v>715</v>
      </c>
      <c r="B1735" s="12" t="n">
        <f aca="false">COUNTIFS(Cleaned!$D$2:$D$125,12,Cleaned!CI$2:CI$125,"&lt;&gt;")</f>
        <v>4</v>
      </c>
      <c r="C1735" s="15" t="n">
        <f aca="false">IF(B1735=0,"",AVERAGEIF(Cleaned!$D$2:$D$125,12,Cleaned!CI$2:CI$125))</f>
        <v>53.37</v>
      </c>
    </row>
    <row r="1738" customFormat="false" ht="15" hidden="false" customHeight="false" outlineLevel="0" collapsed="false">
      <c r="A1738" s="6" t="s">
        <v>87</v>
      </c>
      <c r="B1738" s="7" t="s">
        <v>807</v>
      </c>
    </row>
    <row r="1739" customFormat="false" ht="15" hidden="false" customHeight="false" outlineLevel="0" collapsed="false">
      <c r="A1739" s="8"/>
      <c r="B1739" s="9" t="s">
        <v>726</v>
      </c>
      <c r="C1739" s="8"/>
      <c r="D1739" s="9" t="s">
        <v>362</v>
      </c>
      <c r="E1739" s="8"/>
      <c r="F1739" s="9" t="s">
        <v>694</v>
      </c>
    </row>
    <row r="1740" customFormat="false" ht="15" hidden="false" customHeight="false" outlineLevel="0" collapsed="false">
      <c r="B1740" s="10" t="s">
        <v>695</v>
      </c>
      <c r="C1740" s="10" t="s">
        <v>696</v>
      </c>
      <c r="D1740" s="10" t="s">
        <v>695</v>
      </c>
      <c r="E1740" s="10" t="s">
        <v>696</v>
      </c>
    </row>
    <row r="1741" customFormat="false" ht="15" hidden="false" customHeight="false" outlineLevel="0" collapsed="false">
      <c r="A1741" s="11" t="s">
        <v>697</v>
      </c>
    </row>
    <row r="1742" customFormat="false" ht="15" hidden="false" customHeight="false" outlineLevel="0" collapsed="false">
      <c r="A1742" s="12" t="s">
        <v>698</v>
      </c>
      <c r="B1742" s="12" t="n">
        <f aca="false">COUNTIFS(Cleaned!$C$2:$C$125,1,Cleaned!CJ$2:CJ$125,1)</f>
        <v>5</v>
      </c>
      <c r="C1742" s="13" t="n">
        <f aca="false">IFERROR(B1742/$F1742,"")</f>
        <v>0.416666666666667</v>
      </c>
      <c r="D1742" s="12" t="n">
        <f aca="false">COUNTIFS(Cleaned!$C$2:$C$125,1,Cleaned!CJ$2:CJ$125,2)</f>
        <v>7</v>
      </c>
      <c r="E1742" s="13" t="n">
        <f aca="false">IFERROR(D1742/$F1742,"")</f>
        <v>0.583333333333333</v>
      </c>
      <c r="F1742" s="12" t="n">
        <f aca="false">B1742+D1742</f>
        <v>12</v>
      </c>
    </row>
    <row r="1743" customFormat="false" ht="15" hidden="false" customHeight="false" outlineLevel="0" collapsed="false">
      <c r="A1743" s="12" t="s">
        <v>699</v>
      </c>
      <c r="B1743" s="12" t="n">
        <f aca="false">COUNTIFS(Cleaned!$C$2:$C$125,2,Cleaned!CJ$2:CJ$125,1)</f>
        <v>7</v>
      </c>
      <c r="C1743" s="13" t="n">
        <f aca="false">IFERROR(B1743/$F1743,"")</f>
        <v>0.777777777777778</v>
      </c>
      <c r="D1743" s="12" t="n">
        <f aca="false">COUNTIFS(Cleaned!$C$2:$C$125,2,Cleaned!CJ$2:CJ$125,2)</f>
        <v>2</v>
      </c>
      <c r="E1743" s="13" t="n">
        <f aca="false">IFERROR(D1743/$F1743,"")</f>
        <v>0.222222222222222</v>
      </c>
      <c r="F1743" s="12" t="n">
        <f aca="false">B1743+D1743</f>
        <v>9</v>
      </c>
    </row>
    <row r="1744" customFormat="false" ht="15" hidden="false" customHeight="false" outlineLevel="0" collapsed="false">
      <c r="A1744" s="12" t="s">
        <v>700</v>
      </c>
      <c r="B1744" s="12" t="n">
        <f aca="false">COUNTIFS(Cleaned!$C$2:$C$125,3,Cleaned!CJ$2:CJ$125,1)</f>
        <v>12</v>
      </c>
      <c r="C1744" s="13" t="n">
        <f aca="false">IFERROR(B1744/$F1744,"")</f>
        <v>0.923076923076923</v>
      </c>
      <c r="D1744" s="12" t="n">
        <f aca="false">COUNTIFS(Cleaned!$C$2:$C$125,3,Cleaned!CJ$2:CJ$125,2)</f>
        <v>1</v>
      </c>
      <c r="E1744" s="13" t="n">
        <f aca="false">IFERROR(D1744/$F1744,"")</f>
        <v>0.0769230769230769</v>
      </c>
      <c r="F1744" s="12" t="n">
        <f aca="false">B1744+D1744</f>
        <v>13</v>
      </c>
    </row>
    <row r="1745" customFormat="false" ht="15" hidden="false" customHeight="false" outlineLevel="0" collapsed="false">
      <c r="A1745" s="12" t="s">
        <v>701</v>
      </c>
      <c r="B1745" s="12" t="n">
        <f aca="false">COUNTIFS(Cleaned!$C$2:$C$125,4,Cleaned!CJ$2:CJ$125,1)</f>
        <v>10</v>
      </c>
      <c r="C1745" s="13" t="n">
        <f aca="false">IFERROR(B1745/$F1745,"")</f>
        <v>0.909090909090909</v>
      </c>
      <c r="D1745" s="12" t="n">
        <f aca="false">COUNTIFS(Cleaned!$C$2:$C$125,4,Cleaned!CJ$2:CJ$125,2)</f>
        <v>1</v>
      </c>
      <c r="E1745" s="13" t="n">
        <f aca="false">IFERROR(D1745/$F1745,"")</f>
        <v>0.0909090909090909</v>
      </c>
      <c r="F1745" s="12" t="n">
        <f aca="false">B1745+D1745</f>
        <v>11</v>
      </c>
    </row>
    <row r="1746" customFormat="false" ht="15" hidden="false" customHeight="false" outlineLevel="0" collapsed="false">
      <c r="A1746" s="12" t="s">
        <v>702</v>
      </c>
      <c r="B1746" s="12" t="n">
        <f aca="false">COUNTIFS(Cleaned!$C$2:$C$125,5,Cleaned!CJ$2:CJ$125,1)</f>
        <v>21</v>
      </c>
      <c r="C1746" s="13" t="n">
        <f aca="false">IFERROR(B1746/$F1746,"")</f>
        <v>0.954545454545455</v>
      </c>
      <c r="D1746" s="12" t="n">
        <f aca="false">COUNTIFS(Cleaned!$C$2:$C$125,5,Cleaned!CJ$2:CJ$125,2)</f>
        <v>1</v>
      </c>
      <c r="E1746" s="13" t="n">
        <f aca="false">IFERROR(D1746/$F1746,"")</f>
        <v>0.0454545454545455</v>
      </c>
      <c r="F1746" s="12" t="n">
        <f aca="false">B1746+D1746</f>
        <v>22</v>
      </c>
    </row>
    <row r="1747" customFormat="false" ht="15" hidden="false" customHeight="false" outlineLevel="0" collapsed="false">
      <c r="A1747" s="11" t="s">
        <v>703</v>
      </c>
      <c r="B1747" s="11" t="n">
        <f aca="false">SUM(B1742:B1746)</f>
        <v>55</v>
      </c>
      <c r="C1747" s="14" t="n">
        <f aca="false">IFERROR(B1747/$F1747,"")</f>
        <v>0.82089552238806</v>
      </c>
      <c r="D1747" s="11" t="n">
        <f aca="false">SUM(D1742:D1746)</f>
        <v>12</v>
      </c>
      <c r="E1747" s="14" t="n">
        <f aca="false">IFERROR(D1747/$F1747,"")</f>
        <v>0.17910447761194</v>
      </c>
      <c r="F1747" s="11" t="n">
        <f aca="false">SUM(F1742:F1746)</f>
        <v>67</v>
      </c>
    </row>
    <row r="1748" customFormat="false" ht="15" hidden="false" customHeight="false" outlineLevel="0" collapsed="false">
      <c r="A1748" s="11" t="s">
        <v>3</v>
      </c>
    </row>
    <row r="1749" customFormat="false" ht="15" hidden="false" customHeight="false" outlineLevel="0" collapsed="false">
      <c r="A1749" s="12" t="s">
        <v>704</v>
      </c>
      <c r="B1749" s="12" t="n">
        <f aca="false">COUNTIFS(Cleaned!$D$2:$D$125,1,Cleaned!CJ$2:CJ$125,1)</f>
        <v>7</v>
      </c>
      <c r="C1749" s="13" t="n">
        <f aca="false">IFERROR(B1749/$F1749,"")</f>
        <v>0.7</v>
      </c>
      <c r="D1749" s="12" t="n">
        <f aca="false">COUNTIFS(Cleaned!$D$2:$D$125,1,Cleaned!CJ$2:CJ$125,2)</f>
        <v>3</v>
      </c>
      <c r="E1749" s="13" t="n">
        <f aca="false">IFERROR(D1749/$F1749,"")</f>
        <v>0.3</v>
      </c>
      <c r="F1749" s="12" t="n">
        <f aca="false">B1749+D1749</f>
        <v>10</v>
      </c>
    </row>
    <row r="1750" customFormat="false" ht="15" hidden="false" customHeight="false" outlineLevel="0" collapsed="false">
      <c r="A1750" s="12" t="s">
        <v>705</v>
      </c>
      <c r="B1750" s="12" t="n">
        <f aca="false">COUNTIFS(Cleaned!$D$2:$D$125,2,Cleaned!CJ$2:CJ$125,1)</f>
        <v>13</v>
      </c>
      <c r="C1750" s="13" t="n">
        <f aca="false">IFERROR(B1750/$F1750,"")</f>
        <v>0.928571428571429</v>
      </c>
      <c r="D1750" s="12" t="n">
        <f aca="false">COUNTIFS(Cleaned!$D$2:$D$125,2,Cleaned!CJ$2:CJ$125,2)</f>
        <v>1</v>
      </c>
      <c r="E1750" s="13" t="n">
        <f aca="false">IFERROR(D1750/$F1750,"")</f>
        <v>0.0714285714285714</v>
      </c>
      <c r="F1750" s="12" t="n">
        <f aca="false">B1750+D1750</f>
        <v>14</v>
      </c>
    </row>
    <row r="1751" customFormat="false" ht="15" hidden="false" customHeight="false" outlineLevel="0" collapsed="false">
      <c r="A1751" s="12" t="s">
        <v>706</v>
      </c>
      <c r="B1751" s="12" t="n">
        <f aca="false">COUNTIFS(Cleaned!$D$2:$D$125,3,Cleaned!CJ$2:CJ$125,1)</f>
        <v>6</v>
      </c>
      <c r="C1751" s="13" t="n">
        <f aca="false">IFERROR(B1751/$F1751,"")</f>
        <v>0.666666666666667</v>
      </c>
      <c r="D1751" s="12" t="n">
        <f aca="false">COUNTIFS(Cleaned!$D$2:$D$125,3,Cleaned!CJ$2:CJ$125,2)</f>
        <v>3</v>
      </c>
      <c r="E1751" s="13" t="n">
        <f aca="false">IFERROR(D1751/$F1751,"")</f>
        <v>0.333333333333333</v>
      </c>
      <c r="F1751" s="12" t="n">
        <f aca="false">B1751+D1751</f>
        <v>9</v>
      </c>
    </row>
    <row r="1752" customFormat="false" ht="15" hidden="false" customHeight="false" outlineLevel="0" collapsed="false">
      <c r="A1752" s="12" t="s">
        <v>707</v>
      </c>
      <c r="B1752" s="12" t="n">
        <f aca="false">COUNTIFS(Cleaned!$D$2:$D$125,4,Cleaned!CJ$2:CJ$125,1)</f>
        <v>6</v>
      </c>
      <c r="C1752" s="13" t="n">
        <f aca="false">IFERROR(B1752/$F1752,"")</f>
        <v>1</v>
      </c>
      <c r="D1752" s="12" t="n">
        <f aca="false">COUNTIFS(Cleaned!$D$2:$D$125,4,Cleaned!CJ$2:CJ$125,2)</f>
        <v>0</v>
      </c>
      <c r="E1752" s="13" t="n">
        <f aca="false">IFERROR(D1752/$F1752,"")</f>
        <v>0</v>
      </c>
      <c r="F1752" s="12" t="n">
        <f aca="false">B1752+D1752</f>
        <v>6</v>
      </c>
    </row>
    <row r="1753" customFormat="false" ht="15" hidden="false" customHeight="false" outlineLevel="0" collapsed="false">
      <c r="A1753" s="12" t="s">
        <v>708</v>
      </c>
      <c r="B1753" s="12" t="n">
        <f aca="false">COUNTIFS(Cleaned!$D$2:$D$125,5,Cleaned!CJ$2:CJ$125,1)</f>
        <v>1</v>
      </c>
      <c r="C1753" s="13" t="n">
        <f aca="false">IFERROR(B1753/$F1753,"")</f>
        <v>1</v>
      </c>
      <c r="D1753" s="12" t="n">
        <f aca="false">COUNTIFS(Cleaned!$D$2:$D$125,5,Cleaned!CJ$2:CJ$125,2)</f>
        <v>0</v>
      </c>
      <c r="E1753" s="13" t="n">
        <f aca="false">IFERROR(D1753/$F1753,"")</f>
        <v>0</v>
      </c>
      <c r="F1753" s="12" t="n">
        <f aca="false">B1753+D1753</f>
        <v>1</v>
      </c>
    </row>
    <row r="1754" customFormat="false" ht="15" hidden="false" customHeight="false" outlineLevel="0" collapsed="false">
      <c r="A1754" s="12" t="s">
        <v>709</v>
      </c>
      <c r="B1754" s="12" t="n">
        <f aca="false">COUNTIFS(Cleaned!$D$2:$D$125,6,Cleaned!CJ$2:CJ$125,1)</f>
        <v>2</v>
      </c>
      <c r="C1754" s="13" t="n">
        <f aca="false">IFERROR(B1754/$F1754,"")</f>
        <v>1</v>
      </c>
      <c r="D1754" s="12" t="n">
        <f aca="false">COUNTIFS(Cleaned!$D$2:$D$125,6,Cleaned!CJ$2:CJ$125,2)</f>
        <v>0</v>
      </c>
      <c r="E1754" s="13" t="n">
        <f aca="false">IFERROR(D1754/$F1754,"")</f>
        <v>0</v>
      </c>
      <c r="F1754" s="12" t="n">
        <f aca="false">B1754+D1754</f>
        <v>2</v>
      </c>
    </row>
    <row r="1755" customFormat="false" ht="15" hidden="false" customHeight="false" outlineLevel="0" collapsed="false">
      <c r="A1755" s="12" t="s">
        <v>710</v>
      </c>
      <c r="B1755" s="12" t="n">
        <f aca="false">COUNTIFS(Cleaned!$D$2:$D$125,7,Cleaned!CJ$2:CJ$125,1)</f>
        <v>7</v>
      </c>
      <c r="C1755" s="13" t="n">
        <f aca="false">IFERROR(B1755/$F1755,"")</f>
        <v>0.875</v>
      </c>
      <c r="D1755" s="12" t="n">
        <f aca="false">COUNTIFS(Cleaned!$D$2:$D$125,7,Cleaned!CJ$2:CJ$125,2)</f>
        <v>1</v>
      </c>
      <c r="E1755" s="13" t="n">
        <f aca="false">IFERROR(D1755/$F1755,"")</f>
        <v>0.125</v>
      </c>
      <c r="F1755" s="12" t="n">
        <f aca="false">B1755+D1755</f>
        <v>8</v>
      </c>
    </row>
    <row r="1756" customFormat="false" ht="15" hidden="false" customHeight="false" outlineLevel="0" collapsed="false">
      <c r="A1756" s="12" t="s">
        <v>711</v>
      </c>
      <c r="B1756" s="12" t="n">
        <f aca="false">COUNTIFS(Cleaned!$D$2:$D$125,8,Cleaned!CJ$2:CJ$125,1)</f>
        <v>3</v>
      </c>
      <c r="C1756" s="13" t="n">
        <f aca="false">IFERROR(B1756/$F1756,"")</f>
        <v>0.75</v>
      </c>
      <c r="D1756" s="12" t="n">
        <f aca="false">COUNTIFS(Cleaned!$D$2:$D$125,8,Cleaned!CJ$2:CJ$125,2)</f>
        <v>1</v>
      </c>
      <c r="E1756" s="13" t="n">
        <f aca="false">IFERROR(D1756/$F1756,"")</f>
        <v>0.25</v>
      </c>
      <c r="F1756" s="12" t="n">
        <f aca="false">B1756+D1756</f>
        <v>4</v>
      </c>
    </row>
    <row r="1757" customFormat="false" ht="15" hidden="false" customHeight="false" outlineLevel="0" collapsed="false">
      <c r="A1757" s="12" t="s">
        <v>712</v>
      </c>
      <c r="B1757" s="12" t="n">
        <f aca="false">COUNTIFS(Cleaned!$D$2:$D$125,9,Cleaned!CJ$2:CJ$125,1)</f>
        <v>2</v>
      </c>
      <c r="C1757" s="13" t="n">
        <f aca="false">IFERROR(B1757/$F1757,"")</f>
        <v>1</v>
      </c>
      <c r="D1757" s="12" t="n">
        <f aca="false">COUNTIFS(Cleaned!$D$2:$D$125,9,Cleaned!CJ$2:CJ$125,2)</f>
        <v>0</v>
      </c>
      <c r="E1757" s="13" t="n">
        <f aca="false">IFERROR(D1757/$F1757,"")</f>
        <v>0</v>
      </c>
      <c r="F1757" s="12" t="n">
        <f aca="false">B1757+D1757</f>
        <v>2</v>
      </c>
    </row>
    <row r="1758" customFormat="false" ht="15" hidden="false" customHeight="false" outlineLevel="0" collapsed="false">
      <c r="A1758" s="12" t="s">
        <v>713</v>
      </c>
      <c r="B1758" s="12" t="n">
        <f aca="false">COUNTIFS(Cleaned!$D$2:$D$125,10,Cleaned!CJ$2:CJ$125,1)</f>
        <v>0</v>
      </c>
      <c r="C1758" s="13" t="str">
        <f aca="false">IFERROR(B1758/$F1758,"")</f>
        <v/>
      </c>
      <c r="D1758" s="12" t="n">
        <f aca="false">COUNTIFS(Cleaned!$D$2:$D$125,10,Cleaned!CJ$2:CJ$125,2)</f>
        <v>0</v>
      </c>
      <c r="E1758" s="13" t="str">
        <f aca="false">IFERROR(D1758/$F1758,"")</f>
        <v/>
      </c>
      <c r="F1758" s="12" t="n">
        <f aca="false">B1758+D1758</f>
        <v>0</v>
      </c>
    </row>
    <row r="1759" customFormat="false" ht="15" hidden="false" customHeight="false" outlineLevel="0" collapsed="false">
      <c r="A1759" s="12" t="s">
        <v>714</v>
      </c>
      <c r="B1759" s="12" t="n">
        <f aca="false">COUNTIFS(Cleaned!$D$2:$D$125,11,Cleaned!CJ$2:CJ$125,1)</f>
        <v>4</v>
      </c>
      <c r="C1759" s="13" t="n">
        <f aca="false">IFERROR(B1759/$F1759,"")</f>
        <v>0.571428571428571</v>
      </c>
      <c r="D1759" s="12" t="n">
        <f aca="false">COUNTIFS(Cleaned!$D$2:$D$125,11,Cleaned!CJ$2:CJ$125,2)</f>
        <v>3</v>
      </c>
      <c r="E1759" s="13" t="n">
        <f aca="false">IFERROR(D1759/$F1759,"")</f>
        <v>0.428571428571429</v>
      </c>
      <c r="F1759" s="12" t="n">
        <f aca="false">B1759+D1759</f>
        <v>7</v>
      </c>
    </row>
    <row r="1760" customFormat="false" ht="15" hidden="false" customHeight="false" outlineLevel="0" collapsed="false">
      <c r="A1760" s="12" t="s">
        <v>715</v>
      </c>
      <c r="B1760" s="12" t="n">
        <f aca="false">COUNTIFS(Cleaned!$D$2:$D$125,12,Cleaned!CJ$2:CJ$125,1)</f>
        <v>4</v>
      </c>
      <c r="C1760" s="13" t="n">
        <f aca="false">IFERROR(B1760/$F1760,"")</f>
        <v>1</v>
      </c>
      <c r="D1760" s="12" t="n">
        <f aca="false">COUNTIFS(Cleaned!$D$2:$D$125,12,Cleaned!CJ$2:CJ$125,2)</f>
        <v>0</v>
      </c>
      <c r="E1760" s="13" t="n">
        <f aca="false">IFERROR(D1760/$F1760,"")</f>
        <v>0</v>
      </c>
      <c r="F1760" s="12" t="n">
        <f aca="false">B1760+D1760</f>
        <v>4</v>
      </c>
    </row>
    <row r="1761" customFormat="false" ht="15" hidden="false" customHeight="false" outlineLevel="0" collapsed="false">
      <c r="A1761" s="11" t="s">
        <v>716</v>
      </c>
      <c r="B1761" s="11" t="n">
        <f aca="false">SUM(B1749:B1760)</f>
        <v>55</v>
      </c>
      <c r="C1761" s="14" t="n">
        <f aca="false">IFERROR(B1761/$F1761,"")</f>
        <v>0.82089552238806</v>
      </c>
      <c r="D1761" s="11" t="n">
        <f aca="false">SUM(D1749:D1760)</f>
        <v>12</v>
      </c>
      <c r="E1761" s="14" t="n">
        <f aca="false">IFERROR(D1761/$F1761,"")</f>
        <v>0.17910447761194</v>
      </c>
      <c r="F1761" s="11" t="n">
        <f aca="false">SUM(F1749:F1760)</f>
        <v>67</v>
      </c>
    </row>
    <row r="1764" customFormat="false" ht="15" hidden="false" customHeight="false" outlineLevel="0" collapsed="false">
      <c r="A1764" s="6" t="s">
        <v>88</v>
      </c>
      <c r="B1764" s="7" t="s">
        <v>808</v>
      </c>
    </row>
    <row r="1765" customFormat="false" ht="15" hidden="false" customHeight="false" outlineLevel="0" collapsed="false">
      <c r="A1765" s="11" t="s">
        <v>734</v>
      </c>
      <c r="B1765" s="9" t="s">
        <v>694</v>
      </c>
      <c r="C1765" s="9" t="s">
        <v>735</v>
      </c>
      <c r="D1765" s="9" t="s">
        <v>736</v>
      </c>
      <c r="E1765" s="9" t="s">
        <v>737</v>
      </c>
      <c r="F1765" s="9" t="s">
        <v>738</v>
      </c>
    </row>
    <row r="1766" customFormat="false" ht="15" hidden="false" customHeight="false" outlineLevel="0" collapsed="false">
      <c r="B1766" s="12" t="n">
        <f aca="false">COUNT(Cleaned!$CK$2:$CK$125)</f>
        <v>49</v>
      </c>
      <c r="C1766" s="12" t="n">
        <f aca="false">IFERROR(AVERAGE(Cleaned!$CK$2:$CK$125),"")</f>
        <v>2023.5306122449</v>
      </c>
      <c r="D1766" s="12" t="n">
        <f aca="false">IFERROR(MEDIAN(Cleaned!$CK$2:$CK$125),"")</f>
        <v>2025</v>
      </c>
      <c r="E1766" s="12" t="n">
        <f aca="false">IFERROR(MIN(Cleaned!$CK$2:$CK$125),"")</f>
        <v>2006</v>
      </c>
      <c r="F1766" s="12" t="n">
        <f aca="false">IFERROR(MAX(Cleaned!$CK$2:$CK$125),"")</f>
        <v>2025</v>
      </c>
    </row>
    <row r="1767" customFormat="false" ht="15" hidden="false" customHeight="false" outlineLevel="0" collapsed="false">
      <c r="A1767" s="11" t="s">
        <v>697</v>
      </c>
      <c r="B1767" s="9" t="s">
        <v>739</v>
      </c>
      <c r="C1767" s="9" t="s">
        <v>735</v>
      </c>
    </row>
    <row r="1768" customFormat="false" ht="15" hidden="false" customHeight="false" outlineLevel="0" collapsed="false">
      <c r="A1768" s="12" t="s">
        <v>698</v>
      </c>
      <c r="B1768" s="12" t="n">
        <f aca="false">COUNTIFS(Cleaned!$C$2:$C$125,1,Cleaned!CK$2:CK$125,"&lt;&gt;")</f>
        <v>4</v>
      </c>
      <c r="C1768" s="15" t="n">
        <f aca="false">IF(B1768=0,"",AVERAGEIF(Cleaned!$C$2:$C$125,1,Cleaned!CK$2:CK$125))</f>
        <v>2023.25</v>
      </c>
    </row>
    <row r="1769" customFormat="false" ht="15" hidden="false" customHeight="false" outlineLevel="0" collapsed="false">
      <c r="A1769" s="12" t="s">
        <v>699</v>
      </c>
      <c r="B1769" s="12" t="n">
        <f aca="false">COUNTIFS(Cleaned!$C$2:$C$125,2,Cleaned!CK$2:CK$125,"&lt;&gt;")</f>
        <v>7</v>
      </c>
      <c r="C1769" s="15" t="n">
        <f aca="false">IF(B1769=0,"",AVERAGEIF(Cleaned!$C$2:$C$125,2,Cleaned!CK$2:CK$125))</f>
        <v>2024.42857142857</v>
      </c>
    </row>
    <row r="1770" customFormat="false" ht="15" hidden="false" customHeight="false" outlineLevel="0" collapsed="false">
      <c r="A1770" s="12" t="s">
        <v>700</v>
      </c>
      <c r="B1770" s="12" t="n">
        <f aca="false">COUNTIFS(Cleaned!$C$2:$C$125,3,Cleaned!CK$2:CK$125,"&lt;&gt;")</f>
        <v>9</v>
      </c>
      <c r="C1770" s="15" t="n">
        <f aca="false">IF(B1770=0,"",AVERAGEIF(Cleaned!$C$2:$C$125,3,Cleaned!CK$2:CK$125))</f>
        <v>2023.11111111111</v>
      </c>
    </row>
    <row r="1771" customFormat="false" ht="15" hidden="false" customHeight="false" outlineLevel="0" collapsed="false">
      <c r="A1771" s="12" t="s">
        <v>701</v>
      </c>
      <c r="B1771" s="12" t="n">
        <f aca="false">COUNTIFS(Cleaned!$C$2:$C$125,4,Cleaned!CK$2:CK$125,"&lt;&gt;")</f>
        <v>9</v>
      </c>
      <c r="C1771" s="15" t="n">
        <f aca="false">IF(B1771=0,"",AVERAGEIF(Cleaned!$C$2:$C$125,4,Cleaned!CK$2:CK$125))</f>
        <v>2022.11111111111</v>
      </c>
    </row>
    <row r="1772" customFormat="false" ht="15" hidden="false" customHeight="false" outlineLevel="0" collapsed="false">
      <c r="A1772" s="12" t="s">
        <v>702</v>
      </c>
      <c r="B1772" s="12" t="n">
        <f aca="false">COUNTIFS(Cleaned!$C$2:$C$125,5,Cleaned!CK$2:CK$125,"&lt;&gt;")</f>
        <v>20</v>
      </c>
      <c r="C1772" s="15" t="n">
        <f aca="false">IF(B1772=0,"",AVERAGEIF(Cleaned!$C$2:$C$125,5,Cleaned!CK$2:CK$125))</f>
        <v>2024.1</v>
      </c>
    </row>
    <row r="1773" customFormat="false" ht="15" hidden="false" customHeight="false" outlineLevel="0" collapsed="false">
      <c r="A1773" s="11" t="s">
        <v>3</v>
      </c>
      <c r="B1773" s="9" t="s">
        <v>739</v>
      </c>
      <c r="C1773" s="9" t="s">
        <v>735</v>
      </c>
    </row>
    <row r="1774" customFormat="false" ht="15" hidden="false" customHeight="false" outlineLevel="0" collapsed="false">
      <c r="A1774" s="12" t="s">
        <v>704</v>
      </c>
      <c r="B1774" s="12" t="n">
        <f aca="false">COUNTIFS(Cleaned!$D$2:$D$125,1,Cleaned!CK$2:CK$125,"&lt;&gt;")</f>
        <v>6</v>
      </c>
      <c r="C1774" s="15" t="n">
        <f aca="false">IF(B1774=0,"",AVERAGEIF(Cleaned!$D$2:$D$125,1,Cleaned!CK$2:CK$125))</f>
        <v>2025</v>
      </c>
    </row>
    <row r="1775" customFormat="false" ht="15" hidden="false" customHeight="false" outlineLevel="0" collapsed="false">
      <c r="A1775" s="12" t="s">
        <v>705</v>
      </c>
      <c r="B1775" s="12" t="n">
        <f aca="false">COUNTIFS(Cleaned!$D$2:$D$125,2,Cleaned!CK$2:CK$125,"&lt;&gt;")</f>
        <v>13</v>
      </c>
      <c r="C1775" s="15" t="n">
        <f aca="false">IF(B1775=0,"",AVERAGEIF(Cleaned!$D$2:$D$125,2,Cleaned!CK$2:CK$125))</f>
        <v>2025</v>
      </c>
    </row>
    <row r="1776" customFormat="false" ht="15" hidden="false" customHeight="false" outlineLevel="0" collapsed="false">
      <c r="A1776" s="12" t="s">
        <v>706</v>
      </c>
      <c r="B1776" s="12" t="n">
        <f aca="false">COUNTIFS(Cleaned!$D$2:$D$125,3,Cleaned!CK$2:CK$125,"&lt;&gt;")</f>
        <v>6</v>
      </c>
      <c r="C1776" s="15" t="n">
        <f aca="false">IF(B1776=0,"",AVERAGEIF(Cleaned!$D$2:$D$125,3,Cleaned!CK$2:CK$125))</f>
        <v>2023</v>
      </c>
    </row>
    <row r="1777" customFormat="false" ht="15" hidden="false" customHeight="false" outlineLevel="0" collapsed="false">
      <c r="A1777" s="12" t="s">
        <v>707</v>
      </c>
      <c r="B1777" s="12" t="n">
        <f aca="false">COUNTIFS(Cleaned!$D$2:$D$125,4,Cleaned!CK$2:CK$125,"&lt;&gt;")</f>
        <v>5</v>
      </c>
      <c r="C1777" s="15" t="n">
        <f aca="false">IF(B1777=0,"",AVERAGEIF(Cleaned!$D$2:$D$125,4,Cleaned!CK$2:CK$125))</f>
        <v>2024.4</v>
      </c>
    </row>
    <row r="1778" customFormat="false" ht="15" hidden="false" customHeight="false" outlineLevel="0" collapsed="false">
      <c r="A1778" s="12" t="s">
        <v>708</v>
      </c>
      <c r="B1778" s="12" t="n">
        <f aca="false">COUNTIFS(Cleaned!$D$2:$D$125,5,Cleaned!CK$2:CK$125,"&lt;&gt;")</f>
        <v>0</v>
      </c>
      <c r="C1778" s="15" t="str">
        <f aca="false">IF(B1778=0,"",AVERAGEIF(Cleaned!$D$2:$D$125,5,Cleaned!CK$2:CK$125))</f>
        <v/>
      </c>
    </row>
    <row r="1779" customFormat="false" ht="15" hidden="false" customHeight="false" outlineLevel="0" collapsed="false">
      <c r="A1779" s="12" t="s">
        <v>709</v>
      </c>
      <c r="B1779" s="12" t="n">
        <f aca="false">COUNTIFS(Cleaned!$D$2:$D$125,6,Cleaned!CK$2:CK$125,"&lt;&gt;")</f>
        <v>2</v>
      </c>
      <c r="C1779" s="15" t="n">
        <f aca="false">IF(B1779=0,"",AVERAGEIF(Cleaned!$D$2:$D$125,6,Cleaned!CK$2:CK$125))</f>
        <v>2014.5</v>
      </c>
    </row>
    <row r="1780" customFormat="false" ht="15" hidden="false" customHeight="false" outlineLevel="0" collapsed="false">
      <c r="A1780" s="12" t="s">
        <v>710</v>
      </c>
      <c r="B1780" s="12" t="n">
        <f aca="false">COUNTIFS(Cleaned!$D$2:$D$125,7,Cleaned!CK$2:CK$125,"&lt;&gt;")</f>
        <v>6</v>
      </c>
      <c r="C1780" s="15" t="n">
        <f aca="false">IF(B1780=0,"",AVERAGEIF(Cleaned!$D$2:$D$125,7,Cleaned!CK$2:CK$125))</f>
        <v>2021.16666666667</v>
      </c>
    </row>
    <row r="1781" customFormat="false" ht="15" hidden="false" customHeight="false" outlineLevel="0" collapsed="false">
      <c r="A1781" s="12" t="s">
        <v>711</v>
      </c>
      <c r="B1781" s="12" t="n">
        <f aca="false">COUNTIFS(Cleaned!$D$2:$D$125,8,Cleaned!CK$2:CK$125,"&lt;&gt;")</f>
        <v>3</v>
      </c>
      <c r="C1781" s="15" t="n">
        <f aca="false">IF(B1781=0,"",AVERAGEIF(Cleaned!$D$2:$D$125,8,Cleaned!CK$2:CK$125))</f>
        <v>2023.66666666667</v>
      </c>
    </row>
    <row r="1782" customFormat="false" ht="15" hidden="false" customHeight="false" outlineLevel="0" collapsed="false">
      <c r="A1782" s="12" t="s">
        <v>712</v>
      </c>
      <c r="B1782" s="12" t="n">
        <f aca="false">COUNTIFS(Cleaned!$D$2:$D$125,9,Cleaned!CK$2:CK$125,"&lt;&gt;")</f>
        <v>2</v>
      </c>
      <c r="C1782" s="15" t="n">
        <f aca="false">IF(B1782=0,"",AVERAGEIF(Cleaned!$D$2:$D$125,9,Cleaned!CK$2:CK$125))</f>
        <v>2022</v>
      </c>
    </row>
    <row r="1783" customFormat="false" ht="15" hidden="false" customHeight="false" outlineLevel="0" collapsed="false">
      <c r="A1783" s="12" t="s">
        <v>713</v>
      </c>
      <c r="B1783" s="12" t="n">
        <f aca="false">COUNTIFS(Cleaned!$D$2:$D$125,10,Cleaned!CK$2:CK$125,"&lt;&gt;")</f>
        <v>0</v>
      </c>
      <c r="C1783" s="15" t="str">
        <f aca="false">IF(B1783=0,"",AVERAGEIF(Cleaned!$D$2:$D$125,10,Cleaned!CK$2:CK$125))</f>
        <v/>
      </c>
    </row>
    <row r="1784" customFormat="false" ht="15" hidden="false" customHeight="false" outlineLevel="0" collapsed="false">
      <c r="A1784" s="12" t="s">
        <v>714</v>
      </c>
      <c r="B1784" s="12" t="n">
        <f aca="false">COUNTIFS(Cleaned!$D$2:$D$125,11,Cleaned!CK$2:CK$125,"&lt;&gt;")</f>
        <v>3</v>
      </c>
      <c r="C1784" s="15" t="n">
        <f aca="false">IF(B1784=0,"",AVERAGEIF(Cleaned!$D$2:$D$125,11,Cleaned!CK$2:CK$125))</f>
        <v>2024.33333333333</v>
      </c>
    </row>
    <row r="1785" customFormat="false" ht="15" hidden="false" customHeight="false" outlineLevel="0" collapsed="false">
      <c r="A1785" s="12" t="s">
        <v>715</v>
      </c>
      <c r="B1785" s="12" t="n">
        <f aca="false">COUNTIFS(Cleaned!$D$2:$D$125,12,Cleaned!CK$2:CK$125,"&lt;&gt;")</f>
        <v>3</v>
      </c>
      <c r="C1785" s="15" t="n">
        <f aca="false">IF(B1785=0,"",AVERAGEIF(Cleaned!$D$2:$D$125,12,Cleaned!CK$2:CK$125))</f>
        <v>2024.66666666667</v>
      </c>
    </row>
    <row r="1788" customFormat="false" ht="15" hidden="false" customHeight="false" outlineLevel="0" collapsed="false">
      <c r="A1788" s="6" t="s">
        <v>89</v>
      </c>
      <c r="B1788" s="7" t="s">
        <v>809</v>
      </c>
    </row>
    <row r="1789" customFormat="false" ht="15" hidden="false" customHeight="false" outlineLevel="0" collapsed="false">
      <c r="A1789" s="8"/>
      <c r="B1789" s="9" t="s">
        <v>793</v>
      </c>
      <c r="C1789" s="8"/>
      <c r="D1789" s="9" t="s">
        <v>694</v>
      </c>
    </row>
    <row r="1790" customFormat="false" ht="15" hidden="false" customHeight="false" outlineLevel="0" collapsed="false">
      <c r="B1790" s="10" t="s">
        <v>695</v>
      </c>
      <c r="C1790" s="10" t="s">
        <v>696</v>
      </c>
    </row>
    <row r="1791" customFormat="false" ht="15" hidden="false" customHeight="false" outlineLevel="0" collapsed="false">
      <c r="A1791" s="11" t="s">
        <v>697</v>
      </c>
    </row>
    <row r="1792" customFormat="false" ht="15" hidden="false" customHeight="false" outlineLevel="0" collapsed="false">
      <c r="A1792" s="12" t="s">
        <v>698</v>
      </c>
      <c r="B1792" s="12" t="n">
        <f aca="false">COUNTIFS(Cleaned!$C$2:$C$125,1,Cleaned!CL$2:CL$125,1)</f>
        <v>4</v>
      </c>
      <c r="C1792" s="13" t="n">
        <f aca="false">IFERROR(B1792/$D1792,"")</f>
        <v>1</v>
      </c>
      <c r="D1792" s="12" t="n">
        <f aca="false">B1792</f>
        <v>4</v>
      </c>
    </row>
    <row r="1793" customFormat="false" ht="15" hidden="false" customHeight="false" outlineLevel="0" collapsed="false">
      <c r="A1793" s="12" t="s">
        <v>699</v>
      </c>
      <c r="B1793" s="12" t="n">
        <f aca="false">COUNTIFS(Cleaned!$C$2:$C$125,2,Cleaned!CL$2:CL$125,1)</f>
        <v>7</v>
      </c>
      <c r="C1793" s="13" t="n">
        <f aca="false">IFERROR(B1793/$D1793,"")</f>
        <v>1</v>
      </c>
      <c r="D1793" s="12" t="n">
        <f aca="false">B1793</f>
        <v>7</v>
      </c>
    </row>
    <row r="1794" customFormat="false" ht="15" hidden="false" customHeight="false" outlineLevel="0" collapsed="false">
      <c r="A1794" s="12" t="s">
        <v>700</v>
      </c>
      <c r="B1794" s="12" t="n">
        <f aca="false">COUNTIFS(Cleaned!$C$2:$C$125,3,Cleaned!CL$2:CL$125,1)</f>
        <v>12</v>
      </c>
      <c r="C1794" s="13" t="n">
        <f aca="false">IFERROR(B1794/$D1794,"")</f>
        <v>1</v>
      </c>
      <c r="D1794" s="12" t="n">
        <f aca="false">B1794</f>
        <v>12</v>
      </c>
    </row>
    <row r="1795" customFormat="false" ht="15" hidden="false" customHeight="false" outlineLevel="0" collapsed="false">
      <c r="A1795" s="12" t="s">
        <v>701</v>
      </c>
      <c r="B1795" s="12" t="n">
        <f aca="false">COUNTIFS(Cleaned!$C$2:$C$125,4,Cleaned!CL$2:CL$125,1)</f>
        <v>10</v>
      </c>
      <c r="C1795" s="13" t="n">
        <f aca="false">IFERROR(B1795/$D1795,"")</f>
        <v>1</v>
      </c>
      <c r="D1795" s="12" t="n">
        <f aca="false">B1795</f>
        <v>10</v>
      </c>
    </row>
    <row r="1796" customFormat="false" ht="15" hidden="false" customHeight="false" outlineLevel="0" collapsed="false">
      <c r="A1796" s="12" t="s">
        <v>702</v>
      </c>
      <c r="B1796" s="12" t="n">
        <f aca="false">COUNTIFS(Cleaned!$C$2:$C$125,5,Cleaned!CL$2:CL$125,1)</f>
        <v>19</v>
      </c>
      <c r="C1796" s="13" t="n">
        <f aca="false">IFERROR(B1796/$D1796,"")</f>
        <v>1</v>
      </c>
      <c r="D1796" s="12" t="n">
        <f aca="false">B1796</f>
        <v>19</v>
      </c>
    </row>
    <row r="1797" customFormat="false" ht="15" hidden="false" customHeight="false" outlineLevel="0" collapsed="false">
      <c r="A1797" s="11" t="s">
        <v>703</v>
      </c>
      <c r="B1797" s="11" t="n">
        <f aca="false">SUM(B1792:B1796)</f>
        <v>52</v>
      </c>
      <c r="C1797" s="14" t="n">
        <f aca="false">IFERROR(B1797/$D1797,"")</f>
        <v>1</v>
      </c>
      <c r="D1797" s="11" t="n">
        <f aca="false">SUM(D1792:D1796)</f>
        <v>52</v>
      </c>
    </row>
    <row r="1798" customFormat="false" ht="15" hidden="false" customHeight="false" outlineLevel="0" collapsed="false">
      <c r="A1798" s="11" t="s">
        <v>3</v>
      </c>
    </row>
    <row r="1799" customFormat="false" ht="15" hidden="false" customHeight="false" outlineLevel="0" collapsed="false">
      <c r="A1799" s="12" t="s">
        <v>704</v>
      </c>
      <c r="B1799" s="12" t="n">
        <f aca="false">COUNTIFS(Cleaned!$D$2:$D$125,1,Cleaned!CL$2:CL$125,1)</f>
        <v>6</v>
      </c>
      <c r="C1799" s="13" t="n">
        <f aca="false">IFERROR(B1799/$D1799,"")</f>
        <v>1</v>
      </c>
      <c r="D1799" s="12" t="n">
        <f aca="false">B1799</f>
        <v>6</v>
      </c>
    </row>
    <row r="1800" customFormat="false" ht="15" hidden="false" customHeight="false" outlineLevel="0" collapsed="false">
      <c r="A1800" s="12" t="s">
        <v>705</v>
      </c>
      <c r="B1800" s="12" t="n">
        <f aca="false">COUNTIFS(Cleaned!$D$2:$D$125,2,Cleaned!CL$2:CL$125,1)</f>
        <v>12</v>
      </c>
      <c r="C1800" s="13" t="n">
        <f aca="false">IFERROR(B1800/$D1800,"")</f>
        <v>1</v>
      </c>
      <c r="D1800" s="12" t="n">
        <f aca="false">B1800</f>
        <v>12</v>
      </c>
    </row>
    <row r="1801" customFormat="false" ht="15" hidden="false" customHeight="false" outlineLevel="0" collapsed="false">
      <c r="A1801" s="12" t="s">
        <v>706</v>
      </c>
      <c r="B1801" s="12" t="n">
        <f aca="false">COUNTIFS(Cleaned!$D$2:$D$125,3,Cleaned!CL$2:CL$125,1)</f>
        <v>6</v>
      </c>
      <c r="C1801" s="13" t="n">
        <f aca="false">IFERROR(B1801/$D1801,"")</f>
        <v>1</v>
      </c>
      <c r="D1801" s="12" t="n">
        <f aca="false">B1801</f>
        <v>6</v>
      </c>
    </row>
    <row r="1802" customFormat="false" ht="15" hidden="false" customHeight="false" outlineLevel="0" collapsed="false">
      <c r="A1802" s="12" t="s">
        <v>707</v>
      </c>
      <c r="B1802" s="12" t="n">
        <f aca="false">COUNTIFS(Cleaned!$D$2:$D$125,4,Cleaned!CL$2:CL$125,1)</f>
        <v>6</v>
      </c>
      <c r="C1802" s="13" t="n">
        <f aca="false">IFERROR(B1802/$D1802,"")</f>
        <v>1</v>
      </c>
      <c r="D1802" s="12" t="n">
        <f aca="false">B1802</f>
        <v>6</v>
      </c>
    </row>
    <row r="1803" customFormat="false" ht="15" hidden="false" customHeight="false" outlineLevel="0" collapsed="false">
      <c r="A1803" s="12" t="s">
        <v>708</v>
      </c>
      <c r="B1803" s="12" t="n">
        <f aca="false">COUNTIFS(Cleaned!$D$2:$D$125,5,Cleaned!CL$2:CL$125,1)</f>
        <v>1</v>
      </c>
      <c r="C1803" s="13" t="n">
        <f aca="false">IFERROR(B1803/$D1803,"")</f>
        <v>1</v>
      </c>
      <c r="D1803" s="12" t="n">
        <f aca="false">B1803</f>
        <v>1</v>
      </c>
    </row>
    <row r="1804" customFormat="false" ht="15" hidden="false" customHeight="false" outlineLevel="0" collapsed="false">
      <c r="A1804" s="12" t="s">
        <v>709</v>
      </c>
      <c r="B1804" s="12" t="n">
        <f aca="false">COUNTIFS(Cleaned!$D$2:$D$125,6,Cleaned!CL$2:CL$125,1)</f>
        <v>2</v>
      </c>
      <c r="C1804" s="13" t="n">
        <f aca="false">IFERROR(B1804/$D1804,"")</f>
        <v>1</v>
      </c>
      <c r="D1804" s="12" t="n">
        <f aca="false">B1804</f>
        <v>2</v>
      </c>
    </row>
    <row r="1805" customFormat="false" ht="15" hidden="false" customHeight="false" outlineLevel="0" collapsed="false">
      <c r="A1805" s="12" t="s">
        <v>710</v>
      </c>
      <c r="B1805" s="12" t="n">
        <f aca="false">COUNTIFS(Cleaned!$D$2:$D$125,7,Cleaned!CL$2:CL$125,1)</f>
        <v>7</v>
      </c>
      <c r="C1805" s="13" t="n">
        <f aca="false">IFERROR(B1805/$D1805,"")</f>
        <v>1</v>
      </c>
      <c r="D1805" s="12" t="n">
        <f aca="false">B1805</f>
        <v>7</v>
      </c>
    </row>
    <row r="1806" customFormat="false" ht="15" hidden="false" customHeight="false" outlineLevel="0" collapsed="false">
      <c r="A1806" s="12" t="s">
        <v>711</v>
      </c>
      <c r="B1806" s="12" t="n">
        <f aca="false">COUNTIFS(Cleaned!$D$2:$D$125,8,Cleaned!CL$2:CL$125,1)</f>
        <v>3</v>
      </c>
      <c r="C1806" s="13" t="n">
        <f aca="false">IFERROR(B1806/$D1806,"")</f>
        <v>1</v>
      </c>
      <c r="D1806" s="12" t="n">
        <f aca="false">B1806</f>
        <v>3</v>
      </c>
    </row>
    <row r="1807" customFormat="false" ht="15" hidden="false" customHeight="false" outlineLevel="0" collapsed="false">
      <c r="A1807" s="12" t="s">
        <v>712</v>
      </c>
      <c r="B1807" s="12" t="n">
        <f aca="false">COUNTIFS(Cleaned!$D$2:$D$125,9,Cleaned!CL$2:CL$125,1)</f>
        <v>2</v>
      </c>
      <c r="C1807" s="13" t="n">
        <f aca="false">IFERROR(B1807/$D1807,"")</f>
        <v>1</v>
      </c>
      <c r="D1807" s="12" t="n">
        <f aca="false">B1807</f>
        <v>2</v>
      </c>
    </row>
    <row r="1808" customFormat="false" ht="15" hidden="false" customHeight="false" outlineLevel="0" collapsed="false">
      <c r="A1808" s="12" t="s">
        <v>713</v>
      </c>
      <c r="B1808" s="12" t="n">
        <f aca="false">COUNTIFS(Cleaned!$D$2:$D$125,10,Cleaned!CL$2:CL$125,1)</f>
        <v>0</v>
      </c>
      <c r="C1808" s="13" t="str">
        <f aca="false">IFERROR(B1808/$D1808,"")</f>
        <v/>
      </c>
      <c r="D1808" s="12" t="n">
        <f aca="false">B1808</f>
        <v>0</v>
      </c>
    </row>
    <row r="1809" customFormat="false" ht="15" hidden="false" customHeight="false" outlineLevel="0" collapsed="false">
      <c r="A1809" s="12" t="s">
        <v>714</v>
      </c>
      <c r="B1809" s="12" t="n">
        <f aca="false">COUNTIFS(Cleaned!$D$2:$D$125,11,Cleaned!CL$2:CL$125,1)</f>
        <v>4</v>
      </c>
      <c r="C1809" s="13" t="n">
        <f aca="false">IFERROR(B1809/$D1809,"")</f>
        <v>1</v>
      </c>
      <c r="D1809" s="12" t="n">
        <f aca="false">B1809</f>
        <v>4</v>
      </c>
    </row>
    <row r="1810" customFormat="false" ht="15" hidden="false" customHeight="false" outlineLevel="0" collapsed="false">
      <c r="A1810" s="12" t="s">
        <v>715</v>
      </c>
      <c r="B1810" s="12" t="n">
        <f aca="false">COUNTIFS(Cleaned!$D$2:$D$125,12,Cleaned!CL$2:CL$125,1)</f>
        <v>3</v>
      </c>
      <c r="C1810" s="13" t="n">
        <f aca="false">IFERROR(B1810/$D1810,"")</f>
        <v>1</v>
      </c>
      <c r="D1810" s="12" t="n">
        <f aca="false">B1810</f>
        <v>3</v>
      </c>
    </row>
    <row r="1811" customFormat="false" ht="15" hidden="false" customHeight="false" outlineLevel="0" collapsed="false">
      <c r="A1811" s="11" t="s">
        <v>716</v>
      </c>
      <c r="B1811" s="11" t="n">
        <f aca="false">SUM(B1799:B1810)</f>
        <v>52</v>
      </c>
      <c r="C1811" s="14" t="n">
        <f aca="false">IFERROR(B1811/$D1811,"")</f>
        <v>1</v>
      </c>
      <c r="D1811" s="11" t="n">
        <f aca="false">SUM(D1799:D1810)</f>
        <v>52</v>
      </c>
    </row>
    <row r="1814" customFormat="false" ht="15" hidden="false" customHeight="false" outlineLevel="0" collapsed="false">
      <c r="A1814" s="6" t="s">
        <v>90</v>
      </c>
      <c r="B1814" s="7" t="s">
        <v>810</v>
      </c>
    </row>
    <row r="1815" customFormat="false" ht="15" hidden="false" customHeight="false" outlineLevel="0" collapsed="false">
      <c r="A1815" s="11" t="s">
        <v>734</v>
      </c>
      <c r="B1815" s="9" t="s">
        <v>694</v>
      </c>
      <c r="C1815" s="9" t="s">
        <v>735</v>
      </c>
      <c r="D1815" s="9" t="s">
        <v>736</v>
      </c>
      <c r="E1815" s="9" t="s">
        <v>737</v>
      </c>
      <c r="F1815" s="9" t="s">
        <v>738</v>
      </c>
    </row>
    <row r="1816" customFormat="false" ht="15" hidden="false" customHeight="false" outlineLevel="0" collapsed="false">
      <c r="B1816" s="12" t="n">
        <f aca="false">COUNT(Cleaned!$CM$2:$CM$125)</f>
        <v>45</v>
      </c>
      <c r="C1816" s="12" t="n">
        <f aca="false">IFERROR(AVERAGE(Cleaned!$CM$2:$CM$125),"")</f>
        <v>6.45089555555556</v>
      </c>
      <c r="D1816" s="12" t="n">
        <f aca="false">IFERROR(MEDIAN(Cleaned!$CM$2:$CM$125),"")</f>
        <v>3</v>
      </c>
      <c r="E1816" s="12" t="n">
        <f aca="false">IFERROR(MIN(Cleaned!$CM$2:$CM$125),"")</f>
        <v>0.0009</v>
      </c>
      <c r="F1816" s="12" t="n">
        <f aca="false">IFERROR(MAX(Cleaned!$CM$2:$CM$125),"")</f>
        <v>65</v>
      </c>
    </row>
    <row r="1817" customFormat="false" ht="15" hidden="false" customHeight="false" outlineLevel="0" collapsed="false">
      <c r="A1817" s="11" t="s">
        <v>697</v>
      </c>
      <c r="B1817" s="9" t="s">
        <v>739</v>
      </c>
      <c r="C1817" s="9" t="s">
        <v>735</v>
      </c>
    </row>
    <row r="1818" customFormat="false" ht="15" hidden="false" customHeight="false" outlineLevel="0" collapsed="false">
      <c r="A1818" s="12" t="s">
        <v>698</v>
      </c>
      <c r="B1818" s="12" t="n">
        <f aca="false">COUNTIFS(Cleaned!$C$2:$C$125,1,Cleaned!CM$2:CM$125,"&lt;&gt;")</f>
        <v>4</v>
      </c>
      <c r="C1818" s="15" t="n">
        <f aca="false">IF(B1818=0,"",AVERAGEIF(Cleaned!$C$2:$C$125,1,Cleaned!CM$2:CM$125))</f>
        <v>16.29375</v>
      </c>
    </row>
    <row r="1819" customFormat="false" ht="15" hidden="false" customHeight="false" outlineLevel="0" collapsed="false">
      <c r="A1819" s="12" t="s">
        <v>699</v>
      </c>
      <c r="B1819" s="12" t="n">
        <f aca="false">COUNTIFS(Cleaned!$C$2:$C$125,2,Cleaned!CM$2:CM$125,"&lt;&gt;")</f>
        <v>7</v>
      </c>
      <c r="C1819" s="15" t="n">
        <f aca="false">IF(B1819=0,"",AVERAGEIF(Cleaned!$C$2:$C$125,2,Cleaned!CM$2:CM$125))</f>
        <v>15.2071428571429</v>
      </c>
    </row>
    <row r="1820" customFormat="false" ht="15" hidden="false" customHeight="false" outlineLevel="0" collapsed="false">
      <c r="A1820" s="12" t="s">
        <v>700</v>
      </c>
      <c r="B1820" s="12" t="n">
        <f aca="false">COUNTIFS(Cleaned!$C$2:$C$125,3,Cleaned!CM$2:CM$125,"&lt;&gt;")</f>
        <v>11</v>
      </c>
      <c r="C1820" s="15" t="n">
        <f aca="false">IF(B1820=0,"",AVERAGEIF(Cleaned!$C$2:$C$125,3,Cleaned!CM$2:CM$125))</f>
        <v>2.77998181818182</v>
      </c>
    </row>
    <row r="1821" customFormat="false" ht="15" hidden="false" customHeight="false" outlineLevel="0" collapsed="false">
      <c r="A1821" s="12" t="s">
        <v>701</v>
      </c>
      <c r="B1821" s="12" t="n">
        <f aca="false">COUNTIFS(Cleaned!$C$2:$C$125,4,Cleaned!CM$2:CM$125,"&lt;&gt;")</f>
        <v>7</v>
      </c>
      <c r="C1821" s="15" t="n">
        <f aca="false">IF(B1821=0,"",AVERAGEIF(Cleaned!$C$2:$C$125,4,Cleaned!CM$2:CM$125))</f>
        <v>3.45</v>
      </c>
    </row>
    <row r="1822" customFormat="false" ht="15" hidden="false" customHeight="false" outlineLevel="0" collapsed="false">
      <c r="A1822" s="12" t="s">
        <v>702</v>
      </c>
      <c r="B1822" s="12" t="n">
        <f aca="false">COUNTIFS(Cleaned!$C$2:$C$125,5,Cleaned!CM$2:CM$125,"&lt;&gt;")</f>
        <v>16</v>
      </c>
      <c r="C1822" s="15" t="n">
        <f aca="false">IF(B1822=0,"",AVERAGEIF(Cleaned!$C$2:$C$125,5,Cleaned!CM$2:CM$125))</f>
        <v>3.99596875</v>
      </c>
    </row>
    <row r="1823" customFormat="false" ht="15" hidden="false" customHeight="false" outlineLevel="0" collapsed="false">
      <c r="A1823" s="11" t="s">
        <v>3</v>
      </c>
      <c r="B1823" s="9" t="s">
        <v>739</v>
      </c>
      <c r="C1823" s="9" t="s">
        <v>735</v>
      </c>
    </row>
    <row r="1824" customFormat="false" ht="15" hidden="false" customHeight="false" outlineLevel="0" collapsed="false">
      <c r="A1824" s="12" t="s">
        <v>704</v>
      </c>
      <c r="B1824" s="12" t="n">
        <f aca="false">COUNTIFS(Cleaned!$D$2:$D$125,1,Cleaned!CM$2:CM$125,"&lt;&gt;")</f>
        <v>5</v>
      </c>
      <c r="C1824" s="15" t="n">
        <f aca="false">IF(B1824=0,"",AVERAGEIF(Cleaned!$D$2:$D$125,1,Cleaned!CM$2:CM$125))</f>
        <v>4.2956</v>
      </c>
    </row>
    <row r="1825" customFormat="false" ht="15" hidden="false" customHeight="false" outlineLevel="0" collapsed="false">
      <c r="A1825" s="12" t="s">
        <v>705</v>
      </c>
      <c r="B1825" s="12" t="n">
        <f aca="false">COUNTIFS(Cleaned!$D$2:$D$125,2,Cleaned!CM$2:CM$125,"&lt;&gt;")</f>
        <v>9</v>
      </c>
      <c r="C1825" s="15" t="n">
        <f aca="false">IF(B1825=0,"",AVERAGEIF(Cleaned!$D$2:$D$125,2,Cleaned!CM$2:CM$125))</f>
        <v>4.84311111111111</v>
      </c>
    </row>
    <row r="1826" customFormat="false" ht="15" hidden="false" customHeight="false" outlineLevel="0" collapsed="false">
      <c r="A1826" s="12" t="s">
        <v>706</v>
      </c>
      <c r="B1826" s="12" t="n">
        <f aca="false">COUNTIFS(Cleaned!$D$2:$D$125,3,Cleaned!CM$2:CM$125,"&lt;&gt;")</f>
        <v>5</v>
      </c>
      <c r="C1826" s="15" t="n">
        <f aca="false">IF(B1826=0,"",AVERAGEIF(Cleaned!$D$2:$D$125,3,Cleaned!CM$2:CM$125))</f>
        <v>3.7855</v>
      </c>
    </row>
    <row r="1827" customFormat="false" ht="15" hidden="false" customHeight="false" outlineLevel="0" collapsed="false">
      <c r="A1827" s="12" t="s">
        <v>707</v>
      </c>
      <c r="B1827" s="12" t="n">
        <f aca="false">COUNTIFS(Cleaned!$D$2:$D$125,4,Cleaned!CM$2:CM$125,"&lt;&gt;")</f>
        <v>6</v>
      </c>
      <c r="C1827" s="15" t="n">
        <f aca="false">IF(B1827=0,"",AVERAGEIF(Cleaned!$D$2:$D$125,4,Cleaned!CM$2:CM$125))</f>
        <v>2.34583333333333</v>
      </c>
    </row>
    <row r="1828" customFormat="false" ht="15" hidden="false" customHeight="false" outlineLevel="0" collapsed="false">
      <c r="A1828" s="12" t="s">
        <v>708</v>
      </c>
      <c r="B1828" s="12" t="n">
        <f aca="false">COUNTIFS(Cleaned!$D$2:$D$125,5,Cleaned!CM$2:CM$125,"&lt;&gt;")</f>
        <v>1</v>
      </c>
      <c r="C1828" s="15" t="n">
        <f aca="false">IF(B1828=0,"",AVERAGEIF(Cleaned!$D$2:$D$125,5,Cleaned!CM$2:CM$125))</f>
        <v>0.05</v>
      </c>
    </row>
    <row r="1829" customFormat="false" ht="15" hidden="false" customHeight="false" outlineLevel="0" collapsed="false">
      <c r="A1829" s="12" t="s">
        <v>709</v>
      </c>
      <c r="B1829" s="12" t="n">
        <f aca="false">COUNTIFS(Cleaned!$D$2:$D$125,6,Cleaned!CM$2:CM$125,"&lt;&gt;")</f>
        <v>0</v>
      </c>
      <c r="C1829" s="15" t="str">
        <f aca="false">IF(B1829=0,"",AVERAGEIF(Cleaned!$D$2:$D$125,6,Cleaned!CM$2:CM$125))</f>
        <v/>
      </c>
    </row>
    <row r="1830" customFormat="false" ht="15" hidden="false" customHeight="false" outlineLevel="0" collapsed="false">
      <c r="A1830" s="12" t="s">
        <v>710</v>
      </c>
      <c r="B1830" s="12" t="n">
        <f aca="false">COUNTIFS(Cleaned!$D$2:$D$125,7,Cleaned!CM$2:CM$125,"&lt;&gt;")</f>
        <v>7</v>
      </c>
      <c r="C1830" s="15" t="n">
        <f aca="false">IF(B1830=0,"",AVERAGEIF(Cleaned!$D$2:$D$125,7,Cleaned!CM$2:CM$125))</f>
        <v>2.91525714285714</v>
      </c>
    </row>
    <row r="1831" customFormat="false" ht="15" hidden="false" customHeight="false" outlineLevel="0" collapsed="false">
      <c r="A1831" s="12" t="s">
        <v>711</v>
      </c>
      <c r="B1831" s="12" t="n">
        <f aca="false">COUNTIFS(Cleaned!$D$2:$D$125,8,Cleaned!CM$2:CM$125,"&lt;&gt;")</f>
        <v>3</v>
      </c>
      <c r="C1831" s="15" t="n">
        <f aca="false">IF(B1831=0,"",AVERAGEIF(Cleaned!$D$2:$D$125,8,Cleaned!CM$2:CM$125))</f>
        <v>0.716666666666667</v>
      </c>
    </row>
    <row r="1832" customFormat="false" ht="15" hidden="false" customHeight="false" outlineLevel="0" collapsed="false">
      <c r="A1832" s="12" t="s">
        <v>712</v>
      </c>
      <c r="B1832" s="12" t="n">
        <f aca="false">COUNTIFS(Cleaned!$D$2:$D$125,9,Cleaned!CM$2:CM$125,"&lt;&gt;")</f>
        <v>2</v>
      </c>
      <c r="C1832" s="15" t="n">
        <f aca="false">IF(B1832=0,"",AVERAGEIF(Cleaned!$D$2:$D$125,9,Cleaned!CM$2:CM$125))</f>
        <v>0.04</v>
      </c>
    </row>
    <row r="1833" customFormat="false" ht="15" hidden="false" customHeight="false" outlineLevel="0" collapsed="false">
      <c r="A1833" s="12" t="s">
        <v>713</v>
      </c>
      <c r="B1833" s="12" t="n">
        <f aca="false">COUNTIFS(Cleaned!$D$2:$D$125,10,Cleaned!CM$2:CM$125,"&lt;&gt;")</f>
        <v>0</v>
      </c>
      <c r="C1833" s="15" t="str">
        <f aca="false">IF(B1833=0,"",AVERAGEIF(Cleaned!$D$2:$D$125,10,Cleaned!CM$2:CM$125))</f>
        <v/>
      </c>
    </row>
    <row r="1834" customFormat="false" ht="15" hidden="false" customHeight="false" outlineLevel="0" collapsed="false">
      <c r="A1834" s="12" t="s">
        <v>714</v>
      </c>
      <c r="B1834" s="12" t="n">
        <f aca="false">COUNTIFS(Cleaned!$D$2:$D$125,11,Cleaned!CM$2:CM$125,"&lt;&gt;")</f>
        <v>4</v>
      </c>
      <c r="C1834" s="15" t="n">
        <f aca="false">IF(B1834=0,"",AVERAGEIF(Cleaned!$D$2:$D$125,11,Cleaned!CM$2:CM$125))</f>
        <v>18.625</v>
      </c>
    </row>
    <row r="1835" customFormat="false" ht="15" hidden="false" customHeight="false" outlineLevel="0" collapsed="false">
      <c r="A1835" s="12" t="s">
        <v>715</v>
      </c>
      <c r="B1835" s="12" t="n">
        <f aca="false">COUNTIFS(Cleaned!$D$2:$D$125,12,Cleaned!CM$2:CM$125,"&lt;&gt;")</f>
        <v>3</v>
      </c>
      <c r="C1835" s="15" t="n">
        <f aca="false">IF(B1835=0,"",AVERAGEIF(Cleaned!$D$2:$D$125,12,Cleaned!CM$2:CM$125))</f>
        <v>31.6783333333333</v>
      </c>
    </row>
    <row r="1838" customFormat="false" ht="15" hidden="false" customHeight="false" outlineLevel="0" collapsed="false">
      <c r="A1838" s="6" t="s">
        <v>91</v>
      </c>
      <c r="B1838" s="7" t="s">
        <v>811</v>
      </c>
    </row>
    <row r="1839" customFormat="false" ht="15" hidden="false" customHeight="false" outlineLevel="0" collapsed="false">
      <c r="A1839" s="8"/>
      <c r="B1839" s="9" t="s">
        <v>718</v>
      </c>
      <c r="C1839" s="8"/>
      <c r="D1839" s="9" t="s">
        <v>719</v>
      </c>
      <c r="E1839" s="8"/>
      <c r="F1839" s="9" t="s">
        <v>694</v>
      </c>
    </row>
    <row r="1840" customFormat="false" ht="15" hidden="false" customHeight="false" outlineLevel="0" collapsed="false">
      <c r="B1840" s="10" t="s">
        <v>695</v>
      </c>
      <c r="C1840" s="10" t="s">
        <v>696</v>
      </c>
      <c r="D1840" s="10" t="s">
        <v>695</v>
      </c>
      <c r="E1840" s="10" t="s">
        <v>696</v>
      </c>
    </row>
    <row r="1841" customFormat="false" ht="15" hidden="false" customHeight="false" outlineLevel="0" collapsed="false">
      <c r="A1841" s="11" t="s">
        <v>697</v>
      </c>
    </row>
    <row r="1842" customFormat="false" ht="15" hidden="false" customHeight="false" outlineLevel="0" collapsed="false">
      <c r="A1842" s="12" t="s">
        <v>698</v>
      </c>
      <c r="B1842" s="12" t="n">
        <f aca="false">COUNTIFS(Cleaned!$C$2:$C$125,1,Cleaned!CN$2:CN$125,0)</f>
        <v>3</v>
      </c>
      <c r="C1842" s="13" t="n">
        <f aca="false">IFERROR(B1842/$F1842,"")</f>
        <v>0.75</v>
      </c>
      <c r="D1842" s="12" t="n">
        <f aca="false">COUNTIFS(Cleaned!$C$2:$C$125,1,Cleaned!CN$2:CN$125,1)</f>
        <v>1</v>
      </c>
      <c r="E1842" s="13" t="n">
        <f aca="false">IFERROR(D1842/$F1842,"")</f>
        <v>0.25</v>
      </c>
      <c r="F1842" s="12" t="n">
        <f aca="false">B1842+D1842</f>
        <v>4</v>
      </c>
    </row>
    <row r="1843" customFormat="false" ht="15" hidden="false" customHeight="false" outlineLevel="0" collapsed="false">
      <c r="A1843" s="12" t="s">
        <v>699</v>
      </c>
      <c r="B1843" s="12" t="n">
        <f aca="false">COUNTIFS(Cleaned!$C$2:$C$125,2,Cleaned!CN$2:CN$125,0)</f>
        <v>5</v>
      </c>
      <c r="C1843" s="13" t="n">
        <f aca="false">IFERROR(B1843/$F1843,"")</f>
        <v>0.714285714285714</v>
      </c>
      <c r="D1843" s="12" t="n">
        <f aca="false">COUNTIFS(Cleaned!$C$2:$C$125,2,Cleaned!CN$2:CN$125,1)</f>
        <v>2</v>
      </c>
      <c r="E1843" s="13" t="n">
        <f aca="false">IFERROR(D1843/$F1843,"")</f>
        <v>0.285714285714286</v>
      </c>
      <c r="F1843" s="12" t="n">
        <f aca="false">B1843+D1843</f>
        <v>7</v>
      </c>
    </row>
    <row r="1844" customFormat="false" ht="15" hidden="false" customHeight="false" outlineLevel="0" collapsed="false">
      <c r="A1844" s="12" t="s">
        <v>700</v>
      </c>
      <c r="B1844" s="12" t="n">
        <f aca="false">COUNTIFS(Cleaned!$C$2:$C$125,3,Cleaned!CN$2:CN$125,0)</f>
        <v>6</v>
      </c>
      <c r="C1844" s="13" t="n">
        <f aca="false">IFERROR(B1844/$F1844,"")</f>
        <v>0.5</v>
      </c>
      <c r="D1844" s="12" t="n">
        <f aca="false">COUNTIFS(Cleaned!$C$2:$C$125,3,Cleaned!CN$2:CN$125,1)</f>
        <v>6</v>
      </c>
      <c r="E1844" s="13" t="n">
        <f aca="false">IFERROR(D1844/$F1844,"")</f>
        <v>0.5</v>
      </c>
      <c r="F1844" s="12" t="n">
        <f aca="false">B1844+D1844</f>
        <v>12</v>
      </c>
    </row>
    <row r="1845" customFormat="false" ht="15" hidden="false" customHeight="false" outlineLevel="0" collapsed="false">
      <c r="A1845" s="12" t="s">
        <v>701</v>
      </c>
      <c r="B1845" s="12" t="n">
        <f aca="false">COUNTIFS(Cleaned!$C$2:$C$125,4,Cleaned!CN$2:CN$125,0)</f>
        <v>5</v>
      </c>
      <c r="C1845" s="13" t="n">
        <f aca="false">IFERROR(B1845/$F1845,"")</f>
        <v>0.5</v>
      </c>
      <c r="D1845" s="12" t="n">
        <f aca="false">COUNTIFS(Cleaned!$C$2:$C$125,4,Cleaned!CN$2:CN$125,1)</f>
        <v>5</v>
      </c>
      <c r="E1845" s="13" t="n">
        <f aca="false">IFERROR(D1845/$F1845,"")</f>
        <v>0.5</v>
      </c>
      <c r="F1845" s="12" t="n">
        <f aca="false">B1845+D1845</f>
        <v>10</v>
      </c>
    </row>
    <row r="1846" customFormat="false" ht="15" hidden="false" customHeight="false" outlineLevel="0" collapsed="false">
      <c r="A1846" s="12" t="s">
        <v>702</v>
      </c>
      <c r="B1846" s="12" t="n">
        <f aca="false">COUNTIFS(Cleaned!$C$2:$C$125,5,Cleaned!CN$2:CN$125,0)</f>
        <v>5</v>
      </c>
      <c r="C1846" s="13" t="n">
        <f aca="false">IFERROR(B1846/$F1846,"")</f>
        <v>0.263157894736842</v>
      </c>
      <c r="D1846" s="12" t="n">
        <f aca="false">COUNTIFS(Cleaned!$C$2:$C$125,5,Cleaned!CN$2:CN$125,1)</f>
        <v>14</v>
      </c>
      <c r="E1846" s="13" t="n">
        <f aca="false">IFERROR(D1846/$F1846,"")</f>
        <v>0.736842105263158</v>
      </c>
      <c r="F1846" s="12" t="n">
        <f aca="false">B1846+D1846</f>
        <v>19</v>
      </c>
    </row>
    <row r="1847" customFormat="false" ht="15" hidden="false" customHeight="false" outlineLevel="0" collapsed="false">
      <c r="A1847" s="11" t="s">
        <v>703</v>
      </c>
      <c r="B1847" s="11" t="n">
        <f aca="false">SUM(B1842:B1846)</f>
        <v>24</v>
      </c>
      <c r="C1847" s="14" t="n">
        <f aca="false">IFERROR(B1847/$F1847,"")</f>
        <v>0.461538461538462</v>
      </c>
      <c r="D1847" s="11" t="n">
        <f aca="false">SUM(D1842:D1846)</f>
        <v>28</v>
      </c>
      <c r="E1847" s="14" t="n">
        <f aca="false">IFERROR(D1847/$F1847,"")</f>
        <v>0.538461538461538</v>
      </c>
      <c r="F1847" s="11" t="n">
        <f aca="false">SUM(F1842:F1846)</f>
        <v>52</v>
      </c>
    </row>
    <row r="1848" customFormat="false" ht="15" hidden="false" customHeight="false" outlineLevel="0" collapsed="false">
      <c r="A1848" s="11" t="s">
        <v>3</v>
      </c>
    </row>
    <row r="1849" customFormat="false" ht="15" hidden="false" customHeight="false" outlineLevel="0" collapsed="false">
      <c r="A1849" s="12" t="s">
        <v>704</v>
      </c>
      <c r="B1849" s="12" t="n">
        <f aca="false">COUNTIFS(Cleaned!$D$2:$D$125,1,Cleaned!CN$2:CN$125,0)</f>
        <v>1</v>
      </c>
      <c r="C1849" s="13" t="n">
        <f aca="false">IFERROR(B1849/$F1849,"")</f>
        <v>0.166666666666667</v>
      </c>
      <c r="D1849" s="12" t="n">
        <f aca="false">COUNTIFS(Cleaned!$D$2:$D$125,1,Cleaned!CN$2:CN$125,1)</f>
        <v>5</v>
      </c>
      <c r="E1849" s="13" t="n">
        <f aca="false">IFERROR(D1849/$F1849,"")</f>
        <v>0.833333333333333</v>
      </c>
      <c r="F1849" s="12" t="n">
        <f aca="false">B1849+D1849</f>
        <v>6</v>
      </c>
    </row>
    <row r="1850" customFormat="false" ht="15" hidden="false" customHeight="false" outlineLevel="0" collapsed="false">
      <c r="A1850" s="12" t="s">
        <v>705</v>
      </c>
      <c r="B1850" s="12" t="n">
        <f aca="false">COUNTIFS(Cleaned!$D$2:$D$125,2,Cleaned!CN$2:CN$125,0)</f>
        <v>5</v>
      </c>
      <c r="C1850" s="13" t="n">
        <f aca="false">IFERROR(B1850/$F1850,"")</f>
        <v>0.416666666666667</v>
      </c>
      <c r="D1850" s="12" t="n">
        <f aca="false">COUNTIFS(Cleaned!$D$2:$D$125,2,Cleaned!CN$2:CN$125,1)</f>
        <v>7</v>
      </c>
      <c r="E1850" s="13" t="n">
        <f aca="false">IFERROR(D1850/$F1850,"")</f>
        <v>0.583333333333333</v>
      </c>
      <c r="F1850" s="12" t="n">
        <f aca="false">B1850+D1850</f>
        <v>12</v>
      </c>
    </row>
    <row r="1851" customFormat="false" ht="15" hidden="false" customHeight="false" outlineLevel="0" collapsed="false">
      <c r="A1851" s="12" t="s">
        <v>706</v>
      </c>
      <c r="B1851" s="12" t="n">
        <f aca="false">COUNTIFS(Cleaned!$D$2:$D$125,3,Cleaned!CN$2:CN$125,0)</f>
        <v>2</v>
      </c>
      <c r="C1851" s="13" t="n">
        <f aca="false">IFERROR(B1851/$F1851,"")</f>
        <v>0.333333333333333</v>
      </c>
      <c r="D1851" s="12" t="n">
        <f aca="false">COUNTIFS(Cleaned!$D$2:$D$125,3,Cleaned!CN$2:CN$125,1)</f>
        <v>4</v>
      </c>
      <c r="E1851" s="13" t="n">
        <f aca="false">IFERROR(D1851/$F1851,"")</f>
        <v>0.666666666666667</v>
      </c>
      <c r="F1851" s="12" t="n">
        <f aca="false">B1851+D1851</f>
        <v>6</v>
      </c>
    </row>
    <row r="1852" customFormat="false" ht="15" hidden="false" customHeight="false" outlineLevel="0" collapsed="false">
      <c r="A1852" s="12" t="s">
        <v>707</v>
      </c>
      <c r="B1852" s="12" t="n">
        <f aca="false">COUNTIFS(Cleaned!$D$2:$D$125,4,Cleaned!CN$2:CN$125,0)</f>
        <v>5</v>
      </c>
      <c r="C1852" s="13" t="n">
        <f aca="false">IFERROR(B1852/$F1852,"")</f>
        <v>0.833333333333333</v>
      </c>
      <c r="D1852" s="12" t="n">
        <f aca="false">COUNTIFS(Cleaned!$D$2:$D$125,4,Cleaned!CN$2:CN$125,1)</f>
        <v>1</v>
      </c>
      <c r="E1852" s="13" t="n">
        <f aca="false">IFERROR(D1852/$F1852,"")</f>
        <v>0.166666666666667</v>
      </c>
      <c r="F1852" s="12" t="n">
        <f aca="false">B1852+D1852</f>
        <v>6</v>
      </c>
    </row>
    <row r="1853" customFormat="false" ht="15" hidden="false" customHeight="false" outlineLevel="0" collapsed="false">
      <c r="A1853" s="12" t="s">
        <v>708</v>
      </c>
      <c r="B1853" s="12" t="n">
        <f aca="false">COUNTIFS(Cleaned!$D$2:$D$125,5,Cleaned!CN$2:CN$125,0)</f>
        <v>1</v>
      </c>
      <c r="C1853" s="13" t="n">
        <f aca="false">IFERROR(B1853/$F1853,"")</f>
        <v>1</v>
      </c>
      <c r="D1853" s="12" t="n">
        <f aca="false">COUNTIFS(Cleaned!$D$2:$D$125,5,Cleaned!CN$2:CN$125,1)</f>
        <v>0</v>
      </c>
      <c r="E1853" s="13" t="n">
        <f aca="false">IFERROR(D1853/$F1853,"")</f>
        <v>0</v>
      </c>
      <c r="F1853" s="12" t="n">
        <f aca="false">B1853+D1853</f>
        <v>1</v>
      </c>
    </row>
    <row r="1854" customFormat="false" ht="15" hidden="false" customHeight="false" outlineLevel="0" collapsed="false">
      <c r="A1854" s="12" t="s">
        <v>709</v>
      </c>
      <c r="B1854" s="12" t="n">
        <f aca="false">COUNTIFS(Cleaned!$D$2:$D$125,6,Cleaned!CN$2:CN$125,0)</f>
        <v>1</v>
      </c>
      <c r="C1854" s="13" t="n">
        <f aca="false">IFERROR(B1854/$F1854,"")</f>
        <v>0.5</v>
      </c>
      <c r="D1854" s="12" t="n">
        <f aca="false">COUNTIFS(Cleaned!$D$2:$D$125,6,Cleaned!CN$2:CN$125,1)</f>
        <v>1</v>
      </c>
      <c r="E1854" s="13" t="n">
        <f aca="false">IFERROR(D1854/$F1854,"")</f>
        <v>0.5</v>
      </c>
      <c r="F1854" s="12" t="n">
        <f aca="false">B1854+D1854</f>
        <v>2</v>
      </c>
    </row>
    <row r="1855" customFormat="false" ht="15" hidden="false" customHeight="false" outlineLevel="0" collapsed="false">
      <c r="A1855" s="12" t="s">
        <v>710</v>
      </c>
      <c r="B1855" s="12" t="n">
        <f aca="false">COUNTIFS(Cleaned!$D$2:$D$125,7,Cleaned!CN$2:CN$125,0)</f>
        <v>3</v>
      </c>
      <c r="C1855" s="13" t="n">
        <f aca="false">IFERROR(B1855/$F1855,"")</f>
        <v>0.428571428571429</v>
      </c>
      <c r="D1855" s="12" t="n">
        <f aca="false">COUNTIFS(Cleaned!$D$2:$D$125,7,Cleaned!CN$2:CN$125,1)</f>
        <v>4</v>
      </c>
      <c r="E1855" s="13" t="n">
        <f aca="false">IFERROR(D1855/$F1855,"")</f>
        <v>0.571428571428571</v>
      </c>
      <c r="F1855" s="12" t="n">
        <f aca="false">B1855+D1855</f>
        <v>7</v>
      </c>
    </row>
    <row r="1856" customFormat="false" ht="15" hidden="false" customHeight="false" outlineLevel="0" collapsed="false">
      <c r="A1856" s="12" t="s">
        <v>711</v>
      </c>
      <c r="B1856" s="12" t="n">
        <f aca="false">COUNTIFS(Cleaned!$D$2:$D$125,8,Cleaned!CN$2:CN$125,0)</f>
        <v>2</v>
      </c>
      <c r="C1856" s="13" t="n">
        <f aca="false">IFERROR(B1856/$F1856,"")</f>
        <v>0.666666666666667</v>
      </c>
      <c r="D1856" s="12" t="n">
        <f aca="false">COUNTIFS(Cleaned!$D$2:$D$125,8,Cleaned!CN$2:CN$125,1)</f>
        <v>1</v>
      </c>
      <c r="E1856" s="13" t="n">
        <f aca="false">IFERROR(D1856/$F1856,"")</f>
        <v>0.333333333333333</v>
      </c>
      <c r="F1856" s="12" t="n">
        <f aca="false">B1856+D1856</f>
        <v>3</v>
      </c>
    </row>
    <row r="1857" customFormat="false" ht="15" hidden="false" customHeight="false" outlineLevel="0" collapsed="false">
      <c r="A1857" s="12" t="s">
        <v>712</v>
      </c>
      <c r="B1857" s="12" t="n">
        <f aca="false">COUNTIFS(Cleaned!$D$2:$D$125,9,Cleaned!CN$2:CN$125,0)</f>
        <v>1</v>
      </c>
      <c r="C1857" s="13" t="n">
        <f aca="false">IFERROR(B1857/$F1857,"")</f>
        <v>0.5</v>
      </c>
      <c r="D1857" s="12" t="n">
        <f aca="false">COUNTIFS(Cleaned!$D$2:$D$125,9,Cleaned!CN$2:CN$125,1)</f>
        <v>1</v>
      </c>
      <c r="E1857" s="13" t="n">
        <f aca="false">IFERROR(D1857/$F1857,"")</f>
        <v>0.5</v>
      </c>
      <c r="F1857" s="12" t="n">
        <f aca="false">B1857+D1857</f>
        <v>2</v>
      </c>
    </row>
    <row r="1858" customFormat="false" ht="15" hidden="false" customHeight="false" outlineLevel="0" collapsed="false">
      <c r="A1858" s="12" t="s">
        <v>713</v>
      </c>
      <c r="B1858" s="12" t="n">
        <f aca="false">COUNTIFS(Cleaned!$D$2:$D$125,10,Cleaned!CN$2:CN$125,0)</f>
        <v>0</v>
      </c>
      <c r="C1858" s="13" t="str">
        <f aca="false">IFERROR(B1858/$F1858,"")</f>
        <v/>
      </c>
      <c r="D1858" s="12" t="n">
        <f aca="false">COUNTIFS(Cleaned!$D$2:$D$125,10,Cleaned!CN$2:CN$125,1)</f>
        <v>0</v>
      </c>
      <c r="E1858" s="13" t="str">
        <f aca="false">IFERROR(D1858/$F1858,"")</f>
        <v/>
      </c>
      <c r="F1858" s="12" t="n">
        <f aca="false">B1858+D1858</f>
        <v>0</v>
      </c>
    </row>
    <row r="1859" customFormat="false" ht="15" hidden="false" customHeight="false" outlineLevel="0" collapsed="false">
      <c r="A1859" s="12" t="s">
        <v>714</v>
      </c>
      <c r="B1859" s="12" t="n">
        <f aca="false">COUNTIFS(Cleaned!$D$2:$D$125,11,Cleaned!CN$2:CN$125,0)</f>
        <v>2</v>
      </c>
      <c r="C1859" s="13" t="n">
        <f aca="false">IFERROR(B1859/$F1859,"")</f>
        <v>0.5</v>
      </c>
      <c r="D1859" s="12" t="n">
        <f aca="false">COUNTIFS(Cleaned!$D$2:$D$125,11,Cleaned!CN$2:CN$125,1)</f>
        <v>2</v>
      </c>
      <c r="E1859" s="13" t="n">
        <f aca="false">IFERROR(D1859/$F1859,"")</f>
        <v>0.5</v>
      </c>
      <c r="F1859" s="12" t="n">
        <f aca="false">B1859+D1859</f>
        <v>4</v>
      </c>
    </row>
    <row r="1860" customFormat="false" ht="15" hidden="false" customHeight="false" outlineLevel="0" collapsed="false">
      <c r="A1860" s="12" t="s">
        <v>715</v>
      </c>
      <c r="B1860" s="12" t="n">
        <f aca="false">COUNTIFS(Cleaned!$D$2:$D$125,12,Cleaned!CN$2:CN$125,0)</f>
        <v>1</v>
      </c>
      <c r="C1860" s="13" t="n">
        <f aca="false">IFERROR(B1860/$F1860,"")</f>
        <v>0.333333333333333</v>
      </c>
      <c r="D1860" s="12" t="n">
        <f aca="false">COUNTIFS(Cleaned!$D$2:$D$125,12,Cleaned!CN$2:CN$125,1)</f>
        <v>2</v>
      </c>
      <c r="E1860" s="13" t="n">
        <f aca="false">IFERROR(D1860/$F1860,"")</f>
        <v>0.666666666666667</v>
      </c>
      <c r="F1860" s="12" t="n">
        <f aca="false">B1860+D1860</f>
        <v>3</v>
      </c>
    </row>
    <row r="1861" customFormat="false" ht="15" hidden="false" customHeight="false" outlineLevel="0" collapsed="false">
      <c r="A1861" s="11" t="s">
        <v>716</v>
      </c>
      <c r="B1861" s="11" t="n">
        <f aca="false">SUM(B1849:B1860)</f>
        <v>24</v>
      </c>
      <c r="C1861" s="14" t="n">
        <f aca="false">IFERROR(B1861/$F1861,"")</f>
        <v>0.461538461538462</v>
      </c>
      <c r="D1861" s="11" t="n">
        <f aca="false">SUM(D1849:D1860)</f>
        <v>28</v>
      </c>
      <c r="E1861" s="14" t="n">
        <f aca="false">IFERROR(D1861/$F1861,"")</f>
        <v>0.538461538461538</v>
      </c>
      <c r="F1861" s="11" t="n">
        <f aca="false">SUM(F1849:F1860)</f>
        <v>52</v>
      </c>
    </row>
    <row r="1864" customFormat="false" ht="15" hidden="false" customHeight="false" outlineLevel="0" collapsed="false">
      <c r="A1864" s="6" t="s">
        <v>92</v>
      </c>
      <c r="B1864" s="7" t="s">
        <v>812</v>
      </c>
    </row>
    <row r="1865" customFormat="false" ht="15" hidden="false" customHeight="false" outlineLevel="0" collapsed="false">
      <c r="A1865" s="8"/>
      <c r="B1865" s="9" t="s">
        <v>718</v>
      </c>
      <c r="C1865" s="8"/>
      <c r="D1865" s="9" t="s">
        <v>719</v>
      </c>
      <c r="E1865" s="8"/>
      <c r="F1865" s="9" t="s">
        <v>694</v>
      </c>
    </row>
    <row r="1866" customFormat="false" ht="15" hidden="false" customHeight="false" outlineLevel="0" collapsed="false">
      <c r="B1866" s="10" t="s">
        <v>695</v>
      </c>
      <c r="C1866" s="10" t="s">
        <v>696</v>
      </c>
      <c r="D1866" s="10" t="s">
        <v>695</v>
      </c>
      <c r="E1866" s="10" t="s">
        <v>696</v>
      </c>
    </row>
    <row r="1867" customFormat="false" ht="15" hidden="false" customHeight="false" outlineLevel="0" collapsed="false">
      <c r="A1867" s="11" t="s">
        <v>697</v>
      </c>
    </row>
    <row r="1868" customFormat="false" ht="15" hidden="false" customHeight="false" outlineLevel="0" collapsed="false">
      <c r="A1868" s="12" t="s">
        <v>698</v>
      </c>
      <c r="B1868" s="12" t="n">
        <f aca="false">COUNTIFS(Cleaned!$C$2:$C$125,1,Cleaned!CO$2:CO$125,0)</f>
        <v>0</v>
      </c>
      <c r="C1868" s="13" t="n">
        <f aca="false">IFERROR(B1868/$F1868,"")</f>
        <v>0</v>
      </c>
      <c r="D1868" s="12" t="n">
        <f aca="false">COUNTIFS(Cleaned!$C$2:$C$125,1,Cleaned!CO$2:CO$125,1)</f>
        <v>4</v>
      </c>
      <c r="E1868" s="13" t="n">
        <f aca="false">IFERROR(D1868/$F1868,"")</f>
        <v>1</v>
      </c>
      <c r="F1868" s="12" t="n">
        <f aca="false">B1868+D1868</f>
        <v>4</v>
      </c>
    </row>
    <row r="1869" customFormat="false" ht="15" hidden="false" customHeight="false" outlineLevel="0" collapsed="false">
      <c r="A1869" s="12" t="s">
        <v>699</v>
      </c>
      <c r="B1869" s="12" t="n">
        <f aca="false">COUNTIFS(Cleaned!$C$2:$C$125,2,Cleaned!CO$2:CO$125,0)</f>
        <v>1</v>
      </c>
      <c r="C1869" s="13" t="n">
        <f aca="false">IFERROR(B1869/$F1869,"")</f>
        <v>0.142857142857143</v>
      </c>
      <c r="D1869" s="12" t="n">
        <f aca="false">COUNTIFS(Cleaned!$C$2:$C$125,2,Cleaned!CO$2:CO$125,1)</f>
        <v>6</v>
      </c>
      <c r="E1869" s="13" t="n">
        <f aca="false">IFERROR(D1869/$F1869,"")</f>
        <v>0.857142857142857</v>
      </c>
      <c r="F1869" s="12" t="n">
        <f aca="false">B1869+D1869</f>
        <v>7</v>
      </c>
    </row>
    <row r="1870" customFormat="false" ht="15" hidden="false" customHeight="false" outlineLevel="0" collapsed="false">
      <c r="A1870" s="12" t="s">
        <v>700</v>
      </c>
      <c r="B1870" s="12" t="n">
        <f aca="false">COUNTIFS(Cleaned!$C$2:$C$125,3,Cleaned!CO$2:CO$125,0)</f>
        <v>5</v>
      </c>
      <c r="C1870" s="13" t="n">
        <f aca="false">IFERROR(B1870/$F1870,"")</f>
        <v>0.416666666666667</v>
      </c>
      <c r="D1870" s="12" t="n">
        <f aca="false">COUNTIFS(Cleaned!$C$2:$C$125,3,Cleaned!CO$2:CO$125,1)</f>
        <v>7</v>
      </c>
      <c r="E1870" s="13" t="n">
        <f aca="false">IFERROR(D1870/$F1870,"")</f>
        <v>0.583333333333333</v>
      </c>
      <c r="F1870" s="12" t="n">
        <f aca="false">B1870+D1870</f>
        <v>12</v>
      </c>
    </row>
    <row r="1871" customFormat="false" ht="15" hidden="false" customHeight="false" outlineLevel="0" collapsed="false">
      <c r="A1871" s="12" t="s">
        <v>701</v>
      </c>
      <c r="B1871" s="12" t="n">
        <f aca="false">COUNTIFS(Cleaned!$C$2:$C$125,4,Cleaned!CO$2:CO$125,0)</f>
        <v>1</v>
      </c>
      <c r="C1871" s="13" t="n">
        <f aca="false">IFERROR(B1871/$F1871,"")</f>
        <v>0.1</v>
      </c>
      <c r="D1871" s="12" t="n">
        <f aca="false">COUNTIFS(Cleaned!$C$2:$C$125,4,Cleaned!CO$2:CO$125,1)</f>
        <v>9</v>
      </c>
      <c r="E1871" s="13" t="n">
        <f aca="false">IFERROR(D1871/$F1871,"")</f>
        <v>0.9</v>
      </c>
      <c r="F1871" s="12" t="n">
        <f aca="false">B1871+D1871</f>
        <v>10</v>
      </c>
    </row>
    <row r="1872" customFormat="false" ht="15" hidden="false" customHeight="false" outlineLevel="0" collapsed="false">
      <c r="A1872" s="12" t="s">
        <v>702</v>
      </c>
      <c r="B1872" s="12" t="n">
        <f aca="false">COUNTIFS(Cleaned!$C$2:$C$125,5,Cleaned!CO$2:CO$125,0)</f>
        <v>4</v>
      </c>
      <c r="C1872" s="13" t="n">
        <f aca="false">IFERROR(B1872/$F1872,"")</f>
        <v>0.210526315789474</v>
      </c>
      <c r="D1872" s="12" t="n">
        <f aca="false">COUNTIFS(Cleaned!$C$2:$C$125,5,Cleaned!CO$2:CO$125,1)</f>
        <v>15</v>
      </c>
      <c r="E1872" s="13" t="n">
        <f aca="false">IFERROR(D1872/$F1872,"")</f>
        <v>0.789473684210526</v>
      </c>
      <c r="F1872" s="12" t="n">
        <f aca="false">B1872+D1872</f>
        <v>19</v>
      </c>
    </row>
    <row r="1873" customFormat="false" ht="15" hidden="false" customHeight="false" outlineLevel="0" collapsed="false">
      <c r="A1873" s="11" t="s">
        <v>703</v>
      </c>
      <c r="B1873" s="11" t="n">
        <f aca="false">SUM(B1868:B1872)</f>
        <v>11</v>
      </c>
      <c r="C1873" s="14" t="n">
        <f aca="false">IFERROR(B1873/$F1873,"")</f>
        <v>0.211538461538462</v>
      </c>
      <c r="D1873" s="11" t="n">
        <f aca="false">SUM(D1868:D1872)</f>
        <v>41</v>
      </c>
      <c r="E1873" s="14" t="n">
        <f aca="false">IFERROR(D1873/$F1873,"")</f>
        <v>0.788461538461538</v>
      </c>
      <c r="F1873" s="11" t="n">
        <f aca="false">SUM(F1868:F1872)</f>
        <v>52</v>
      </c>
    </row>
    <row r="1874" customFormat="false" ht="15" hidden="false" customHeight="false" outlineLevel="0" collapsed="false">
      <c r="A1874" s="11" t="s">
        <v>3</v>
      </c>
    </row>
    <row r="1875" customFormat="false" ht="15" hidden="false" customHeight="false" outlineLevel="0" collapsed="false">
      <c r="A1875" s="12" t="s">
        <v>704</v>
      </c>
      <c r="B1875" s="12" t="n">
        <f aca="false">COUNTIFS(Cleaned!$D$2:$D$125,1,Cleaned!CO$2:CO$125,0)</f>
        <v>3</v>
      </c>
      <c r="C1875" s="13" t="n">
        <f aca="false">IFERROR(B1875/$F1875,"")</f>
        <v>0.5</v>
      </c>
      <c r="D1875" s="12" t="n">
        <f aca="false">COUNTIFS(Cleaned!$D$2:$D$125,1,Cleaned!CO$2:CO$125,1)</f>
        <v>3</v>
      </c>
      <c r="E1875" s="13" t="n">
        <f aca="false">IFERROR(D1875/$F1875,"")</f>
        <v>0.5</v>
      </c>
      <c r="F1875" s="12" t="n">
        <f aca="false">B1875+D1875</f>
        <v>6</v>
      </c>
    </row>
    <row r="1876" customFormat="false" ht="15" hidden="false" customHeight="false" outlineLevel="0" collapsed="false">
      <c r="A1876" s="12" t="s">
        <v>705</v>
      </c>
      <c r="B1876" s="12" t="n">
        <f aca="false">COUNTIFS(Cleaned!$D$2:$D$125,2,Cleaned!CO$2:CO$125,0)</f>
        <v>3</v>
      </c>
      <c r="C1876" s="13" t="n">
        <f aca="false">IFERROR(B1876/$F1876,"")</f>
        <v>0.25</v>
      </c>
      <c r="D1876" s="12" t="n">
        <f aca="false">COUNTIFS(Cleaned!$D$2:$D$125,2,Cleaned!CO$2:CO$125,1)</f>
        <v>9</v>
      </c>
      <c r="E1876" s="13" t="n">
        <f aca="false">IFERROR(D1876/$F1876,"")</f>
        <v>0.75</v>
      </c>
      <c r="F1876" s="12" t="n">
        <f aca="false">B1876+D1876</f>
        <v>12</v>
      </c>
    </row>
    <row r="1877" customFormat="false" ht="15" hidden="false" customHeight="false" outlineLevel="0" collapsed="false">
      <c r="A1877" s="12" t="s">
        <v>706</v>
      </c>
      <c r="B1877" s="12" t="n">
        <f aca="false">COUNTIFS(Cleaned!$D$2:$D$125,3,Cleaned!CO$2:CO$125,0)</f>
        <v>1</v>
      </c>
      <c r="C1877" s="13" t="n">
        <f aca="false">IFERROR(B1877/$F1877,"")</f>
        <v>0.166666666666667</v>
      </c>
      <c r="D1877" s="12" t="n">
        <f aca="false">COUNTIFS(Cleaned!$D$2:$D$125,3,Cleaned!CO$2:CO$125,1)</f>
        <v>5</v>
      </c>
      <c r="E1877" s="13" t="n">
        <f aca="false">IFERROR(D1877/$F1877,"")</f>
        <v>0.833333333333333</v>
      </c>
      <c r="F1877" s="12" t="n">
        <f aca="false">B1877+D1877</f>
        <v>6</v>
      </c>
    </row>
    <row r="1878" customFormat="false" ht="15" hidden="false" customHeight="false" outlineLevel="0" collapsed="false">
      <c r="A1878" s="12" t="s">
        <v>707</v>
      </c>
      <c r="B1878" s="12" t="n">
        <f aca="false">COUNTIFS(Cleaned!$D$2:$D$125,4,Cleaned!CO$2:CO$125,0)</f>
        <v>1</v>
      </c>
      <c r="C1878" s="13" t="n">
        <f aca="false">IFERROR(B1878/$F1878,"")</f>
        <v>0.166666666666667</v>
      </c>
      <c r="D1878" s="12" t="n">
        <f aca="false">COUNTIFS(Cleaned!$D$2:$D$125,4,Cleaned!CO$2:CO$125,1)</f>
        <v>5</v>
      </c>
      <c r="E1878" s="13" t="n">
        <f aca="false">IFERROR(D1878/$F1878,"")</f>
        <v>0.833333333333333</v>
      </c>
      <c r="F1878" s="12" t="n">
        <f aca="false">B1878+D1878</f>
        <v>6</v>
      </c>
    </row>
    <row r="1879" customFormat="false" ht="15" hidden="false" customHeight="false" outlineLevel="0" collapsed="false">
      <c r="A1879" s="12" t="s">
        <v>708</v>
      </c>
      <c r="B1879" s="12" t="n">
        <f aca="false">COUNTIFS(Cleaned!$D$2:$D$125,5,Cleaned!CO$2:CO$125,0)</f>
        <v>0</v>
      </c>
      <c r="C1879" s="13" t="n">
        <f aca="false">IFERROR(B1879/$F1879,"")</f>
        <v>0</v>
      </c>
      <c r="D1879" s="12" t="n">
        <f aca="false">COUNTIFS(Cleaned!$D$2:$D$125,5,Cleaned!CO$2:CO$125,1)</f>
        <v>1</v>
      </c>
      <c r="E1879" s="13" t="n">
        <f aca="false">IFERROR(D1879/$F1879,"")</f>
        <v>1</v>
      </c>
      <c r="F1879" s="12" t="n">
        <f aca="false">B1879+D1879</f>
        <v>1</v>
      </c>
    </row>
    <row r="1880" customFormat="false" ht="15" hidden="false" customHeight="false" outlineLevel="0" collapsed="false">
      <c r="A1880" s="12" t="s">
        <v>709</v>
      </c>
      <c r="B1880" s="12" t="n">
        <f aca="false">COUNTIFS(Cleaned!$D$2:$D$125,6,Cleaned!CO$2:CO$125,0)</f>
        <v>0</v>
      </c>
      <c r="C1880" s="13" t="n">
        <f aca="false">IFERROR(B1880/$F1880,"")</f>
        <v>0</v>
      </c>
      <c r="D1880" s="12" t="n">
        <f aca="false">COUNTIFS(Cleaned!$D$2:$D$125,6,Cleaned!CO$2:CO$125,1)</f>
        <v>2</v>
      </c>
      <c r="E1880" s="13" t="n">
        <f aca="false">IFERROR(D1880/$F1880,"")</f>
        <v>1</v>
      </c>
      <c r="F1880" s="12" t="n">
        <f aca="false">B1880+D1880</f>
        <v>2</v>
      </c>
    </row>
    <row r="1881" customFormat="false" ht="15" hidden="false" customHeight="false" outlineLevel="0" collapsed="false">
      <c r="A1881" s="12" t="s">
        <v>710</v>
      </c>
      <c r="B1881" s="12" t="n">
        <f aca="false">COUNTIFS(Cleaned!$D$2:$D$125,7,Cleaned!CO$2:CO$125,0)</f>
        <v>2</v>
      </c>
      <c r="C1881" s="13" t="n">
        <f aca="false">IFERROR(B1881/$F1881,"")</f>
        <v>0.285714285714286</v>
      </c>
      <c r="D1881" s="12" t="n">
        <f aca="false">COUNTIFS(Cleaned!$D$2:$D$125,7,Cleaned!CO$2:CO$125,1)</f>
        <v>5</v>
      </c>
      <c r="E1881" s="13" t="n">
        <f aca="false">IFERROR(D1881/$F1881,"")</f>
        <v>0.714285714285714</v>
      </c>
      <c r="F1881" s="12" t="n">
        <f aca="false">B1881+D1881</f>
        <v>7</v>
      </c>
    </row>
    <row r="1882" customFormat="false" ht="15" hidden="false" customHeight="false" outlineLevel="0" collapsed="false">
      <c r="A1882" s="12" t="s">
        <v>711</v>
      </c>
      <c r="B1882" s="12" t="n">
        <f aca="false">COUNTIFS(Cleaned!$D$2:$D$125,8,Cleaned!CO$2:CO$125,0)</f>
        <v>0</v>
      </c>
      <c r="C1882" s="13" t="n">
        <f aca="false">IFERROR(B1882/$F1882,"")</f>
        <v>0</v>
      </c>
      <c r="D1882" s="12" t="n">
        <f aca="false">COUNTIFS(Cleaned!$D$2:$D$125,8,Cleaned!CO$2:CO$125,1)</f>
        <v>3</v>
      </c>
      <c r="E1882" s="13" t="n">
        <f aca="false">IFERROR(D1882/$F1882,"")</f>
        <v>1</v>
      </c>
      <c r="F1882" s="12" t="n">
        <f aca="false">B1882+D1882</f>
        <v>3</v>
      </c>
    </row>
    <row r="1883" customFormat="false" ht="15" hidden="false" customHeight="false" outlineLevel="0" collapsed="false">
      <c r="A1883" s="12" t="s">
        <v>712</v>
      </c>
      <c r="B1883" s="12" t="n">
        <f aca="false">COUNTIFS(Cleaned!$D$2:$D$125,9,Cleaned!CO$2:CO$125,0)</f>
        <v>0</v>
      </c>
      <c r="C1883" s="13" t="n">
        <f aca="false">IFERROR(B1883/$F1883,"")</f>
        <v>0</v>
      </c>
      <c r="D1883" s="12" t="n">
        <f aca="false">COUNTIFS(Cleaned!$D$2:$D$125,9,Cleaned!CO$2:CO$125,1)</f>
        <v>2</v>
      </c>
      <c r="E1883" s="13" t="n">
        <f aca="false">IFERROR(D1883/$F1883,"")</f>
        <v>1</v>
      </c>
      <c r="F1883" s="12" t="n">
        <f aca="false">B1883+D1883</f>
        <v>2</v>
      </c>
    </row>
    <row r="1884" customFormat="false" ht="15" hidden="false" customHeight="false" outlineLevel="0" collapsed="false">
      <c r="A1884" s="12" t="s">
        <v>713</v>
      </c>
      <c r="B1884" s="12" t="n">
        <f aca="false">COUNTIFS(Cleaned!$D$2:$D$125,10,Cleaned!CO$2:CO$125,0)</f>
        <v>0</v>
      </c>
      <c r="C1884" s="13" t="str">
        <f aca="false">IFERROR(B1884/$F1884,"")</f>
        <v/>
      </c>
      <c r="D1884" s="12" t="n">
        <f aca="false">COUNTIFS(Cleaned!$D$2:$D$125,10,Cleaned!CO$2:CO$125,1)</f>
        <v>0</v>
      </c>
      <c r="E1884" s="13" t="str">
        <f aca="false">IFERROR(D1884/$F1884,"")</f>
        <v/>
      </c>
      <c r="F1884" s="12" t="n">
        <f aca="false">B1884+D1884</f>
        <v>0</v>
      </c>
    </row>
    <row r="1885" customFormat="false" ht="15" hidden="false" customHeight="false" outlineLevel="0" collapsed="false">
      <c r="A1885" s="12" t="s">
        <v>714</v>
      </c>
      <c r="B1885" s="12" t="n">
        <f aca="false">COUNTIFS(Cleaned!$D$2:$D$125,11,Cleaned!CO$2:CO$125,0)</f>
        <v>0</v>
      </c>
      <c r="C1885" s="13" t="n">
        <f aca="false">IFERROR(B1885/$F1885,"")</f>
        <v>0</v>
      </c>
      <c r="D1885" s="12" t="n">
        <f aca="false">COUNTIFS(Cleaned!$D$2:$D$125,11,Cleaned!CO$2:CO$125,1)</f>
        <v>4</v>
      </c>
      <c r="E1885" s="13" t="n">
        <f aca="false">IFERROR(D1885/$F1885,"")</f>
        <v>1</v>
      </c>
      <c r="F1885" s="12" t="n">
        <f aca="false">B1885+D1885</f>
        <v>4</v>
      </c>
    </row>
    <row r="1886" customFormat="false" ht="15" hidden="false" customHeight="false" outlineLevel="0" collapsed="false">
      <c r="A1886" s="12" t="s">
        <v>715</v>
      </c>
      <c r="B1886" s="12" t="n">
        <f aca="false">COUNTIFS(Cleaned!$D$2:$D$125,12,Cleaned!CO$2:CO$125,0)</f>
        <v>1</v>
      </c>
      <c r="C1886" s="13" t="n">
        <f aca="false">IFERROR(B1886/$F1886,"")</f>
        <v>0.333333333333333</v>
      </c>
      <c r="D1886" s="12" t="n">
        <f aca="false">COUNTIFS(Cleaned!$D$2:$D$125,12,Cleaned!CO$2:CO$125,1)</f>
        <v>2</v>
      </c>
      <c r="E1886" s="13" t="n">
        <f aca="false">IFERROR(D1886/$F1886,"")</f>
        <v>0.666666666666667</v>
      </c>
      <c r="F1886" s="12" t="n">
        <f aca="false">B1886+D1886</f>
        <v>3</v>
      </c>
    </row>
    <row r="1887" customFormat="false" ht="15" hidden="false" customHeight="false" outlineLevel="0" collapsed="false">
      <c r="A1887" s="11" t="s">
        <v>716</v>
      </c>
      <c r="B1887" s="11" t="n">
        <f aca="false">SUM(B1875:B1886)</f>
        <v>11</v>
      </c>
      <c r="C1887" s="14" t="n">
        <f aca="false">IFERROR(B1887/$F1887,"")</f>
        <v>0.211538461538462</v>
      </c>
      <c r="D1887" s="11" t="n">
        <f aca="false">SUM(D1875:D1886)</f>
        <v>41</v>
      </c>
      <c r="E1887" s="14" t="n">
        <f aca="false">IFERROR(D1887/$F1887,"")</f>
        <v>0.788461538461538</v>
      </c>
      <c r="F1887" s="11" t="n">
        <f aca="false">SUM(F1875:F1886)</f>
        <v>52</v>
      </c>
    </row>
    <row r="1890" customFormat="false" ht="15" hidden="false" customHeight="false" outlineLevel="0" collapsed="false">
      <c r="A1890" s="6" t="s">
        <v>93</v>
      </c>
      <c r="B1890" s="7" t="s">
        <v>813</v>
      </c>
    </row>
    <row r="1891" customFormat="false" ht="15" hidden="false" customHeight="false" outlineLevel="0" collapsed="false">
      <c r="A1891" s="8"/>
      <c r="B1891" s="9" t="s">
        <v>718</v>
      </c>
      <c r="C1891" s="8"/>
      <c r="D1891" s="9" t="s">
        <v>719</v>
      </c>
      <c r="E1891" s="8"/>
      <c r="F1891" s="9" t="s">
        <v>694</v>
      </c>
    </row>
    <row r="1892" customFormat="false" ht="15" hidden="false" customHeight="false" outlineLevel="0" collapsed="false">
      <c r="B1892" s="10" t="s">
        <v>695</v>
      </c>
      <c r="C1892" s="10" t="s">
        <v>696</v>
      </c>
      <c r="D1892" s="10" t="s">
        <v>695</v>
      </c>
      <c r="E1892" s="10" t="s">
        <v>696</v>
      </c>
    </row>
    <row r="1893" customFormat="false" ht="15" hidden="false" customHeight="false" outlineLevel="0" collapsed="false">
      <c r="A1893" s="11" t="s">
        <v>697</v>
      </c>
    </row>
    <row r="1894" customFormat="false" ht="15" hidden="false" customHeight="false" outlineLevel="0" collapsed="false">
      <c r="A1894" s="12" t="s">
        <v>698</v>
      </c>
      <c r="B1894" s="12" t="n">
        <f aca="false">COUNTIFS(Cleaned!$C$2:$C$125,1,Cleaned!CP$2:CP$125,0)</f>
        <v>1</v>
      </c>
      <c r="C1894" s="13" t="n">
        <f aca="false">IFERROR(B1894/$F1894,"")</f>
        <v>0.25</v>
      </c>
      <c r="D1894" s="12" t="n">
        <f aca="false">COUNTIFS(Cleaned!$C$2:$C$125,1,Cleaned!CP$2:CP$125,1)</f>
        <v>3</v>
      </c>
      <c r="E1894" s="13" t="n">
        <f aca="false">IFERROR(D1894/$F1894,"")</f>
        <v>0.75</v>
      </c>
      <c r="F1894" s="12" t="n">
        <f aca="false">B1894+D1894</f>
        <v>4</v>
      </c>
    </row>
    <row r="1895" customFormat="false" ht="15" hidden="false" customHeight="false" outlineLevel="0" collapsed="false">
      <c r="A1895" s="12" t="s">
        <v>699</v>
      </c>
      <c r="B1895" s="12" t="n">
        <f aca="false">COUNTIFS(Cleaned!$C$2:$C$125,2,Cleaned!CP$2:CP$125,0)</f>
        <v>4</v>
      </c>
      <c r="C1895" s="13" t="n">
        <f aca="false">IFERROR(B1895/$F1895,"")</f>
        <v>0.571428571428571</v>
      </c>
      <c r="D1895" s="12" t="n">
        <f aca="false">COUNTIFS(Cleaned!$C$2:$C$125,2,Cleaned!CP$2:CP$125,1)</f>
        <v>3</v>
      </c>
      <c r="E1895" s="13" t="n">
        <f aca="false">IFERROR(D1895/$F1895,"")</f>
        <v>0.428571428571429</v>
      </c>
      <c r="F1895" s="12" t="n">
        <f aca="false">B1895+D1895</f>
        <v>7</v>
      </c>
    </row>
    <row r="1896" customFormat="false" ht="15" hidden="false" customHeight="false" outlineLevel="0" collapsed="false">
      <c r="A1896" s="12" t="s">
        <v>700</v>
      </c>
      <c r="B1896" s="12" t="n">
        <f aca="false">COUNTIFS(Cleaned!$C$2:$C$125,3,Cleaned!CP$2:CP$125,0)</f>
        <v>9</v>
      </c>
      <c r="C1896" s="13" t="n">
        <f aca="false">IFERROR(B1896/$F1896,"")</f>
        <v>0.75</v>
      </c>
      <c r="D1896" s="12" t="n">
        <f aca="false">COUNTIFS(Cleaned!$C$2:$C$125,3,Cleaned!CP$2:CP$125,1)</f>
        <v>3</v>
      </c>
      <c r="E1896" s="13" t="n">
        <f aca="false">IFERROR(D1896/$F1896,"")</f>
        <v>0.25</v>
      </c>
      <c r="F1896" s="12" t="n">
        <f aca="false">B1896+D1896</f>
        <v>12</v>
      </c>
    </row>
    <row r="1897" customFormat="false" ht="15" hidden="false" customHeight="false" outlineLevel="0" collapsed="false">
      <c r="A1897" s="12" t="s">
        <v>701</v>
      </c>
      <c r="B1897" s="12" t="n">
        <f aca="false">COUNTIFS(Cleaned!$C$2:$C$125,4,Cleaned!CP$2:CP$125,0)</f>
        <v>5</v>
      </c>
      <c r="C1897" s="13" t="n">
        <f aca="false">IFERROR(B1897/$F1897,"")</f>
        <v>0.5</v>
      </c>
      <c r="D1897" s="12" t="n">
        <f aca="false">COUNTIFS(Cleaned!$C$2:$C$125,4,Cleaned!CP$2:CP$125,1)</f>
        <v>5</v>
      </c>
      <c r="E1897" s="13" t="n">
        <f aca="false">IFERROR(D1897/$F1897,"")</f>
        <v>0.5</v>
      </c>
      <c r="F1897" s="12" t="n">
        <f aca="false">B1897+D1897</f>
        <v>10</v>
      </c>
    </row>
    <row r="1898" customFormat="false" ht="15" hidden="false" customHeight="false" outlineLevel="0" collapsed="false">
      <c r="A1898" s="12" t="s">
        <v>702</v>
      </c>
      <c r="B1898" s="12" t="n">
        <f aca="false">COUNTIFS(Cleaned!$C$2:$C$125,5,Cleaned!CP$2:CP$125,0)</f>
        <v>6</v>
      </c>
      <c r="C1898" s="13" t="n">
        <f aca="false">IFERROR(B1898/$F1898,"")</f>
        <v>0.315789473684211</v>
      </c>
      <c r="D1898" s="12" t="n">
        <f aca="false">COUNTIFS(Cleaned!$C$2:$C$125,5,Cleaned!CP$2:CP$125,1)</f>
        <v>13</v>
      </c>
      <c r="E1898" s="13" t="n">
        <f aca="false">IFERROR(D1898/$F1898,"")</f>
        <v>0.68421052631579</v>
      </c>
      <c r="F1898" s="12" t="n">
        <f aca="false">B1898+D1898</f>
        <v>19</v>
      </c>
    </row>
    <row r="1899" customFormat="false" ht="15" hidden="false" customHeight="false" outlineLevel="0" collapsed="false">
      <c r="A1899" s="11" t="s">
        <v>703</v>
      </c>
      <c r="B1899" s="11" t="n">
        <f aca="false">SUM(B1894:B1898)</f>
        <v>25</v>
      </c>
      <c r="C1899" s="14" t="n">
        <f aca="false">IFERROR(B1899/$F1899,"")</f>
        <v>0.480769230769231</v>
      </c>
      <c r="D1899" s="11" t="n">
        <f aca="false">SUM(D1894:D1898)</f>
        <v>27</v>
      </c>
      <c r="E1899" s="14" t="n">
        <f aca="false">IFERROR(D1899/$F1899,"")</f>
        <v>0.519230769230769</v>
      </c>
      <c r="F1899" s="11" t="n">
        <f aca="false">SUM(F1894:F1898)</f>
        <v>52</v>
      </c>
    </row>
    <row r="1900" customFormat="false" ht="15" hidden="false" customHeight="false" outlineLevel="0" collapsed="false">
      <c r="A1900" s="11" t="s">
        <v>3</v>
      </c>
    </row>
    <row r="1901" customFormat="false" ht="15" hidden="false" customHeight="false" outlineLevel="0" collapsed="false">
      <c r="A1901" s="12" t="s">
        <v>704</v>
      </c>
      <c r="B1901" s="12" t="n">
        <f aca="false">COUNTIFS(Cleaned!$D$2:$D$125,1,Cleaned!CP$2:CP$125,0)</f>
        <v>2</v>
      </c>
      <c r="C1901" s="13" t="n">
        <f aca="false">IFERROR(B1901/$F1901,"")</f>
        <v>0.333333333333333</v>
      </c>
      <c r="D1901" s="12" t="n">
        <f aca="false">COUNTIFS(Cleaned!$D$2:$D$125,1,Cleaned!CP$2:CP$125,1)</f>
        <v>4</v>
      </c>
      <c r="E1901" s="13" t="n">
        <f aca="false">IFERROR(D1901/$F1901,"")</f>
        <v>0.666666666666667</v>
      </c>
      <c r="F1901" s="12" t="n">
        <f aca="false">B1901+D1901</f>
        <v>6</v>
      </c>
    </row>
    <row r="1902" customFormat="false" ht="15" hidden="false" customHeight="false" outlineLevel="0" collapsed="false">
      <c r="A1902" s="12" t="s">
        <v>705</v>
      </c>
      <c r="B1902" s="12" t="n">
        <f aca="false">COUNTIFS(Cleaned!$D$2:$D$125,2,Cleaned!CP$2:CP$125,0)</f>
        <v>5</v>
      </c>
      <c r="C1902" s="13" t="n">
        <f aca="false">IFERROR(B1902/$F1902,"")</f>
        <v>0.416666666666667</v>
      </c>
      <c r="D1902" s="12" t="n">
        <f aca="false">COUNTIFS(Cleaned!$D$2:$D$125,2,Cleaned!CP$2:CP$125,1)</f>
        <v>7</v>
      </c>
      <c r="E1902" s="13" t="n">
        <f aca="false">IFERROR(D1902/$F1902,"")</f>
        <v>0.583333333333333</v>
      </c>
      <c r="F1902" s="12" t="n">
        <f aca="false">B1902+D1902</f>
        <v>12</v>
      </c>
    </row>
    <row r="1903" customFormat="false" ht="15" hidden="false" customHeight="false" outlineLevel="0" collapsed="false">
      <c r="A1903" s="12" t="s">
        <v>706</v>
      </c>
      <c r="B1903" s="12" t="n">
        <f aca="false">COUNTIFS(Cleaned!$D$2:$D$125,3,Cleaned!CP$2:CP$125,0)</f>
        <v>3</v>
      </c>
      <c r="C1903" s="13" t="n">
        <f aca="false">IFERROR(B1903/$F1903,"")</f>
        <v>0.5</v>
      </c>
      <c r="D1903" s="12" t="n">
        <f aca="false">COUNTIFS(Cleaned!$D$2:$D$125,3,Cleaned!CP$2:CP$125,1)</f>
        <v>3</v>
      </c>
      <c r="E1903" s="13" t="n">
        <f aca="false">IFERROR(D1903/$F1903,"")</f>
        <v>0.5</v>
      </c>
      <c r="F1903" s="12" t="n">
        <f aca="false">B1903+D1903</f>
        <v>6</v>
      </c>
    </row>
    <row r="1904" customFormat="false" ht="15" hidden="false" customHeight="false" outlineLevel="0" collapsed="false">
      <c r="A1904" s="12" t="s">
        <v>707</v>
      </c>
      <c r="B1904" s="12" t="n">
        <f aca="false">COUNTIFS(Cleaned!$D$2:$D$125,4,Cleaned!CP$2:CP$125,0)</f>
        <v>4</v>
      </c>
      <c r="C1904" s="13" t="n">
        <f aca="false">IFERROR(B1904/$F1904,"")</f>
        <v>0.666666666666667</v>
      </c>
      <c r="D1904" s="12" t="n">
        <f aca="false">COUNTIFS(Cleaned!$D$2:$D$125,4,Cleaned!CP$2:CP$125,1)</f>
        <v>2</v>
      </c>
      <c r="E1904" s="13" t="n">
        <f aca="false">IFERROR(D1904/$F1904,"")</f>
        <v>0.333333333333333</v>
      </c>
      <c r="F1904" s="12" t="n">
        <f aca="false">B1904+D1904</f>
        <v>6</v>
      </c>
    </row>
    <row r="1905" customFormat="false" ht="15" hidden="false" customHeight="false" outlineLevel="0" collapsed="false">
      <c r="A1905" s="12" t="s">
        <v>708</v>
      </c>
      <c r="B1905" s="12" t="n">
        <f aca="false">COUNTIFS(Cleaned!$D$2:$D$125,5,Cleaned!CP$2:CP$125,0)</f>
        <v>1</v>
      </c>
      <c r="C1905" s="13" t="n">
        <f aca="false">IFERROR(B1905/$F1905,"")</f>
        <v>1</v>
      </c>
      <c r="D1905" s="12" t="n">
        <f aca="false">COUNTIFS(Cleaned!$D$2:$D$125,5,Cleaned!CP$2:CP$125,1)</f>
        <v>0</v>
      </c>
      <c r="E1905" s="13" t="n">
        <f aca="false">IFERROR(D1905/$F1905,"")</f>
        <v>0</v>
      </c>
      <c r="F1905" s="12" t="n">
        <f aca="false">B1905+D1905</f>
        <v>1</v>
      </c>
    </row>
    <row r="1906" customFormat="false" ht="15" hidden="false" customHeight="false" outlineLevel="0" collapsed="false">
      <c r="A1906" s="12" t="s">
        <v>709</v>
      </c>
      <c r="B1906" s="12" t="n">
        <f aca="false">COUNTIFS(Cleaned!$D$2:$D$125,6,Cleaned!CP$2:CP$125,0)</f>
        <v>0</v>
      </c>
      <c r="C1906" s="13" t="n">
        <f aca="false">IFERROR(B1906/$F1906,"")</f>
        <v>0</v>
      </c>
      <c r="D1906" s="12" t="n">
        <f aca="false">COUNTIFS(Cleaned!$D$2:$D$125,6,Cleaned!CP$2:CP$125,1)</f>
        <v>2</v>
      </c>
      <c r="E1906" s="13" t="n">
        <f aca="false">IFERROR(D1906/$F1906,"")</f>
        <v>1</v>
      </c>
      <c r="F1906" s="12" t="n">
        <f aca="false">B1906+D1906</f>
        <v>2</v>
      </c>
    </row>
    <row r="1907" customFormat="false" ht="15" hidden="false" customHeight="false" outlineLevel="0" collapsed="false">
      <c r="A1907" s="12" t="s">
        <v>710</v>
      </c>
      <c r="B1907" s="12" t="n">
        <f aca="false">COUNTIFS(Cleaned!$D$2:$D$125,7,Cleaned!CP$2:CP$125,0)</f>
        <v>5</v>
      </c>
      <c r="C1907" s="13" t="n">
        <f aca="false">IFERROR(B1907/$F1907,"")</f>
        <v>0.714285714285714</v>
      </c>
      <c r="D1907" s="12" t="n">
        <f aca="false">COUNTIFS(Cleaned!$D$2:$D$125,7,Cleaned!CP$2:CP$125,1)</f>
        <v>2</v>
      </c>
      <c r="E1907" s="13" t="n">
        <f aca="false">IFERROR(D1907/$F1907,"")</f>
        <v>0.285714285714286</v>
      </c>
      <c r="F1907" s="12" t="n">
        <f aca="false">B1907+D1907</f>
        <v>7</v>
      </c>
    </row>
    <row r="1908" customFormat="false" ht="15" hidden="false" customHeight="false" outlineLevel="0" collapsed="false">
      <c r="A1908" s="12" t="s">
        <v>711</v>
      </c>
      <c r="B1908" s="12" t="n">
        <f aca="false">COUNTIFS(Cleaned!$D$2:$D$125,8,Cleaned!CP$2:CP$125,0)</f>
        <v>2</v>
      </c>
      <c r="C1908" s="13" t="n">
        <f aca="false">IFERROR(B1908/$F1908,"")</f>
        <v>0.666666666666667</v>
      </c>
      <c r="D1908" s="12" t="n">
        <f aca="false">COUNTIFS(Cleaned!$D$2:$D$125,8,Cleaned!CP$2:CP$125,1)</f>
        <v>1</v>
      </c>
      <c r="E1908" s="13" t="n">
        <f aca="false">IFERROR(D1908/$F1908,"")</f>
        <v>0.333333333333333</v>
      </c>
      <c r="F1908" s="12" t="n">
        <f aca="false">B1908+D1908</f>
        <v>3</v>
      </c>
    </row>
    <row r="1909" customFormat="false" ht="15" hidden="false" customHeight="false" outlineLevel="0" collapsed="false">
      <c r="A1909" s="12" t="s">
        <v>712</v>
      </c>
      <c r="B1909" s="12" t="n">
        <f aca="false">COUNTIFS(Cleaned!$D$2:$D$125,9,Cleaned!CP$2:CP$125,0)</f>
        <v>0</v>
      </c>
      <c r="C1909" s="13" t="n">
        <f aca="false">IFERROR(B1909/$F1909,"")</f>
        <v>0</v>
      </c>
      <c r="D1909" s="12" t="n">
        <f aca="false">COUNTIFS(Cleaned!$D$2:$D$125,9,Cleaned!CP$2:CP$125,1)</f>
        <v>2</v>
      </c>
      <c r="E1909" s="13" t="n">
        <f aca="false">IFERROR(D1909/$F1909,"")</f>
        <v>1</v>
      </c>
      <c r="F1909" s="12" t="n">
        <f aca="false">B1909+D1909</f>
        <v>2</v>
      </c>
    </row>
    <row r="1910" customFormat="false" ht="15" hidden="false" customHeight="false" outlineLevel="0" collapsed="false">
      <c r="A1910" s="12" t="s">
        <v>713</v>
      </c>
      <c r="B1910" s="12" t="n">
        <f aca="false">COUNTIFS(Cleaned!$D$2:$D$125,10,Cleaned!CP$2:CP$125,0)</f>
        <v>0</v>
      </c>
      <c r="C1910" s="13" t="str">
        <f aca="false">IFERROR(B1910/$F1910,"")</f>
        <v/>
      </c>
      <c r="D1910" s="12" t="n">
        <f aca="false">COUNTIFS(Cleaned!$D$2:$D$125,10,Cleaned!CP$2:CP$125,1)</f>
        <v>0</v>
      </c>
      <c r="E1910" s="13" t="str">
        <f aca="false">IFERROR(D1910/$F1910,"")</f>
        <v/>
      </c>
      <c r="F1910" s="12" t="n">
        <f aca="false">B1910+D1910</f>
        <v>0</v>
      </c>
    </row>
    <row r="1911" customFormat="false" ht="15" hidden="false" customHeight="false" outlineLevel="0" collapsed="false">
      <c r="A1911" s="12" t="s">
        <v>714</v>
      </c>
      <c r="B1911" s="12" t="n">
        <f aca="false">COUNTIFS(Cleaned!$D$2:$D$125,11,Cleaned!CP$2:CP$125,0)</f>
        <v>1</v>
      </c>
      <c r="C1911" s="13" t="n">
        <f aca="false">IFERROR(B1911/$F1911,"")</f>
        <v>0.25</v>
      </c>
      <c r="D1911" s="12" t="n">
        <f aca="false">COUNTIFS(Cleaned!$D$2:$D$125,11,Cleaned!CP$2:CP$125,1)</f>
        <v>3</v>
      </c>
      <c r="E1911" s="13" t="n">
        <f aca="false">IFERROR(D1911/$F1911,"")</f>
        <v>0.75</v>
      </c>
      <c r="F1911" s="12" t="n">
        <f aca="false">B1911+D1911</f>
        <v>4</v>
      </c>
    </row>
    <row r="1912" customFormat="false" ht="15" hidden="false" customHeight="false" outlineLevel="0" collapsed="false">
      <c r="A1912" s="12" t="s">
        <v>715</v>
      </c>
      <c r="B1912" s="12" t="n">
        <f aca="false">COUNTIFS(Cleaned!$D$2:$D$125,12,Cleaned!CP$2:CP$125,0)</f>
        <v>2</v>
      </c>
      <c r="C1912" s="13" t="n">
        <f aca="false">IFERROR(B1912/$F1912,"")</f>
        <v>0.666666666666667</v>
      </c>
      <c r="D1912" s="12" t="n">
        <f aca="false">COUNTIFS(Cleaned!$D$2:$D$125,12,Cleaned!CP$2:CP$125,1)</f>
        <v>1</v>
      </c>
      <c r="E1912" s="13" t="n">
        <f aca="false">IFERROR(D1912/$F1912,"")</f>
        <v>0.333333333333333</v>
      </c>
      <c r="F1912" s="12" t="n">
        <f aca="false">B1912+D1912</f>
        <v>3</v>
      </c>
    </row>
    <row r="1913" customFormat="false" ht="15" hidden="false" customHeight="false" outlineLevel="0" collapsed="false">
      <c r="A1913" s="11" t="s">
        <v>716</v>
      </c>
      <c r="B1913" s="11" t="n">
        <f aca="false">SUM(B1901:B1912)</f>
        <v>25</v>
      </c>
      <c r="C1913" s="14" t="n">
        <f aca="false">IFERROR(B1913/$F1913,"")</f>
        <v>0.480769230769231</v>
      </c>
      <c r="D1913" s="11" t="n">
        <f aca="false">SUM(D1901:D1912)</f>
        <v>27</v>
      </c>
      <c r="E1913" s="14" t="n">
        <f aca="false">IFERROR(D1913/$F1913,"")</f>
        <v>0.519230769230769</v>
      </c>
      <c r="F1913" s="11" t="n">
        <f aca="false">SUM(F1901:F1912)</f>
        <v>52</v>
      </c>
    </row>
    <row r="1916" customFormat="false" ht="15" hidden="false" customHeight="false" outlineLevel="0" collapsed="false">
      <c r="A1916" s="6" t="s">
        <v>94</v>
      </c>
      <c r="B1916" s="7" t="s">
        <v>814</v>
      </c>
    </row>
    <row r="1917" customFormat="false" ht="15" hidden="false" customHeight="false" outlineLevel="0" collapsed="false">
      <c r="A1917" s="8"/>
      <c r="B1917" s="9" t="s">
        <v>718</v>
      </c>
      <c r="C1917" s="8"/>
      <c r="D1917" s="9" t="s">
        <v>719</v>
      </c>
      <c r="E1917" s="8"/>
      <c r="F1917" s="9" t="s">
        <v>694</v>
      </c>
    </row>
    <row r="1918" customFormat="false" ht="15" hidden="false" customHeight="false" outlineLevel="0" collapsed="false">
      <c r="B1918" s="10" t="s">
        <v>695</v>
      </c>
      <c r="C1918" s="10" t="s">
        <v>696</v>
      </c>
      <c r="D1918" s="10" t="s">
        <v>695</v>
      </c>
      <c r="E1918" s="10" t="s">
        <v>696</v>
      </c>
    </row>
    <row r="1919" customFormat="false" ht="15" hidden="false" customHeight="false" outlineLevel="0" collapsed="false">
      <c r="A1919" s="11" t="s">
        <v>697</v>
      </c>
    </row>
    <row r="1920" customFormat="false" ht="15" hidden="false" customHeight="false" outlineLevel="0" collapsed="false">
      <c r="A1920" s="12" t="s">
        <v>698</v>
      </c>
      <c r="B1920" s="12" t="n">
        <f aca="false">COUNTIFS(Cleaned!$C$2:$C$125,1,Cleaned!CQ$2:CQ$125,0)</f>
        <v>4</v>
      </c>
      <c r="C1920" s="13" t="n">
        <f aca="false">IFERROR(B1920/$F1920,"")</f>
        <v>1</v>
      </c>
      <c r="D1920" s="12" t="n">
        <f aca="false">COUNTIFS(Cleaned!$C$2:$C$125,1,Cleaned!CQ$2:CQ$125,1)</f>
        <v>0</v>
      </c>
      <c r="E1920" s="13" t="n">
        <f aca="false">IFERROR(D1920/$F1920,"")</f>
        <v>0</v>
      </c>
      <c r="F1920" s="12" t="n">
        <f aca="false">B1920+D1920</f>
        <v>4</v>
      </c>
    </row>
    <row r="1921" customFormat="false" ht="15" hidden="false" customHeight="false" outlineLevel="0" collapsed="false">
      <c r="A1921" s="12" t="s">
        <v>699</v>
      </c>
      <c r="B1921" s="12" t="n">
        <f aca="false">COUNTIFS(Cleaned!$C$2:$C$125,2,Cleaned!CQ$2:CQ$125,0)</f>
        <v>6</v>
      </c>
      <c r="C1921" s="13" t="n">
        <f aca="false">IFERROR(B1921/$F1921,"")</f>
        <v>0.857142857142857</v>
      </c>
      <c r="D1921" s="12" t="n">
        <f aca="false">COUNTIFS(Cleaned!$C$2:$C$125,2,Cleaned!CQ$2:CQ$125,1)</f>
        <v>1</v>
      </c>
      <c r="E1921" s="13" t="n">
        <f aca="false">IFERROR(D1921/$F1921,"")</f>
        <v>0.142857142857143</v>
      </c>
      <c r="F1921" s="12" t="n">
        <f aca="false">B1921+D1921</f>
        <v>7</v>
      </c>
    </row>
    <row r="1922" customFormat="false" ht="15" hidden="false" customHeight="false" outlineLevel="0" collapsed="false">
      <c r="A1922" s="12" t="s">
        <v>700</v>
      </c>
      <c r="B1922" s="12" t="n">
        <f aca="false">COUNTIFS(Cleaned!$C$2:$C$125,3,Cleaned!CQ$2:CQ$125,0)</f>
        <v>10</v>
      </c>
      <c r="C1922" s="13" t="n">
        <f aca="false">IFERROR(B1922/$F1922,"")</f>
        <v>0.833333333333333</v>
      </c>
      <c r="D1922" s="12" t="n">
        <f aca="false">COUNTIFS(Cleaned!$C$2:$C$125,3,Cleaned!CQ$2:CQ$125,1)</f>
        <v>2</v>
      </c>
      <c r="E1922" s="13" t="n">
        <f aca="false">IFERROR(D1922/$F1922,"")</f>
        <v>0.166666666666667</v>
      </c>
      <c r="F1922" s="12" t="n">
        <f aca="false">B1922+D1922</f>
        <v>12</v>
      </c>
    </row>
    <row r="1923" customFormat="false" ht="15" hidden="false" customHeight="false" outlineLevel="0" collapsed="false">
      <c r="A1923" s="12" t="s">
        <v>701</v>
      </c>
      <c r="B1923" s="12" t="n">
        <f aca="false">COUNTIFS(Cleaned!$C$2:$C$125,4,Cleaned!CQ$2:CQ$125,0)</f>
        <v>9</v>
      </c>
      <c r="C1923" s="13" t="n">
        <f aca="false">IFERROR(B1923/$F1923,"")</f>
        <v>0.9</v>
      </c>
      <c r="D1923" s="12" t="n">
        <f aca="false">COUNTIFS(Cleaned!$C$2:$C$125,4,Cleaned!CQ$2:CQ$125,1)</f>
        <v>1</v>
      </c>
      <c r="E1923" s="13" t="n">
        <f aca="false">IFERROR(D1923/$F1923,"")</f>
        <v>0.1</v>
      </c>
      <c r="F1923" s="12" t="n">
        <f aca="false">B1923+D1923</f>
        <v>10</v>
      </c>
    </row>
    <row r="1924" customFormat="false" ht="15" hidden="false" customHeight="false" outlineLevel="0" collapsed="false">
      <c r="A1924" s="12" t="s">
        <v>702</v>
      </c>
      <c r="B1924" s="12" t="n">
        <f aca="false">COUNTIFS(Cleaned!$C$2:$C$125,5,Cleaned!CQ$2:CQ$125,0)</f>
        <v>14</v>
      </c>
      <c r="C1924" s="13" t="n">
        <f aca="false">IFERROR(B1924/$F1924,"")</f>
        <v>0.736842105263158</v>
      </c>
      <c r="D1924" s="12" t="n">
        <f aca="false">COUNTIFS(Cleaned!$C$2:$C$125,5,Cleaned!CQ$2:CQ$125,1)</f>
        <v>5</v>
      </c>
      <c r="E1924" s="13" t="n">
        <f aca="false">IFERROR(D1924/$F1924,"")</f>
        <v>0.263157894736842</v>
      </c>
      <c r="F1924" s="12" t="n">
        <f aca="false">B1924+D1924</f>
        <v>19</v>
      </c>
    </row>
    <row r="1925" customFormat="false" ht="15" hidden="false" customHeight="false" outlineLevel="0" collapsed="false">
      <c r="A1925" s="11" t="s">
        <v>703</v>
      </c>
      <c r="B1925" s="11" t="n">
        <f aca="false">SUM(B1920:B1924)</f>
        <v>43</v>
      </c>
      <c r="C1925" s="14" t="n">
        <f aca="false">IFERROR(B1925/$F1925,"")</f>
        <v>0.826923076923077</v>
      </c>
      <c r="D1925" s="11" t="n">
        <f aca="false">SUM(D1920:D1924)</f>
        <v>9</v>
      </c>
      <c r="E1925" s="14" t="n">
        <f aca="false">IFERROR(D1925/$F1925,"")</f>
        <v>0.173076923076923</v>
      </c>
      <c r="F1925" s="11" t="n">
        <f aca="false">SUM(F1920:F1924)</f>
        <v>52</v>
      </c>
    </row>
    <row r="1926" customFormat="false" ht="15" hidden="false" customHeight="false" outlineLevel="0" collapsed="false">
      <c r="A1926" s="11" t="s">
        <v>3</v>
      </c>
    </row>
    <row r="1927" customFormat="false" ht="15" hidden="false" customHeight="false" outlineLevel="0" collapsed="false">
      <c r="A1927" s="12" t="s">
        <v>704</v>
      </c>
      <c r="B1927" s="12" t="n">
        <f aca="false">COUNTIFS(Cleaned!$D$2:$D$125,1,Cleaned!CQ$2:CQ$125,0)</f>
        <v>5</v>
      </c>
      <c r="C1927" s="13" t="n">
        <f aca="false">IFERROR(B1927/$F1927,"")</f>
        <v>0.833333333333333</v>
      </c>
      <c r="D1927" s="12" t="n">
        <f aca="false">COUNTIFS(Cleaned!$D$2:$D$125,1,Cleaned!CQ$2:CQ$125,1)</f>
        <v>1</v>
      </c>
      <c r="E1927" s="13" t="n">
        <f aca="false">IFERROR(D1927/$F1927,"")</f>
        <v>0.166666666666667</v>
      </c>
      <c r="F1927" s="12" t="n">
        <f aca="false">B1927+D1927</f>
        <v>6</v>
      </c>
    </row>
    <row r="1928" customFormat="false" ht="15" hidden="false" customHeight="false" outlineLevel="0" collapsed="false">
      <c r="A1928" s="12" t="s">
        <v>705</v>
      </c>
      <c r="B1928" s="12" t="n">
        <f aca="false">COUNTIFS(Cleaned!$D$2:$D$125,2,Cleaned!CQ$2:CQ$125,0)</f>
        <v>7</v>
      </c>
      <c r="C1928" s="13" t="n">
        <f aca="false">IFERROR(B1928/$F1928,"")</f>
        <v>0.583333333333333</v>
      </c>
      <c r="D1928" s="12" t="n">
        <f aca="false">COUNTIFS(Cleaned!$D$2:$D$125,2,Cleaned!CQ$2:CQ$125,1)</f>
        <v>5</v>
      </c>
      <c r="E1928" s="13" t="n">
        <f aca="false">IFERROR(D1928/$F1928,"")</f>
        <v>0.416666666666667</v>
      </c>
      <c r="F1928" s="12" t="n">
        <f aca="false">B1928+D1928</f>
        <v>12</v>
      </c>
    </row>
    <row r="1929" customFormat="false" ht="15" hidden="false" customHeight="false" outlineLevel="0" collapsed="false">
      <c r="A1929" s="12" t="s">
        <v>706</v>
      </c>
      <c r="B1929" s="12" t="n">
        <f aca="false">COUNTIFS(Cleaned!$D$2:$D$125,3,Cleaned!CQ$2:CQ$125,0)</f>
        <v>5</v>
      </c>
      <c r="C1929" s="13" t="n">
        <f aca="false">IFERROR(B1929/$F1929,"")</f>
        <v>0.833333333333333</v>
      </c>
      <c r="D1929" s="12" t="n">
        <f aca="false">COUNTIFS(Cleaned!$D$2:$D$125,3,Cleaned!CQ$2:CQ$125,1)</f>
        <v>1</v>
      </c>
      <c r="E1929" s="13" t="n">
        <f aca="false">IFERROR(D1929/$F1929,"")</f>
        <v>0.166666666666667</v>
      </c>
      <c r="F1929" s="12" t="n">
        <f aca="false">B1929+D1929</f>
        <v>6</v>
      </c>
    </row>
    <row r="1930" customFormat="false" ht="15" hidden="false" customHeight="false" outlineLevel="0" collapsed="false">
      <c r="A1930" s="12" t="s">
        <v>707</v>
      </c>
      <c r="B1930" s="12" t="n">
        <f aca="false">COUNTIFS(Cleaned!$D$2:$D$125,4,Cleaned!CQ$2:CQ$125,0)</f>
        <v>5</v>
      </c>
      <c r="C1930" s="13" t="n">
        <f aca="false">IFERROR(B1930/$F1930,"")</f>
        <v>0.833333333333333</v>
      </c>
      <c r="D1930" s="12" t="n">
        <f aca="false">COUNTIFS(Cleaned!$D$2:$D$125,4,Cleaned!CQ$2:CQ$125,1)</f>
        <v>1</v>
      </c>
      <c r="E1930" s="13" t="n">
        <f aca="false">IFERROR(D1930/$F1930,"")</f>
        <v>0.166666666666667</v>
      </c>
      <c r="F1930" s="12" t="n">
        <f aca="false">B1930+D1930</f>
        <v>6</v>
      </c>
    </row>
    <row r="1931" customFormat="false" ht="15" hidden="false" customHeight="false" outlineLevel="0" collapsed="false">
      <c r="A1931" s="12" t="s">
        <v>708</v>
      </c>
      <c r="B1931" s="12" t="n">
        <f aca="false">COUNTIFS(Cleaned!$D$2:$D$125,5,Cleaned!CQ$2:CQ$125,0)</f>
        <v>1</v>
      </c>
      <c r="C1931" s="13" t="n">
        <f aca="false">IFERROR(B1931/$F1931,"")</f>
        <v>1</v>
      </c>
      <c r="D1931" s="12" t="n">
        <f aca="false">COUNTIFS(Cleaned!$D$2:$D$125,5,Cleaned!CQ$2:CQ$125,1)</f>
        <v>0</v>
      </c>
      <c r="E1931" s="13" t="n">
        <f aca="false">IFERROR(D1931/$F1931,"")</f>
        <v>0</v>
      </c>
      <c r="F1931" s="12" t="n">
        <f aca="false">B1931+D1931</f>
        <v>1</v>
      </c>
    </row>
    <row r="1932" customFormat="false" ht="15" hidden="false" customHeight="false" outlineLevel="0" collapsed="false">
      <c r="A1932" s="12" t="s">
        <v>709</v>
      </c>
      <c r="B1932" s="12" t="n">
        <f aca="false">COUNTIFS(Cleaned!$D$2:$D$125,6,Cleaned!CQ$2:CQ$125,0)</f>
        <v>2</v>
      </c>
      <c r="C1932" s="13" t="n">
        <f aca="false">IFERROR(B1932/$F1932,"")</f>
        <v>1</v>
      </c>
      <c r="D1932" s="12" t="n">
        <f aca="false">COUNTIFS(Cleaned!$D$2:$D$125,6,Cleaned!CQ$2:CQ$125,1)</f>
        <v>0</v>
      </c>
      <c r="E1932" s="13" t="n">
        <f aca="false">IFERROR(D1932/$F1932,"")</f>
        <v>0</v>
      </c>
      <c r="F1932" s="12" t="n">
        <f aca="false">B1932+D1932</f>
        <v>2</v>
      </c>
    </row>
    <row r="1933" customFormat="false" ht="15" hidden="false" customHeight="false" outlineLevel="0" collapsed="false">
      <c r="A1933" s="12" t="s">
        <v>710</v>
      </c>
      <c r="B1933" s="12" t="n">
        <f aca="false">COUNTIFS(Cleaned!$D$2:$D$125,7,Cleaned!CQ$2:CQ$125,0)</f>
        <v>7</v>
      </c>
      <c r="C1933" s="13" t="n">
        <f aca="false">IFERROR(B1933/$F1933,"")</f>
        <v>1</v>
      </c>
      <c r="D1933" s="12" t="n">
        <f aca="false">COUNTIFS(Cleaned!$D$2:$D$125,7,Cleaned!CQ$2:CQ$125,1)</f>
        <v>0</v>
      </c>
      <c r="E1933" s="13" t="n">
        <f aca="false">IFERROR(D1933/$F1933,"")</f>
        <v>0</v>
      </c>
      <c r="F1933" s="12" t="n">
        <f aca="false">B1933+D1933</f>
        <v>7</v>
      </c>
    </row>
    <row r="1934" customFormat="false" ht="15" hidden="false" customHeight="false" outlineLevel="0" collapsed="false">
      <c r="A1934" s="12" t="s">
        <v>711</v>
      </c>
      <c r="B1934" s="12" t="n">
        <f aca="false">COUNTIFS(Cleaned!$D$2:$D$125,8,Cleaned!CQ$2:CQ$125,0)</f>
        <v>3</v>
      </c>
      <c r="C1934" s="13" t="n">
        <f aca="false">IFERROR(B1934/$F1934,"")</f>
        <v>1</v>
      </c>
      <c r="D1934" s="12" t="n">
        <f aca="false">COUNTIFS(Cleaned!$D$2:$D$125,8,Cleaned!CQ$2:CQ$125,1)</f>
        <v>0</v>
      </c>
      <c r="E1934" s="13" t="n">
        <f aca="false">IFERROR(D1934/$F1934,"")</f>
        <v>0</v>
      </c>
      <c r="F1934" s="12" t="n">
        <f aca="false">B1934+D1934</f>
        <v>3</v>
      </c>
    </row>
    <row r="1935" customFormat="false" ht="15" hidden="false" customHeight="false" outlineLevel="0" collapsed="false">
      <c r="A1935" s="12" t="s">
        <v>712</v>
      </c>
      <c r="B1935" s="12" t="n">
        <f aca="false">COUNTIFS(Cleaned!$D$2:$D$125,9,Cleaned!CQ$2:CQ$125,0)</f>
        <v>2</v>
      </c>
      <c r="C1935" s="13" t="n">
        <f aca="false">IFERROR(B1935/$F1935,"")</f>
        <v>1</v>
      </c>
      <c r="D1935" s="12" t="n">
        <f aca="false">COUNTIFS(Cleaned!$D$2:$D$125,9,Cleaned!CQ$2:CQ$125,1)</f>
        <v>0</v>
      </c>
      <c r="E1935" s="13" t="n">
        <f aca="false">IFERROR(D1935/$F1935,"")</f>
        <v>0</v>
      </c>
      <c r="F1935" s="12" t="n">
        <f aca="false">B1935+D1935</f>
        <v>2</v>
      </c>
    </row>
    <row r="1936" customFormat="false" ht="15" hidden="false" customHeight="false" outlineLevel="0" collapsed="false">
      <c r="A1936" s="12" t="s">
        <v>713</v>
      </c>
      <c r="B1936" s="12" t="n">
        <f aca="false">COUNTIFS(Cleaned!$D$2:$D$125,10,Cleaned!CQ$2:CQ$125,0)</f>
        <v>0</v>
      </c>
      <c r="C1936" s="13" t="str">
        <f aca="false">IFERROR(B1936/$F1936,"")</f>
        <v/>
      </c>
      <c r="D1936" s="12" t="n">
        <f aca="false">COUNTIFS(Cleaned!$D$2:$D$125,10,Cleaned!CQ$2:CQ$125,1)</f>
        <v>0</v>
      </c>
      <c r="E1936" s="13" t="str">
        <f aca="false">IFERROR(D1936/$F1936,"")</f>
        <v/>
      </c>
      <c r="F1936" s="12" t="n">
        <f aca="false">B1936+D1936</f>
        <v>0</v>
      </c>
    </row>
    <row r="1937" customFormat="false" ht="15" hidden="false" customHeight="false" outlineLevel="0" collapsed="false">
      <c r="A1937" s="12" t="s">
        <v>714</v>
      </c>
      <c r="B1937" s="12" t="n">
        <f aca="false">COUNTIFS(Cleaned!$D$2:$D$125,11,Cleaned!CQ$2:CQ$125,0)</f>
        <v>3</v>
      </c>
      <c r="C1937" s="13" t="n">
        <f aca="false">IFERROR(B1937/$F1937,"")</f>
        <v>0.75</v>
      </c>
      <c r="D1937" s="12" t="n">
        <f aca="false">COUNTIFS(Cleaned!$D$2:$D$125,11,Cleaned!CQ$2:CQ$125,1)</f>
        <v>1</v>
      </c>
      <c r="E1937" s="13" t="n">
        <f aca="false">IFERROR(D1937/$F1937,"")</f>
        <v>0.25</v>
      </c>
      <c r="F1937" s="12" t="n">
        <f aca="false">B1937+D1937</f>
        <v>4</v>
      </c>
    </row>
    <row r="1938" customFormat="false" ht="15" hidden="false" customHeight="false" outlineLevel="0" collapsed="false">
      <c r="A1938" s="12" t="s">
        <v>715</v>
      </c>
      <c r="B1938" s="12" t="n">
        <f aca="false">COUNTIFS(Cleaned!$D$2:$D$125,12,Cleaned!CQ$2:CQ$125,0)</f>
        <v>3</v>
      </c>
      <c r="C1938" s="13" t="n">
        <f aca="false">IFERROR(B1938/$F1938,"")</f>
        <v>1</v>
      </c>
      <c r="D1938" s="12" t="n">
        <f aca="false">COUNTIFS(Cleaned!$D$2:$D$125,12,Cleaned!CQ$2:CQ$125,1)</f>
        <v>0</v>
      </c>
      <c r="E1938" s="13" t="n">
        <f aca="false">IFERROR(D1938/$F1938,"")</f>
        <v>0</v>
      </c>
      <c r="F1938" s="12" t="n">
        <f aca="false">B1938+D1938</f>
        <v>3</v>
      </c>
    </row>
    <row r="1939" customFormat="false" ht="15" hidden="false" customHeight="false" outlineLevel="0" collapsed="false">
      <c r="A1939" s="11" t="s">
        <v>716</v>
      </c>
      <c r="B1939" s="11" t="n">
        <f aca="false">SUM(B1927:B1938)</f>
        <v>43</v>
      </c>
      <c r="C1939" s="14" t="n">
        <f aca="false">IFERROR(B1939/$F1939,"")</f>
        <v>0.826923076923077</v>
      </c>
      <c r="D1939" s="11" t="n">
        <f aca="false">SUM(D1927:D1938)</f>
        <v>9</v>
      </c>
      <c r="E1939" s="14" t="n">
        <f aca="false">IFERROR(D1939/$F1939,"")</f>
        <v>0.173076923076923</v>
      </c>
      <c r="F1939" s="11" t="n">
        <f aca="false">SUM(F1927:F1938)</f>
        <v>52</v>
      </c>
    </row>
    <row r="1942" customFormat="false" ht="15" hidden="false" customHeight="false" outlineLevel="0" collapsed="false">
      <c r="A1942" s="6" t="s">
        <v>95</v>
      </c>
      <c r="B1942" s="7" t="s">
        <v>815</v>
      </c>
    </row>
    <row r="1943" customFormat="false" ht="15" hidden="false" customHeight="false" outlineLevel="0" collapsed="false">
      <c r="A1943" s="8"/>
      <c r="B1943" s="9" t="s">
        <v>718</v>
      </c>
      <c r="C1943" s="8"/>
      <c r="D1943" s="9" t="s">
        <v>719</v>
      </c>
      <c r="E1943" s="8"/>
      <c r="F1943" s="9" t="s">
        <v>694</v>
      </c>
    </row>
    <row r="1944" customFormat="false" ht="15" hidden="false" customHeight="false" outlineLevel="0" collapsed="false">
      <c r="B1944" s="10" t="s">
        <v>695</v>
      </c>
      <c r="C1944" s="10" t="s">
        <v>696</v>
      </c>
      <c r="D1944" s="10" t="s">
        <v>695</v>
      </c>
      <c r="E1944" s="10" t="s">
        <v>696</v>
      </c>
    </row>
    <row r="1945" customFormat="false" ht="15" hidden="false" customHeight="false" outlineLevel="0" collapsed="false">
      <c r="A1945" s="11" t="s">
        <v>697</v>
      </c>
    </row>
    <row r="1946" customFormat="false" ht="15" hidden="false" customHeight="false" outlineLevel="0" collapsed="false">
      <c r="A1946" s="12" t="s">
        <v>698</v>
      </c>
      <c r="B1946" s="12" t="n">
        <f aca="false">COUNTIFS(Cleaned!$C$2:$C$125,1,Cleaned!CR$2:CR$125,0)</f>
        <v>4</v>
      </c>
      <c r="C1946" s="13" t="n">
        <f aca="false">IFERROR(B1946/$F1946,"")</f>
        <v>1</v>
      </c>
      <c r="D1946" s="12" t="n">
        <f aca="false">COUNTIFS(Cleaned!$C$2:$C$125,1,Cleaned!CR$2:CR$125,1)</f>
        <v>0</v>
      </c>
      <c r="E1946" s="13" t="n">
        <f aca="false">IFERROR(D1946/$F1946,"")</f>
        <v>0</v>
      </c>
      <c r="F1946" s="12" t="n">
        <f aca="false">B1946+D1946</f>
        <v>4</v>
      </c>
    </row>
    <row r="1947" customFormat="false" ht="15" hidden="false" customHeight="false" outlineLevel="0" collapsed="false">
      <c r="A1947" s="12" t="s">
        <v>699</v>
      </c>
      <c r="B1947" s="12" t="n">
        <f aca="false">COUNTIFS(Cleaned!$C$2:$C$125,2,Cleaned!CR$2:CR$125,0)</f>
        <v>7</v>
      </c>
      <c r="C1947" s="13" t="n">
        <f aca="false">IFERROR(B1947/$F1947,"")</f>
        <v>1</v>
      </c>
      <c r="D1947" s="12" t="n">
        <f aca="false">COUNTIFS(Cleaned!$C$2:$C$125,2,Cleaned!CR$2:CR$125,1)</f>
        <v>0</v>
      </c>
      <c r="E1947" s="13" t="n">
        <f aca="false">IFERROR(D1947/$F1947,"")</f>
        <v>0</v>
      </c>
      <c r="F1947" s="12" t="n">
        <f aca="false">B1947+D1947</f>
        <v>7</v>
      </c>
    </row>
    <row r="1948" customFormat="false" ht="15" hidden="false" customHeight="false" outlineLevel="0" collapsed="false">
      <c r="A1948" s="12" t="s">
        <v>700</v>
      </c>
      <c r="B1948" s="12" t="n">
        <f aca="false">COUNTIFS(Cleaned!$C$2:$C$125,3,Cleaned!CR$2:CR$125,0)</f>
        <v>12</v>
      </c>
      <c r="C1948" s="13" t="n">
        <f aca="false">IFERROR(B1948/$F1948,"")</f>
        <v>1</v>
      </c>
      <c r="D1948" s="12" t="n">
        <f aca="false">COUNTIFS(Cleaned!$C$2:$C$125,3,Cleaned!CR$2:CR$125,1)</f>
        <v>0</v>
      </c>
      <c r="E1948" s="13" t="n">
        <f aca="false">IFERROR(D1948/$F1948,"")</f>
        <v>0</v>
      </c>
      <c r="F1948" s="12" t="n">
        <f aca="false">B1948+D1948</f>
        <v>12</v>
      </c>
    </row>
    <row r="1949" customFormat="false" ht="15" hidden="false" customHeight="false" outlineLevel="0" collapsed="false">
      <c r="A1949" s="12" t="s">
        <v>701</v>
      </c>
      <c r="B1949" s="12" t="n">
        <f aca="false">COUNTIFS(Cleaned!$C$2:$C$125,4,Cleaned!CR$2:CR$125,0)</f>
        <v>9</v>
      </c>
      <c r="C1949" s="13" t="n">
        <f aca="false">IFERROR(B1949/$F1949,"")</f>
        <v>0.9</v>
      </c>
      <c r="D1949" s="12" t="n">
        <f aca="false">COUNTIFS(Cleaned!$C$2:$C$125,4,Cleaned!CR$2:CR$125,1)</f>
        <v>1</v>
      </c>
      <c r="E1949" s="13" t="n">
        <f aca="false">IFERROR(D1949/$F1949,"")</f>
        <v>0.1</v>
      </c>
      <c r="F1949" s="12" t="n">
        <f aca="false">B1949+D1949</f>
        <v>10</v>
      </c>
    </row>
    <row r="1950" customFormat="false" ht="15" hidden="false" customHeight="false" outlineLevel="0" collapsed="false">
      <c r="A1950" s="12" t="s">
        <v>702</v>
      </c>
      <c r="B1950" s="12" t="n">
        <f aca="false">COUNTIFS(Cleaned!$C$2:$C$125,5,Cleaned!CR$2:CR$125,0)</f>
        <v>17</v>
      </c>
      <c r="C1950" s="13" t="n">
        <f aca="false">IFERROR(B1950/$F1950,"")</f>
        <v>0.894736842105263</v>
      </c>
      <c r="D1950" s="12" t="n">
        <f aca="false">COUNTIFS(Cleaned!$C$2:$C$125,5,Cleaned!CR$2:CR$125,1)</f>
        <v>2</v>
      </c>
      <c r="E1950" s="13" t="n">
        <f aca="false">IFERROR(D1950/$F1950,"")</f>
        <v>0.105263157894737</v>
      </c>
      <c r="F1950" s="12" t="n">
        <f aca="false">B1950+D1950</f>
        <v>19</v>
      </c>
    </row>
    <row r="1951" customFormat="false" ht="15" hidden="false" customHeight="false" outlineLevel="0" collapsed="false">
      <c r="A1951" s="11" t="s">
        <v>703</v>
      </c>
      <c r="B1951" s="11" t="n">
        <f aca="false">SUM(B1946:B1950)</f>
        <v>49</v>
      </c>
      <c r="C1951" s="14" t="n">
        <f aca="false">IFERROR(B1951/$F1951,"")</f>
        <v>0.942307692307692</v>
      </c>
      <c r="D1951" s="11" t="n">
        <f aca="false">SUM(D1946:D1950)</f>
        <v>3</v>
      </c>
      <c r="E1951" s="14" t="n">
        <f aca="false">IFERROR(D1951/$F1951,"")</f>
        <v>0.0576923076923077</v>
      </c>
      <c r="F1951" s="11" t="n">
        <f aca="false">SUM(F1946:F1950)</f>
        <v>52</v>
      </c>
    </row>
    <row r="1952" customFormat="false" ht="15" hidden="false" customHeight="false" outlineLevel="0" collapsed="false">
      <c r="A1952" s="11" t="s">
        <v>3</v>
      </c>
    </row>
    <row r="1953" customFormat="false" ht="15" hidden="false" customHeight="false" outlineLevel="0" collapsed="false">
      <c r="A1953" s="12" t="s">
        <v>704</v>
      </c>
      <c r="B1953" s="12" t="n">
        <f aca="false">COUNTIFS(Cleaned!$D$2:$D$125,1,Cleaned!CR$2:CR$125,0)</f>
        <v>6</v>
      </c>
      <c r="C1953" s="13" t="n">
        <f aca="false">IFERROR(B1953/$F1953,"")</f>
        <v>1</v>
      </c>
      <c r="D1953" s="12" t="n">
        <f aca="false">COUNTIFS(Cleaned!$D$2:$D$125,1,Cleaned!CR$2:CR$125,1)</f>
        <v>0</v>
      </c>
      <c r="E1953" s="13" t="n">
        <f aca="false">IFERROR(D1953/$F1953,"")</f>
        <v>0</v>
      </c>
      <c r="F1953" s="12" t="n">
        <f aca="false">B1953+D1953</f>
        <v>6</v>
      </c>
    </row>
    <row r="1954" customFormat="false" ht="15" hidden="false" customHeight="false" outlineLevel="0" collapsed="false">
      <c r="A1954" s="12" t="s">
        <v>705</v>
      </c>
      <c r="B1954" s="12" t="n">
        <f aca="false">COUNTIFS(Cleaned!$D$2:$D$125,2,Cleaned!CR$2:CR$125,0)</f>
        <v>10</v>
      </c>
      <c r="C1954" s="13" t="n">
        <f aca="false">IFERROR(B1954/$F1954,"")</f>
        <v>0.833333333333333</v>
      </c>
      <c r="D1954" s="12" t="n">
        <f aca="false">COUNTIFS(Cleaned!$D$2:$D$125,2,Cleaned!CR$2:CR$125,1)</f>
        <v>2</v>
      </c>
      <c r="E1954" s="13" t="n">
        <f aca="false">IFERROR(D1954/$F1954,"")</f>
        <v>0.166666666666667</v>
      </c>
      <c r="F1954" s="12" t="n">
        <f aca="false">B1954+D1954</f>
        <v>12</v>
      </c>
    </row>
    <row r="1955" customFormat="false" ht="15" hidden="false" customHeight="false" outlineLevel="0" collapsed="false">
      <c r="A1955" s="12" t="s">
        <v>706</v>
      </c>
      <c r="B1955" s="12" t="n">
        <f aca="false">COUNTIFS(Cleaned!$D$2:$D$125,3,Cleaned!CR$2:CR$125,0)</f>
        <v>6</v>
      </c>
      <c r="C1955" s="13" t="n">
        <f aca="false">IFERROR(B1955/$F1955,"")</f>
        <v>1</v>
      </c>
      <c r="D1955" s="12" t="n">
        <f aca="false">COUNTIFS(Cleaned!$D$2:$D$125,3,Cleaned!CR$2:CR$125,1)</f>
        <v>0</v>
      </c>
      <c r="E1955" s="13" t="n">
        <f aca="false">IFERROR(D1955/$F1955,"")</f>
        <v>0</v>
      </c>
      <c r="F1955" s="12" t="n">
        <f aca="false">B1955+D1955</f>
        <v>6</v>
      </c>
    </row>
    <row r="1956" customFormat="false" ht="15" hidden="false" customHeight="false" outlineLevel="0" collapsed="false">
      <c r="A1956" s="12" t="s">
        <v>707</v>
      </c>
      <c r="B1956" s="12" t="n">
        <f aca="false">COUNTIFS(Cleaned!$D$2:$D$125,4,Cleaned!CR$2:CR$125,0)</f>
        <v>6</v>
      </c>
      <c r="C1956" s="13" t="n">
        <f aca="false">IFERROR(B1956/$F1956,"")</f>
        <v>1</v>
      </c>
      <c r="D1956" s="12" t="n">
        <f aca="false">COUNTIFS(Cleaned!$D$2:$D$125,4,Cleaned!CR$2:CR$125,1)</f>
        <v>0</v>
      </c>
      <c r="E1956" s="13" t="n">
        <f aca="false">IFERROR(D1956/$F1956,"")</f>
        <v>0</v>
      </c>
      <c r="F1956" s="12" t="n">
        <f aca="false">B1956+D1956</f>
        <v>6</v>
      </c>
    </row>
    <row r="1957" customFormat="false" ht="15" hidden="false" customHeight="false" outlineLevel="0" collapsed="false">
      <c r="A1957" s="12" t="s">
        <v>708</v>
      </c>
      <c r="B1957" s="12" t="n">
        <f aca="false">COUNTIFS(Cleaned!$D$2:$D$125,5,Cleaned!CR$2:CR$125,0)</f>
        <v>1</v>
      </c>
      <c r="C1957" s="13" t="n">
        <f aca="false">IFERROR(B1957/$F1957,"")</f>
        <v>1</v>
      </c>
      <c r="D1957" s="12" t="n">
        <f aca="false">COUNTIFS(Cleaned!$D$2:$D$125,5,Cleaned!CR$2:CR$125,1)</f>
        <v>0</v>
      </c>
      <c r="E1957" s="13" t="n">
        <f aca="false">IFERROR(D1957/$F1957,"")</f>
        <v>0</v>
      </c>
      <c r="F1957" s="12" t="n">
        <f aca="false">B1957+D1957</f>
        <v>1</v>
      </c>
    </row>
    <row r="1958" customFormat="false" ht="15" hidden="false" customHeight="false" outlineLevel="0" collapsed="false">
      <c r="A1958" s="12" t="s">
        <v>709</v>
      </c>
      <c r="B1958" s="12" t="n">
        <f aca="false">COUNTIFS(Cleaned!$D$2:$D$125,6,Cleaned!CR$2:CR$125,0)</f>
        <v>2</v>
      </c>
      <c r="C1958" s="13" t="n">
        <f aca="false">IFERROR(B1958/$F1958,"")</f>
        <v>1</v>
      </c>
      <c r="D1958" s="12" t="n">
        <f aca="false">COUNTIFS(Cleaned!$D$2:$D$125,6,Cleaned!CR$2:CR$125,1)</f>
        <v>0</v>
      </c>
      <c r="E1958" s="13" t="n">
        <f aca="false">IFERROR(D1958/$F1958,"")</f>
        <v>0</v>
      </c>
      <c r="F1958" s="12" t="n">
        <f aca="false">B1958+D1958</f>
        <v>2</v>
      </c>
    </row>
    <row r="1959" customFormat="false" ht="15" hidden="false" customHeight="false" outlineLevel="0" collapsed="false">
      <c r="A1959" s="12" t="s">
        <v>710</v>
      </c>
      <c r="B1959" s="12" t="n">
        <f aca="false">COUNTIFS(Cleaned!$D$2:$D$125,7,Cleaned!CR$2:CR$125,0)</f>
        <v>7</v>
      </c>
      <c r="C1959" s="13" t="n">
        <f aca="false">IFERROR(B1959/$F1959,"")</f>
        <v>1</v>
      </c>
      <c r="D1959" s="12" t="n">
        <f aca="false">COUNTIFS(Cleaned!$D$2:$D$125,7,Cleaned!CR$2:CR$125,1)</f>
        <v>0</v>
      </c>
      <c r="E1959" s="13" t="n">
        <f aca="false">IFERROR(D1959/$F1959,"")</f>
        <v>0</v>
      </c>
      <c r="F1959" s="12" t="n">
        <f aca="false">B1959+D1959</f>
        <v>7</v>
      </c>
    </row>
    <row r="1960" customFormat="false" ht="15" hidden="false" customHeight="false" outlineLevel="0" collapsed="false">
      <c r="A1960" s="12" t="s">
        <v>711</v>
      </c>
      <c r="B1960" s="12" t="n">
        <f aca="false">COUNTIFS(Cleaned!$D$2:$D$125,8,Cleaned!CR$2:CR$125,0)</f>
        <v>3</v>
      </c>
      <c r="C1960" s="13" t="n">
        <f aca="false">IFERROR(B1960/$F1960,"")</f>
        <v>1</v>
      </c>
      <c r="D1960" s="12" t="n">
        <f aca="false">COUNTIFS(Cleaned!$D$2:$D$125,8,Cleaned!CR$2:CR$125,1)</f>
        <v>0</v>
      </c>
      <c r="E1960" s="13" t="n">
        <f aca="false">IFERROR(D1960/$F1960,"")</f>
        <v>0</v>
      </c>
      <c r="F1960" s="12" t="n">
        <f aca="false">B1960+D1960</f>
        <v>3</v>
      </c>
    </row>
    <row r="1961" customFormat="false" ht="15" hidden="false" customHeight="false" outlineLevel="0" collapsed="false">
      <c r="A1961" s="12" t="s">
        <v>712</v>
      </c>
      <c r="B1961" s="12" t="n">
        <f aca="false">COUNTIFS(Cleaned!$D$2:$D$125,9,Cleaned!CR$2:CR$125,0)</f>
        <v>2</v>
      </c>
      <c r="C1961" s="13" t="n">
        <f aca="false">IFERROR(B1961/$F1961,"")</f>
        <v>1</v>
      </c>
      <c r="D1961" s="12" t="n">
        <f aca="false">COUNTIFS(Cleaned!$D$2:$D$125,9,Cleaned!CR$2:CR$125,1)</f>
        <v>0</v>
      </c>
      <c r="E1961" s="13" t="n">
        <f aca="false">IFERROR(D1961/$F1961,"")</f>
        <v>0</v>
      </c>
      <c r="F1961" s="12" t="n">
        <f aca="false">B1961+D1961</f>
        <v>2</v>
      </c>
    </row>
    <row r="1962" customFormat="false" ht="15" hidden="false" customHeight="false" outlineLevel="0" collapsed="false">
      <c r="A1962" s="12" t="s">
        <v>713</v>
      </c>
      <c r="B1962" s="12" t="n">
        <f aca="false">COUNTIFS(Cleaned!$D$2:$D$125,10,Cleaned!CR$2:CR$125,0)</f>
        <v>0</v>
      </c>
      <c r="C1962" s="13" t="str">
        <f aca="false">IFERROR(B1962/$F1962,"")</f>
        <v/>
      </c>
      <c r="D1962" s="12" t="n">
        <f aca="false">COUNTIFS(Cleaned!$D$2:$D$125,10,Cleaned!CR$2:CR$125,1)</f>
        <v>0</v>
      </c>
      <c r="E1962" s="13" t="str">
        <f aca="false">IFERROR(D1962/$F1962,"")</f>
        <v/>
      </c>
      <c r="F1962" s="12" t="n">
        <f aca="false">B1962+D1962</f>
        <v>0</v>
      </c>
    </row>
    <row r="1963" customFormat="false" ht="15" hidden="false" customHeight="false" outlineLevel="0" collapsed="false">
      <c r="A1963" s="12" t="s">
        <v>714</v>
      </c>
      <c r="B1963" s="12" t="n">
        <f aca="false">COUNTIFS(Cleaned!$D$2:$D$125,11,Cleaned!CR$2:CR$125,0)</f>
        <v>3</v>
      </c>
      <c r="C1963" s="13" t="n">
        <f aca="false">IFERROR(B1963/$F1963,"")</f>
        <v>0.75</v>
      </c>
      <c r="D1963" s="12" t="n">
        <f aca="false">COUNTIFS(Cleaned!$D$2:$D$125,11,Cleaned!CR$2:CR$125,1)</f>
        <v>1</v>
      </c>
      <c r="E1963" s="13" t="n">
        <f aca="false">IFERROR(D1963/$F1963,"")</f>
        <v>0.25</v>
      </c>
      <c r="F1963" s="12" t="n">
        <f aca="false">B1963+D1963</f>
        <v>4</v>
      </c>
    </row>
    <row r="1964" customFormat="false" ht="15" hidden="false" customHeight="false" outlineLevel="0" collapsed="false">
      <c r="A1964" s="12" t="s">
        <v>715</v>
      </c>
      <c r="B1964" s="12" t="n">
        <f aca="false">COUNTIFS(Cleaned!$D$2:$D$125,12,Cleaned!CR$2:CR$125,0)</f>
        <v>3</v>
      </c>
      <c r="C1964" s="13" t="n">
        <f aca="false">IFERROR(B1964/$F1964,"")</f>
        <v>1</v>
      </c>
      <c r="D1964" s="12" t="n">
        <f aca="false">COUNTIFS(Cleaned!$D$2:$D$125,12,Cleaned!CR$2:CR$125,1)</f>
        <v>0</v>
      </c>
      <c r="E1964" s="13" t="n">
        <f aca="false">IFERROR(D1964/$F1964,"")</f>
        <v>0</v>
      </c>
      <c r="F1964" s="12" t="n">
        <f aca="false">B1964+D1964</f>
        <v>3</v>
      </c>
    </row>
    <row r="1965" customFormat="false" ht="15" hidden="false" customHeight="false" outlineLevel="0" collapsed="false">
      <c r="A1965" s="11" t="s">
        <v>716</v>
      </c>
      <c r="B1965" s="11" t="n">
        <f aca="false">SUM(B1953:B1964)</f>
        <v>49</v>
      </c>
      <c r="C1965" s="14" t="n">
        <f aca="false">IFERROR(B1965/$F1965,"")</f>
        <v>0.942307692307692</v>
      </c>
      <c r="D1965" s="11" t="n">
        <f aca="false">SUM(D1953:D1964)</f>
        <v>3</v>
      </c>
      <c r="E1965" s="14" t="n">
        <f aca="false">IFERROR(D1965/$F1965,"")</f>
        <v>0.0576923076923077</v>
      </c>
      <c r="F1965" s="11" t="n">
        <f aca="false">SUM(F1953:F1964)</f>
        <v>52</v>
      </c>
    </row>
    <row r="1968" customFormat="false" ht="15" hidden="false" customHeight="false" outlineLevel="0" collapsed="false">
      <c r="A1968" s="6" t="s">
        <v>96</v>
      </c>
      <c r="B1968" s="7" t="s">
        <v>816</v>
      </c>
    </row>
    <row r="1969" customFormat="false" ht="15" hidden="false" customHeight="false" outlineLevel="0" collapsed="false">
      <c r="A1969" s="8"/>
      <c r="B1969" s="9" t="s">
        <v>718</v>
      </c>
      <c r="C1969" s="8"/>
      <c r="D1969" s="9" t="s">
        <v>719</v>
      </c>
      <c r="E1969" s="8"/>
      <c r="F1969" s="9" t="s">
        <v>694</v>
      </c>
    </row>
    <row r="1970" customFormat="false" ht="15" hidden="false" customHeight="false" outlineLevel="0" collapsed="false">
      <c r="B1970" s="10" t="s">
        <v>695</v>
      </c>
      <c r="C1970" s="10" t="s">
        <v>696</v>
      </c>
      <c r="D1970" s="10" t="s">
        <v>695</v>
      </c>
      <c r="E1970" s="10" t="s">
        <v>696</v>
      </c>
    </row>
    <row r="1971" customFormat="false" ht="15" hidden="false" customHeight="false" outlineLevel="0" collapsed="false">
      <c r="A1971" s="11" t="s">
        <v>697</v>
      </c>
    </row>
    <row r="1972" customFormat="false" ht="15" hidden="false" customHeight="false" outlineLevel="0" collapsed="false">
      <c r="A1972" s="12" t="s">
        <v>698</v>
      </c>
      <c r="B1972" s="12" t="n">
        <f aca="false">COUNTIFS(Cleaned!$C$2:$C$125,1,Cleaned!CS$2:CS$125,0)</f>
        <v>1</v>
      </c>
      <c r="C1972" s="13" t="n">
        <f aca="false">IFERROR(B1972/$F1972,"")</f>
        <v>0.25</v>
      </c>
      <c r="D1972" s="12" t="n">
        <f aca="false">COUNTIFS(Cleaned!$C$2:$C$125,1,Cleaned!CS$2:CS$125,1)</f>
        <v>3</v>
      </c>
      <c r="E1972" s="13" t="n">
        <f aca="false">IFERROR(D1972/$F1972,"")</f>
        <v>0.75</v>
      </c>
      <c r="F1972" s="12" t="n">
        <f aca="false">B1972+D1972</f>
        <v>4</v>
      </c>
    </row>
    <row r="1973" customFormat="false" ht="15" hidden="false" customHeight="false" outlineLevel="0" collapsed="false">
      <c r="A1973" s="12" t="s">
        <v>699</v>
      </c>
      <c r="B1973" s="12" t="n">
        <f aca="false">COUNTIFS(Cleaned!$C$2:$C$125,2,Cleaned!CS$2:CS$125,0)</f>
        <v>4</v>
      </c>
      <c r="C1973" s="13" t="n">
        <f aca="false">IFERROR(B1973/$F1973,"")</f>
        <v>0.571428571428571</v>
      </c>
      <c r="D1973" s="12" t="n">
        <f aca="false">COUNTIFS(Cleaned!$C$2:$C$125,2,Cleaned!CS$2:CS$125,1)</f>
        <v>3</v>
      </c>
      <c r="E1973" s="13" t="n">
        <f aca="false">IFERROR(D1973/$F1973,"")</f>
        <v>0.428571428571429</v>
      </c>
      <c r="F1973" s="12" t="n">
        <f aca="false">B1973+D1973</f>
        <v>7</v>
      </c>
    </row>
    <row r="1974" customFormat="false" ht="15" hidden="false" customHeight="false" outlineLevel="0" collapsed="false">
      <c r="A1974" s="12" t="s">
        <v>700</v>
      </c>
      <c r="B1974" s="12" t="n">
        <f aca="false">COUNTIFS(Cleaned!$C$2:$C$125,3,Cleaned!CS$2:CS$125,0)</f>
        <v>9</v>
      </c>
      <c r="C1974" s="13" t="n">
        <f aca="false">IFERROR(B1974/$F1974,"")</f>
        <v>0.75</v>
      </c>
      <c r="D1974" s="12" t="n">
        <f aca="false">COUNTIFS(Cleaned!$C$2:$C$125,3,Cleaned!CS$2:CS$125,1)</f>
        <v>3</v>
      </c>
      <c r="E1974" s="13" t="n">
        <f aca="false">IFERROR(D1974/$F1974,"")</f>
        <v>0.25</v>
      </c>
      <c r="F1974" s="12" t="n">
        <f aca="false">B1974+D1974</f>
        <v>12</v>
      </c>
    </row>
    <row r="1975" customFormat="false" ht="15" hidden="false" customHeight="false" outlineLevel="0" collapsed="false">
      <c r="A1975" s="12" t="s">
        <v>701</v>
      </c>
      <c r="B1975" s="12" t="n">
        <f aca="false">COUNTIFS(Cleaned!$C$2:$C$125,4,Cleaned!CS$2:CS$125,0)</f>
        <v>5</v>
      </c>
      <c r="C1975" s="13" t="n">
        <f aca="false">IFERROR(B1975/$F1975,"")</f>
        <v>0.5</v>
      </c>
      <c r="D1975" s="12" t="n">
        <f aca="false">COUNTIFS(Cleaned!$C$2:$C$125,4,Cleaned!CS$2:CS$125,1)</f>
        <v>5</v>
      </c>
      <c r="E1975" s="13" t="n">
        <f aca="false">IFERROR(D1975/$F1975,"")</f>
        <v>0.5</v>
      </c>
      <c r="F1975" s="12" t="n">
        <f aca="false">B1975+D1975</f>
        <v>10</v>
      </c>
    </row>
    <row r="1976" customFormat="false" ht="15" hidden="false" customHeight="false" outlineLevel="0" collapsed="false">
      <c r="A1976" s="12" t="s">
        <v>702</v>
      </c>
      <c r="B1976" s="12" t="n">
        <f aca="false">COUNTIFS(Cleaned!$C$2:$C$125,5,Cleaned!CS$2:CS$125,0)</f>
        <v>9</v>
      </c>
      <c r="C1976" s="13" t="n">
        <f aca="false">IFERROR(B1976/$F1976,"")</f>
        <v>0.473684210526316</v>
      </c>
      <c r="D1976" s="12" t="n">
        <f aca="false">COUNTIFS(Cleaned!$C$2:$C$125,5,Cleaned!CS$2:CS$125,1)</f>
        <v>10</v>
      </c>
      <c r="E1976" s="13" t="n">
        <f aca="false">IFERROR(D1976/$F1976,"")</f>
        <v>0.526315789473684</v>
      </c>
      <c r="F1976" s="12" t="n">
        <f aca="false">B1976+D1976</f>
        <v>19</v>
      </c>
    </row>
    <row r="1977" customFormat="false" ht="15" hidden="false" customHeight="false" outlineLevel="0" collapsed="false">
      <c r="A1977" s="11" t="s">
        <v>703</v>
      </c>
      <c r="B1977" s="11" t="n">
        <f aca="false">SUM(B1972:B1976)</f>
        <v>28</v>
      </c>
      <c r="C1977" s="14" t="n">
        <f aca="false">IFERROR(B1977/$F1977,"")</f>
        <v>0.538461538461538</v>
      </c>
      <c r="D1977" s="11" t="n">
        <f aca="false">SUM(D1972:D1976)</f>
        <v>24</v>
      </c>
      <c r="E1977" s="14" t="n">
        <f aca="false">IFERROR(D1977/$F1977,"")</f>
        <v>0.461538461538462</v>
      </c>
      <c r="F1977" s="11" t="n">
        <f aca="false">SUM(F1972:F1976)</f>
        <v>52</v>
      </c>
    </row>
    <row r="1978" customFormat="false" ht="15" hidden="false" customHeight="false" outlineLevel="0" collapsed="false">
      <c r="A1978" s="11" t="s">
        <v>3</v>
      </c>
    </row>
    <row r="1979" customFormat="false" ht="15" hidden="false" customHeight="false" outlineLevel="0" collapsed="false">
      <c r="A1979" s="12" t="s">
        <v>704</v>
      </c>
      <c r="B1979" s="12" t="n">
        <f aca="false">COUNTIFS(Cleaned!$D$2:$D$125,1,Cleaned!CS$2:CS$125,0)</f>
        <v>2</v>
      </c>
      <c r="C1979" s="13" t="n">
        <f aca="false">IFERROR(B1979/$F1979,"")</f>
        <v>0.333333333333333</v>
      </c>
      <c r="D1979" s="12" t="n">
        <f aca="false">COUNTIFS(Cleaned!$D$2:$D$125,1,Cleaned!CS$2:CS$125,1)</f>
        <v>4</v>
      </c>
      <c r="E1979" s="13" t="n">
        <f aca="false">IFERROR(D1979/$F1979,"")</f>
        <v>0.666666666666667</v>
      </c>
      <c r="F1979" s="12" t="n">
        <f aca="false">B1979+D1979</f>
        <v>6</v>
      </c>
    </row>
    <row r="1980" customFormat="false" ht="15" hidden="false" customHeight="false" outlineLevel="0" collapsed="false">
      <c r="A1980" s="12" t="s">
        <v>705</v>
      </c>
      <c r="B1980" s="12" t="n">
        <f aca="false">COUNTIFS(Cleaned!$D$2:$D$125,2,Cleaned!CS$2:CS$125,0)</f>
        <v>8</v>
      </c>
      <c r="C1980" s="13" t="n">
        <f aca="false">IFERROR(B1980/$F1980,"")</f>
        <v>0.666666666666667</v>
      </c>
      <c r="D1980" s="12" t="n">
        <f aca="false">COUNTIFS(Cleaned!$D$2:$D$125,2,Cleaned!CS$2:CS$125,1)</f>
        <v>4</v>
      </c>
      <c r="E1980" s="13" t="n">
        <f aca="false">IFERROR(D1980/$F1980,"")</f>
        <v>0.333333333333333</v>
      </c>
      <c r="F1980" s="12" t="n">
        <f aca="false">B1980+D1980</f>
        <v>12</v>
      </c>
    </row>
    <row r="1981" customFormat="false" ht="15" hidden="false" customHeight="false" outlineLevel="0" collapsed="false">
      <c r="A1981" s="12" t="s">
        <v>706</v>
      </c>
      <c r="B1981" s="12" t="n">
        <f aca="false">COUNTIFS(Cleaned!$D$2:$D$125,3,Cleaned!CS$2:CS$125,0)</f>
        <v>3</v>
      </c>
      <c r="C1981" s="13" t="n">
        <f aca="false">IFERROR(B1981/$F1981,"")</f>
        <v>0.5</v>
      </c>
      <c r="D1981" s="12" t="n">
        <f aca="false">COUNTIFS(Cleaned!$D$2:$D$125,3,Cleaned!CS$2:CS$125,1)</f>
        <v>3</v>
      </c>
      <c r="E1981" s="13" t="n">
        <f aca="false">IFERROR(D1981/$F1981,"")</f>
        <v>0.5</v>
      </c>
      <c r="F1981" s="12" t="n">
        <f aca="false">B1981+D1981</f>
        <v>6</v>
      </c>
    </row>
    <row r="1982" customFormat="false" ht="15" hidden="false" customHeight="false" outlineLevel="0" collapsed="false">
      <c r="A1982" s="12" t="s">
        <v>707</v>
      </c>
      <c r="B1982" s="12" t="n">
        <f aca="false">COUNTIFS(Cleaned!$D$2:$D$125,4,Cleaned!CS$2:CS$125,0)</f>
        <v>4</v>
      </c>
      <c r="C1982" s="13" t="n">
        <f aca="false">IFERROR(B1982/$F1982,"")</f>
        <v>0.666666666666667</v>
      </c>
      <c r="D1982" s="12" t="n">
        <f aca="false">COUNTIFS(Cleaned!$D$2:$D$125,4,Cleaned!CS$2:CS$125,1)</f>
        <v>2</v>
      </c>
      <c r="E1982" s="13" t="n">
        <f aca="false">IFERROR(D1982/$F1982,"")</f>
        <v>0.333333333333333</v>
      </c>
      <c r="F1982" s="12" t="n">
        <f aca="false">B1982+D1982</f>
        <v>6</v>
      </c>
    </row>
    <row r="1983" customFormat="false" ht="15" hidden="false" customHeight="false" outlineLevel="0" collapsed="false">
      <c r="A1983" s="12" t="s">
        <v>708</v>
      </c>
      <c r="B1983" s="12" t="n">
        <f aca="false">COUNTIFS(Cleaned!$D$2:$D$125,5,Cleaned!CS$2:CS$125,0)</f>
        <v>1</v>
      </c>
      <c r="C1983" s="13" t="n">
        <f aca="false">IFERROR(B1983/$F1983,"")</f>
        <v>1</v>
      </c>
      <c r="D1983" s="12" t="n">
        <f aca="false">COUNTIFS(Cleaned!$D$2:$D$125,5,Cleaned!CS$2:CS$125,1)</f>
        <v>0</v>
      </c>
      <c r="E1983" s="13" t="n">
        <f aca="false">IFERROR(D1983/$F1983,"")</f>
        <v>0</v>
      </c>
      <c r="F1983" s="12" t="n">
        <f aca="false">B1983+D1983</f>
        <v>1</v>
      </c>
    </row>
    <row r="1984" customFormat="false" ht="15" hidden="false" customHeight="false" outlineLevel="0" collapsed="false">
      <c r="A1984" s="12" t="s">
        <v>709</v>
      </c>
      <c r="B1984" s="12" t="n">
        <f aca="false">COUNTIFS(Cleaned!$D$2:$D$125,6,Cleaned!CS$2:CS$125,0)</f>
        <v>0</v>
      </c>
      <c r="C1984" s="13" t="n">
        <f aca="false">IFERROR(B1984/$F1984,"")</f>
        <v>0</v>
      </c>
      <c r="D1984" s="12" t="n">
        <f aca="false">COUNTIFS(Cleaned!$D$2:$D$125,6,Cleaned!CS$2:CS$125,1)</f>
        <v>2</v>
      </c>
      <c r="E1984" s="13" t="n">
        <f aca="false">IFERROR(D1984/$F1984,"")</f>
        <v>1</v>
      </c>
      <c r="F1984" s="12" t="n">
        <f aca="false">B1984+D1984</f>
        <v>2</v>
      </c>
    </row>
    <row r="1985" customFormat="false" ht="15" hidden="false" customHeight="false" outlineLevel="0" collapsed="false">
      <c r="A1985" s="12" t="s">
        <v>710</v>
      </c>
      <c r="B1985" s="12" t="n">
        <f aca="false">COUNTIFS(Cleaned!$D$2:$D$125,7,Cleaned!CS$2:CS$125,0)</f>
        <v>5</v>
      </c>
      <c r="C1985" s="13" t="n">
        <f aca="false">IFERROR(B1985/$F1985,"")</f>
        <v>0.714285714285714</v>
      </c>
      <c r="D1985" s="12" t="n">
        <f aca="false">COUNTIFS(Cleaned!$D$2:$D$125,7,Cleaned!CS$2:CS$125,1)</f>
        <v>2</v>
      </c>
      <c r="E1985" s="13" t="n">
        <f aca="false">IFERROR(D1985/$F1985,"")</f>
        <v>0.285714285714286</v>
      </c>
      <c r="F1985" s="12" t="n">
        <f aca="false">B1985+D1985</f>
        <v>7</v>
      </c>
    </row>
    <row r="1986" customFormat="false" ht="15" hidden="false" customHeight="false" outlineLevel="0" collapsed="false">
      <c r="A1986" s="12" t="s">
        <v>711</v>
      </c>
      <c r="B1986" s="12" t="n">
        <f aca="false">COUNTIFS(Cleaned!$D$2:$D$125,8,Cleaned!CS$2:CS$125,0)</f>
        <v>2</v>
      </c>
      <c r="C1986" s="13" t="n">
        <f aca="false">IFERROR(B1986/$F1986,"")</f>
        <v>0.666666666666667</v>
      </c>
      <c r="D1986" s="12" t="n">
        <f aca="false">COUNTIFS(Cleaned!$D$2:$D$125,8,Cleaned!CS$2:CS$125,1)</f>
        <v>1</v>
      </c>
      <c r="E1986" s="13" t="n">
        <f aca="false">IFERROR(D1986/$F1986,"")</f>
        <v>0.333333333333333</v>
      </c>
      <c r="F1986" s="12" t="n">
        <f aca="false">B1986+D1986</f>
        <v>3</v>
      </c>
    </row>
    <row r="1987" customFormat="false" ht="15" hidden="false" customHeight="false" outlineLevel="0" collapsed="false">
      <c r="A1987" s="12" t="s">
        <v>712</v>
      </c>
      <c r="B1987" s="12" t="n">
        <f aca="false">COUNTIFS(Cleaned!$D$2:$D$125,9,Cleaned!CS$2:CS$125,0)</f>
        <v>0</v>
      </c>
      <c r="C1987" s="13" t="n">
        <f aca="false">IFERROR(B1987/$F1987,"")</f>
        <v>0</v>
      </c>
      <c r="D1987" s="12" t="n">
        <f aca="false">COUNTIFS(Cleaned!$D$2:$D$125,9,Cleaned!CS$2:CS$125,1)</f>
        <v>2</v>
      </c>
      <c r="E1987" s="13" t="n">
        <f aca="false">IFERROR(D1987/$F1987,"")</f>
        <v>1</v>
      </c>
      <c r="F1987" s="12" t="n">
        <f aca="false">B1987+D1987</f>
        <v>2</v>
      </c>
    </row>
    <row r="1988" customFormat="false" ht="15" hidden="false" customHeight="false" outlineLevel="0" collapsed="false">
      <c r="A1988" s="12" t="s">
        <v>713</v>
      </c>
      <c r="B1988" s="12" t="n">
        <f aca="false">COUNTIFS(Cleaned!$D$2:$D$125,10,Cleaned!CS$2:CS$125,0)</f>
        <v>0</v>
      </c>
      <c r="C1988" s="13" t="str">
        <f aca="false">IFERROR(B1988/$F1988,"")</f>
        <v/>
      </c>
      <c r="D1988" s="12" t="n">
        <f aca="false">COUNTIFS(Cleaned!$D$2:$D$125,10,Cleaned!CS$2:CS$125,1)</f>
        <v>0</v>
      </c>
      <c r="E1988" s="13" t="str">
        <f aca="false">IFERROR(D1988/$F1988,"")</f>
        <v/>
      </c>
      <c r="F1988" s="12" t="n">
        <f aca="false">B1988+D1988</f>
        <v>0</v>
      </c>
    </row>
    <row r="1989" customFormat="false" ht="15" hidden="false" customHeight="false" outlineLevel="0" collapsed="false">
      <c r="A1989" s="12" t="s">
        <v>714</v>
      </c>
      <c r="B1989" s="12" t="n">
        <f aca="false">COUNTIFS(Cleaned!$D$2:$D$125,11,Cleaned!CS$2:CS$125,0)</f>
        <v>1</v>
      </c>
      <c r="C1989" s="13" t="n">
        <f aca="false">IFERROR(B1989/$F1989,"")</f>
        <v>0.25</v>
      </c>
      <c r="D1989" s="12" t="n">
        <f aca="false">COUNTIFS(Cleaned!$D$2:$D$125,11,Cleaned!CS$2:CS$125,1)</f>
        <v>3</v>
      </c>
      <c r="E1989" s="13" t="n">
        <f aca="false">IFERROR(D1989/$F1989,"")</f>
        <v>0.75</v>
      </c>
      <c r="F1989" s="12" t="n">
        <f aca="false">B1989+D1989</f>
        <v>4</v>
      </c>
    </row>
    <row r="1990" customFormat="false" ht="15" hidden="false" customHeight="false" outlineLevel="0" collapsed="false">
      <c r="A1990" s="12" t="s">
        <v>715</v>
      </c>
      <c r="B1990" s="12" t="n">
        <f aca="false">COUNTIFS(Cleaned!$D$2:$D$125,12,Cleaned!CS$2:CS$125,0)</f>
        <v>2</v>
      </c>
      <c r="C1990" s="13" t="n">
        <f aca="false">IFERROR(B1990/$F1990,"")</f>
        <v>0.666666666666667</v>
      </c>
      <c r="D1990" s="12" t="n">
        <f aca="false">COUNTIFS(Cleaned!$D$2:$D$125,12,Cleaned!CS$2:CS$125,1)</f>
        <v>1</v>
      </c>
      <c r="E1990" s="13" t="n">
        <f aca="false">IFERROR(D1990/$F1990,"")</f>
        <v>0.333333333333333</v>
      </c>
      <c r="F1990" s="12" t="n">
        <f aca="false">B1990+D1990</f>
        <v>3</v>
      </c>
    </row>
    <row r="1991" customFormat="false" ht="15" hidden="false" customHeight="false" outlineLevel="0" collapsed="false">
      <c r="A1991" s="11" t="s">
        <v>716</v>
      </c>
      <c r="B1991" s="11" t="n">
        <f aca="false">SUM(B1979:B1990)</f>
        <v>28</v>
      </c>
      <c r="C1991" s="14" t="n">
        <f aca="false">IFERROR(B1991/$F1991,"")</f>
        <v>0.538461538461538</v>
      </c>
      <c r="D1991" s="11" t="n">
        <f aca="false">SUM(D1979:D1990)</f>
        <v>24</v>
      </c>
      <c r="E1991" s="14" t="n">
        <f aca="false">IFERROR(D1991/$F1991,"")</f>
        <v>0.461538461538462</v>
      </c>
      <c r="F1991" s="11" t="n">
        <f aca="false">SUM(F1979:F1990)</f>
        <v>52</v>
      </c>
    </row>
    <row r="1994" customFormat="false" ht="15" hidden="false" customHeight="false" outlineLevel="0" collapsed="false">
      <c r="A1994" s="6" t="s">
        <v>98</v>
      </c>
      <c r="B1994" s="7" t="s">
        <v>817</v>
      </c>
    </row>
    <row r="1995" customFormat="false" ht="15" hidden="false" customHeight="false" outlineLevel="0" collapsed="false">
      <c r="A1995" s="8"/>
      <c r="B1995" s="9" t="s">
        <v>818</v>
      </c>
      <c r="C1995" s="8"/>
      <c r="D1995" s="9" t="s">
        <v>819</v>
      </c>
      <c r="E1995" s="8"/>
      <c r="F1995" s="9" t="s">
        <v>820</v>
      </c>
      <c r="G1995" s="8"/>
      <c r="H1995" s="9" t="s">
        <v>693</v>
      </c>
      <c r="I1995" s="8"/>
      <c r="J1995" s="9" t="s">
        <v>694</v>
      </c>
    </row>
    <row r="1996" customFormat="false" ht="15" hidden="false" customHeight="false" outlineLevel="0" collapsed="false">
      <c r="B1996" s="10" t="s">
        <v>695</v>
      </c>
      <c r="C1996" s="10" t="s">
        <v>696</v>
      </c>
      <c r="D1996" s="10" t="s">
        <v>695</v>
      </c>
      <c r="E1996" s="10" t="s">
        <v>696</v>
      </c>
      <c r="F1996" s="10" t="s">
        <v>695</v>
      </c>
      <c r="G1996" s="10" t="s">
        <v>696</v>
      </c>
      <c r="H1996" s="10" t="s">
        <v>695</v>
      </c>
      <c r="I1996" s="10" t="s">
        <v>696</v>
      </c>
    </row>
    <row r="1997" customFormat="false" ht="15" hidden="false" customHeight="false" outlineLevel="0" collapsed="false">
      <c r="A1997" s="11" t="s">
        <v>697</v>
      </c>
    </row>
    <row r="1998" customFormat="false" ht="15" hidden="false" customHeight="false" outlineLevel="0" collapsed="false">
      <c r="A1998" s="12" t="s">
        <v>698</v>
      </c>
      <c r="B1998" s="12" t="n">
        <f aca="false">COUNTIFS(Cleaned!$C$2:$C$125,1,Cleaned!CU$2:CU$125,1)</f>
        <v>5</v>
      </c>
      <c r="C1998" s="13" t="n">
        <f aca="false">IFERROR(B1998/$J1998,"")</f>
        <v>1</v>
      </c>
      <c r="D1998" s="12" t="n">
        <f aca="false">COUNTIFS(Cleaned!$C$2:$C$125,1,Cleaned!CU$2:CU$125,2)</f>
        <v>0</v>
      </c>
      <c r="E1998" s="13" t="n">
        <f aca="false">IFERROR(D1998/$J1998,"")</f>
        <v>0</v>
      </c>
      <c r="F1998" s="12" t="n">
        <f aca="false">COUNTIFS(Cleaned!$C$2:$C$125,1,Cleaned!CU$2:CU$125,3)</f>
        <v>0</v>
      </c>
      <c r="G1998" s="13" t="n">
        <f aca="false">IFERROR(F1998/$J1998,"")</f>
        <v>0</v>
      </c>
      <c r="H1998" s="12" t="n">
        <f aca="false">COUNTIFS(Cleaned!$C$2:$C$125,1,Cleaned!CU$2:CU$125,4)</f>
        <v>0</v>
      </c>
      <c r="I1998" s="13" t="n">
        <f aca="false">IFERROR(H1998/$J1998,"")</f>
        <v>0</v>
      </c>
      <c r="J1998" s="12" t="n">
        <f aca="false">B1998+D1998+F1998+H1998</f>
        <v>5</v>
      </c>
    </row>
    <row r="1999" customFormat="false" ht="15" hidden="false" customHeight="false" outlineLevel="0" collapsed="false">
      <c r="A1999" s="12" t="s">
        <v>699</v>
      </c>
      <c r="B1999" s="12" t="n">
        <f aca="false">COUNTIFS(Cleaned!$C$2:$C$125,2,Cleaned!CU$2:CU$125,1)</f>
        <v>5</v>
      </c>
      <c r="C1999" s="13" t="n">
        <f aca="false">IFERROR(B1999/$J1999,"")</f>
        <v>0.714285714285714</v>
      </c>
      <c r="D1999" s="12" t="n">
        <f aca="false">COUNTIFS(Cleaned!$C$2:$C$125,2,Cleaned!CU$2:CU$125,2)</f>
        <v>0</v>
      </c>
      <c r="E1999" s="13" t="n">
        <f aca="false">IFERROR(D1999/$J1999,"")</f>
        <v>0</v>
      </c>
      <c r="F1999" s="12" t="n">
        <f aca="false">COUNTIFS(Cleaned!$C$2:$C$125,2,Cleaned!CU$2:CU$125,3)</f>
        <v>0</v>
      </c>
      <c r="G1999" s="13" t="n">
        <f aca="false">IFERROR(F1999/$J1999,"")</f>
        <v>0</v>
      </c>
      <c r="H1999" s="12" t="n">
        <f aca="false">COUNTIFS(Cleaned!$C$2:$C$125,2,Cleaned!CU$2:CU$125,4)</f>
        <v>2</v>
      </c>
      <c r="I1999" s="13" t="n">
        <f aca="false">IFERROR(H1999/$J1999,"")</f>
        <v>0.285714285714286</v>
      </c>
      <c r="J1999" s="12" t="n">
        <f aca="false">B1999+D1999+F1999+H1999</f>
        <v>7</v>
      </c>
    </row>
    <row r="2000" customFormat="false" ht="15" hidden="false" customHeight="false" outlineLevel="0" collapsed="false">
      <c r="A2000" s="12" t="s">
        <v>700</v>
      </c>
      <c r="B2000" s="12" t="n">
        <f aca="false">COUNTIFS(Cleaned!$C$2:$C$125,3,Cleaned!CU$2:CU$125,1)</f>
        <v>3</v>
      </c>
      <c r="C2000" s="13" t="n">
        <f aca="false">IFERROR(B2000/$J2000,"")</f>
        <v>0.25</v>
      </c>
      <c r="D2000" s="12" t="n">
        <f aca="false">COUNTIFS(Cleaned!$C$2:$C$125,3,Cleaned!CU$2:CU$125,2)</f>
        <v>1</v>
      </c>
      <c r="E2000" s="13" t="n">
        <f aca="false">IFERROR(D2000/$J2000,"")</f>
        <v>0.0833333333333333</v>
      </c>
      <c r="F2000" s="12" t="n">
        <f aca="false">COUNTIFS(Cleaned!$C$2:$C$125,3,Cleaned!CU$2:CU$125,3)</f>
        <v>1</v>
      </c>
      <c r="G2000" s="13" t="n">
        <f aca="false">IFERROR(F2000/$J2000,"")</f>
        <v>0.0833333333333333</v>
      </c>
      <c r="H2000" s="12" t="n">
        <f aca="false">COUNTIFS(Cleaned!$C$2:$C$125,3,Cleaned!CU$2:CU$125,4)</f>
        <v>7</v>
      </c>
      <c r="I2000" s="13" t="n">
        <f aca="false">IFERROR(H2000/$J2000,"")</f>
        <v>0.583333333333333</v>
      </c>
      <c r="J2000" s="12" t="n">
        <f aca="false">B2000+D2000+F2000+H2000</f>
        <v>12</v>
      </c>
    </row>
    <row r="2001" customFormat="false" ht="15" hidden="false" customHeight="false" outlineLevel="0" collapsed="false">
      <c r="A2001" s="12" t="s">
        <v>701</v>
      </c>
      <c r="B2001" s="12" t="n">
        <f aca="false">COUNTIFS(Cleaned!$C$2:$C$125,4,Cleaned!CU$2:CU$125,1)</f>
        <v>4</v>
      </c>
      <c r="C2001" s="13" t="n">
        <f aca="false">IFERROR(B2001/$J2001,"")</f>
        <v>0.4</v>
      </c>
      <c r="D2001" s="12" t="n">
        <f aca="false">COUNTIFS(Cleaned!$C$2:$C$125,4,Cleaned!CU$2:CU$125,2)</f>
        <v>0</v>
      </c>
      <c r="E2001" s="13" t="n">
        <f aca="false">IFERROR(D2001/$J2001,"")</f>
        <v>0</v>
      </c>
      <c r="F2001" s="12" t="n">
        <f aca="false">COUNTIFS(Cleaned!$C$2:$C$125,4,Cleaned!CU$2:CU$125,3)</f>
        <v>2</v>
      </c>
      <c r="G2001" s="13" t="n">
        <f aca="false">IFERROR(F2001/$J2001,"")</f>
        <v>0.2</v>
      </c>
      <c r="H2001" s="12" t="n">
        <f aca="false">COUNTIFS(Cleaned!$C$2:$C$125,4,Cleaned!CU$2:CU$125,4)</f>
        <v>4</v>
      </c>
      <c r="I2001" s="13" t="n">
        <f aca="false">IFERROR(H2001/$J2001,"")</f>
        <v>0.4</v>
      </c>
      <c r="J2001" s="12" t="n">
        <f aca="false">B2001+D2001+F2001+H2001</f>
        <v>10</v>
      </c>
    </row>
    <row r="2002" customFormat="false" ht="15" hidden="false" customHeight="false" outlineLevel="0" collapsed="false">
      <c r="A2002" s="12" t="s">
        <v>702</v>
      </c>
      <c r="B2002" s="12" t="n">
        <f aca="false">COUNTIFS(Cleaned!$C$2:$C$125,5,Cleaned!CU$2:CU$125,1)</f>
        <v>3</v>
      </c>
      <c r="C2002" s="13" t="n">
        <f aca="false">IFERROR(B2002/$J2002,"")</f>
        <v>0.157894736842105</v>
      </c>
      <c r="D2002" s="12" t="n">
        <f aca="false">COUNTIFS(Cleaned!$C$2:$C$125,5,Cleaned!CU$2:CU$125,2)</f>
        <v>1</v>
      </c>
      <c r="E2002" s="13" t="n">
        <f aca="false">IFERROR(D2002/$J2002,"")</f>
        <v>0.0526315789473684</v>
      </c>
      <c r="F2002" s="12" t="n">
        <f aca="false">COUNTIFS(Cleaned!$C$2:$C$125,5,Cleaned!CU$2:CU$125,3)</f>
        <v>3</v>
      </c>
      <c r="G2002" s="13" t="n">
        <f aca="false">IFERROR(F2002/$J2002,"")</f>
        <v>0.157894736842105</v>
      </c>
      <c r="H2002" s="12" t="n">
        <f aca="false">COUNTIFS(Cleaned!$C$2:$C$125,5,Cleaned!CU$2:CU$125,4)</f>
        <v>12</v>
      </c>
      <c r="I2002" s="13" t="n">
        <f aca="false">IFERROR(H2002/$J2002,"")</f>
        <v>0.631578947368421</v>
      </c>
      <c r="J2002" s="12" t="n">
        <f aca="false">B2002+D2002+F2002+H2002</f>
        <v>19</v>
      </c>
    </row>
    <row r="2003" customFormat="false" ht="15" hidden="false" customHeight="false" outlineLevel="0" collapsed="false">
      <c r="A2003" s="11" t="s">
        <v>703</v>
      </c>
      <c r="B2003" s="11" t="n">
        <f aca="false">SUM(B1998:B2002)</f>
        <v>20</v>
      </c>
      <c r="C2003" s="14" t="n">
        <f aca="false">IFERROR(B2003/$J2003,"")</f>
        <v>0.377358490566038</v>
      </c>
      <c r="D2003" s="11" t="n">
        <f aca="false">SUM(D1998:D2002)</f>
        <v>2</v>
      </c>
      <c r="E2003" s="14" t="n">
        <f aca="false">IFERROR(D2003/$J2003,"")</f>
        <v>0.0377358490566038</v>
      </c>
      <c r="F2003" s="11" t="n">
        <f aca="false">SUM(F1998:F2002)</f>
        <v>6</v>
      </c>
      <c r="G2003" s="14" t="n">
        <f aca="false">IFERROR(F2003/$J2003,"")</f>
        <v>0.113207547169811</v>
      </c>
      <c r="H2003" s="11" t="n">
        <f aca="false">SUM(H1998:H2002)</f>
        <v>25</v>
      </c>
      <c r="I2003" s="14" t="n">
        <f aca="false">IFERROR(H2003/$J2003,"")</f>
        <v>0.471698113207547</v>
      </c>
      <c r="J2003" s="11" t="n">
        <f aca="false">SUM(J1998:J2002)</f>
        <v>53</v>
      </c>
    </row>
    <row r="2004" customFormat="false" ht="15" hidden="false" customHeight="false" outlineLevel="0" collapsed="false">
      <c r="A2004" s="11" t="s">
        <v>3</v>
      </c>
    </row>
    <row r="2005" customFormat="false" ht="15" hidden="false" customHeight="false" outlineLevel="0" collapsed="false">
      <c r="A2005" s="12" t="s">
        <v>704</v>
      </c>
      <c r="B2005" s="12" t="n">
        <f aca="false">COUNTIFS(Cleaned!$D$2:$D$125,1,Cleaned!CU$2:CU$125,1)</f>
        <v>1</v>
      </c>
      <c r="C2005" s="13" t="n">
        <f aca="false">IFERROR(B2005/$J2005,"")</f>
        <v>0.166666666666667</v>
      </c>
      <c r="D2005" s="12" t="n">
        <f aca="false">COUNTIFS(Cleaned!$D$2:$D$125,1,Cleaned!CU$2:CU$125,2)</f>
        <v>0</v>
      </c>
      <c r="E2005" s="13" t="n">
        <f aca="false">IFERROR(D2005/$J2005,"")</f>
        <v>0</v>
      </c>
      <c r="F2005" s="12" t="n">
        <f aca="false">COUNTIFS(Cleaned!$D$2:$D$125,1,Cleaned!CU$2:CU$125,3)</f>
        <v>0</v>
      </c>
      <c r="G2005" s="13" t="n">
        <f aca="false">IFERROR(F2005/$J2005,"")</f>
        <v>0</v>
      </c>
      <c r="H2005" s="12" t="n">
        <f aca="false">COUNTIFS(Cleaned!$D$2:$D$125,1,Cleaned!CU$2:CU$125,4)</f>
        <v>5</v>
      </c>
      <c r="I2005" s="13" t="n">
        <f aca="false">IFERROR(H2005/$J2005,"")</f>
        <v>0.833333333333333</v>
      </c>
      <c r="J2005" s="12" t="n">
        <f aca="false">B2005+D2005+F2005+H2005</f>
        <v>6</v>
      </c>
    </row>
    <row r="2006" customFormat="false" ht="15" hidden="false" customHeight="false" outlineLevel="0" collapsed="false">
      <c r="A2006" s="12" t="s">
        <v>705</v>
      </c>
      <c r="B2006" s="12" t="n">
        <f aca="false">COUNTIFS(Cleaned!$D$2:$D$125,2,Cleaned!CU$2:CU$125,1)</f>
        <v>2</v>
      </c>
      <c r="C2006" s="13" t="n">
        <f aca="false">IFERROR(B2006/$J2006,"")</f>
        <v>0.166666666666667</v>
      </c>
      <c r="D2006" s="12" t="n">
        <f aca="false">COUNTIFS(Cleaned!$D$2:$D$125,2,Cleaned!CU$2:CU$125,2)</f>
        <v>1</v>
      </c>
      <c r="E2006" s="13" t="n">
        <f aca="false">IFERROR(D2006/$J2006,"")</f>
        <v>0.0833333333333333</v>
      </c>
      <c r="F2006" s="12" t="n">
        <f aca="false">COUNTIFS(Cleaned!$D$2:$D$125,2,Cleaned!CU$2:CU$125,3)</f>
        <v>3</v>
      </c>
      <c r="G2006" s="13" t="n">
        <f aca="false">IFERROR(F2006/$J2006,"")</f>
        <v>0.25</v>
      </c>
      <c r="H2006" s="12" t="n">
        <f aca="false">COUNTIFS(Cleaned!$D$2:$D$125,2,Cleaned!CU$2:CU$125,4)</f>
        <v>6</v>
      </c>
      <c r="I2006" s="13" t="n">
        <f aca="false">IFERROR(H2006/$J2006,"")</f>
        <v>0.5</v>
      </c>
      <c r="J2006" s="12" t="n">
        <f aca="false">B2006+D2006+F2006+H2006</f>
        <v>12</v>
      </c>
    </row>
    <row r="2007" customFormat="false" ht="15" hidden="false" customHeight="false" outlineLevel="0" collapsed="false">
      <c r="A2007" s="12" t="s">
        <v>706</v>
      </c>
      <c r="B2007" s="12" t="n">
        <f aca="false">COUNTIFS(Cleaned!$D$2:$D$125,3,Cleaned!CU$2:CU$125,1)</f>
        <v>2</v>
      </c>
      <c r="C2007" s="13" t="n">
        <f aca="false">IFERROR(B2007/$J2007,"")</f>
        <v>0.333333333333333</v>
      </c>
      <c r="D2007" s="12" t="n">
        <f aca="false">COUNTIFS(Cleaned!$D$2:$D$125,3,Cleaned!CU$2:CU$125,2)</f>
        <v>0</v>
      </c>
      <c r="E2007" s="13" t="n">
        <f aca="false">IFERROR(D2007/$J2007,"")</f>
        <v>0</v>
      </c>
      <c r="F2007" s="12" t="n">
        <f aca="false">COUNTIFS(Cleaned!$D$2:$D$125,3,Cleaned!CU$2:CU$125,3)</f>
        <v>0</v>
      </c>
      <c r="G2007" s="13" t="n">
        <f aca="false">IFERROR(F2007/$J2007,"")</f>
        <v>0</v>
      </c>
      <c r="H2007" s="12" t="n">
        <f aca="false">COUNTIFS(Cleaned!$D$2:$D$125,3,Cleaned!CU$2:CU$125,4)</f>
        <v>4</v>
      </c>
      <c r="I2007" s="13" t="n">
        <f aca="false">IFERROR(H2007/$J2007,"")</f>
        <v>0.666666666666667</v>
      </c>
      <c r="J2007" s="12" t="n">
        <f aca="false">B2007+D2007+F2007+H2007</f>
        <v>6</v>
      </c>
    </row>
    <row r="2008" customFormat="false" ht="15" hidden="false" customHeight="false" outlineLevel="0" collapsed="false">
      <c r="A2008" s="12" t="s">
        <v>707</v>
      </c>
      <c r="B2008" s="12" t="n">
        <f aca="false">COUNTIFS(Cleaned!$D$2:$D$125,4,Cleaned!CU$2:CU$125,1)</f>
        <v>3</v>
      </c>
      <c r="C2008" s="13" t="n">
        <f aca="false">IFERROR(B2008/$J2008,"")</f>
        <v>0.5</v>
      </c>
      <c r="D2008" s="12" t="n">
        <f aca="false">COUNTIFS(Cleaned!$D$2:$D$125,4,Cleaned!CU$2:CU$125,2)</f>
        <v>0</v>
      </c>
      <c r="E2008" s="13" t="n">
        <f aca="false">IFERROR(D2008/$J2008,"")</f>
        <v>0</v>
      </c>
      <c r="F2008" s="12" t="n">
        <f aca="false">COUNTIFS(Cleaned!$D$2:$D$125,4,Cleaned!CU$2:CU$125,3)</f>
        <v>1</v>
      </c>
      <c r="G2008" s="13" t="n">
        <f aca="false">IFERROR(F2008/$J2008,"")</f>
        <v>0.166666666666667</v>
      </c>
      <c r="H2008" s="12" t="n">
        <f aca="false">COUNTIFS(Cleaned!$D$2:$D$125,4,Cleaned!CU$2:CU$125,4)</f>
        <v>2</v>
      </c>
      <c r="I2008" s="13" t="n">
        <f aca="false">IFERROR(H2008/$J2008,"")</f>
        <v>0.333333333333333</v>
      </c>
      <c r="J2008" s="12" t="n">
        <f aca="false">B2008+D2008+F2008+H2008</f>
        <v>6</v>
      </c>
    </row>
    <row r="2009" customFormat="false" ht="15" hidden="false" customHeight="false" outlineLevel="0" collapsed="false">
      <c r="A2009" s="12" t="s">
        <v>708</v>
      </c>
      <c r="B2009" s="12" t="n">
        <f aca="false">COUNTIFS(Cleaned!$D$2:$D$125,5,Cleaned!CU$2:CU$125,1)</f>
        <v>0</v>
      </c>
      <c r="C2009" s="13" t="n">
        <f aca="false">IFERROR(B2009/$J2009,"")</f>
        <v>0</v>
      </c>
      <c r="D2009" s="12" t="n">
        <f aca="false">COUNTIFS(Cleaned!$D$2:$D$125,5,Cleaned!CU$2:CU$125,2)</f>
        <v>0</v>
      </c>
      <c r="E2009" s="13" t="n">
        <f aca="false">IFERROR(D2009/$J2009,"")</f>
        <v>0</v>
      </c>
      <c r="F2009" s="12" t="n">
        <f aca="false">COUNTIFS(Cleaned!$D$2:$D$125,5,Cleaned!CU$2:CU$125,3)</f>
        <v>0</v>
      </c>
      <c r="G2009" s="13" t="n">
        <f aca="false">IFERROR(F2009/$J2009,"")</f>
        <v>0</v>
      </c>
      <c r="H2009" s="12" t="n">
        <f aca="false">COUNTIFS(Cleaned!$D$2:$D$125,5,Cleaned!CU$2:CU$125,4)</f>
        <v>1</v>
      </c>
      <c r="I2009" s="13" t="n">
        <f aca="false">IFERROR(H2009/$J2009,"")</f>
        <v>1</v>
      </c>
      <c r="J2009" s="12" t="n">
        <f aca="false">B2009+D2009+F2009+H2009</f>
        <v>1</v>
      </c>
    </row>
    <row r="2010" customFormat="false" ht="15" hidden="false" customHeight="false" outlineLevel="0" collapsed="false">
      <c r="A2010" s="12" t="s">
        <v>709</v>
      </c>
      <c r="B2010" s="12" t="n">
        <f aca="false">COUNTIFS(Cleaned!$D$2:$D$125,6,Cleaned!CU$2:CU$125,1)</f>
        <v>0</v>
      </c>
      <c r="C2010" s="13" t="n">
        <f aca="false">IFERROR(B2010/$J2010,"")</f>
        <v>0</v>
      </c>
      <c r="D2010" s="12" t="n">
        <f aca="false">COUNTIFS(Cleaned!$D$2:$D$125,6,Cleaned!CU$2:CU$125,2)</f>
        <v>0</v>
      </c>
      <c r="E2010" s="13" t="n">
        <f aca="false">IFERROR(D2010/$J2010,"")</f>
        <v>0</v>
      </c>
      <c r="F2010" s="12" t="n">
        <f aca="false">COUNTIFS(Cleaned!$D$2:$D$125,6,Cleaned!CU$2:CU$125,3)</f>
        <v>1</v>
      </c>
      <c r="G2010" s="13" t="n">
        <f aca="false">IFERROR(F2010/$J2010,"")</f>
        <v>0.5</v>
      </c>
      <c r="H2010" s="12" t="n">
        <f aca="false">COUNTIFS(Cleaned!$D$2:$D$125,6,Cleaned!CU$2:CU$125,4)</f>
        <v>1</v>
      </c>
      <c r="I2010" s="13" t="n">
        <f aca="false">IFERROR(H2010/$J2010,"")</f>
        <v>0.5</v>
      </c>
      <c r="J2010" s="12" t="n">
        <f aca="false">B2010+D2010+F2010+H2010</f>
        <v>2</v>
      </c>
    </row>
    <row r="2011" customFormat="false" ht="15" hidden="false" customHeight="false" outlineLevel="0" collapsed="false">
      <c r="A2011" s="12" t="s">
        <v>710</v>
      </c>
      <c r="B2011" s="12" t="n">
        <f aca="false">COUNTIFS(Cleaned!$D$2:$D$125,7,Cleaned!CU$2:CU$125,1)</f>
        <v>1</v>
      </c>
      <c r="C2011" s="13" t="n">
        <f aca="false">IFERROR(B2011/$J2011,"")</f>
        <v>0.142857142857143</v>
      </c>
      <c r="D2011" s="12" t="n">
        <f aca="false">COUNTIFS(Cleaned!$D$2:$D$125,7,Cleaned!CU$2:CU$125,2)</f>
        <v>1</v>
      </c>
      <c r="E2011" s="13" t="n">
        <f aca="false">IFERROR(D2011/$J2011,"")</f>
        <v>0.142857142857143</v>
      </c>
      <c r="F2011" s="12" t="n">
        <f aca="false">COUNTIFS(Cleaned!$D$2:$D$125,7,Cleaned!CU$2:CU$125,3)</f>
        <v>1</v>
      </c>
      <c r="G2011" s="13" t="n">
        <f aca="false">IFERROR(F2011/$J2011,"")</f>
        <v>0.142857142857143</v>
      </c>
      <c r="H2011" s="12" t="n">
        <f aca="false">COUNTIFS(Cleaned!$D$2:$D$125,7,Cleaned!CU$2:CU$125,4)</f>
        <v>4</v>
      </c>
      <c r="I2011" s="13" t="n">
        <f aca="false">IFERROR(H2011/$J2011,"")</f>
        <v>0.571428571428571</v>
      </c>
      <c r="J2011" s="12" t="n">
        <f aca="false">B2011+D2011+F2011+H2011</f>
        <v>7</v>
      </c>
    </row>
    <row r="2012" customFormat="false" ht="15" hidden="false" customHeight="false" outlineLevel="0" collapsed="false">
      <c r="A2012" s="12" t="s">
        <v>711</v>
      </c>
      <c r="B2012" s="12" t="n">
        <f aca="false">COUNTIFS(Cleaned!$D$2:$D$125,8,Cleaned!CU$2:CU$125,1)</f>
        <v>2</v>
      </c>
      <c r="C2012" s="13" t="n">
        <f aca="false">IFERROR(B2012/$J2012,"")</f>
        <v>0.666666666666667</v>
      </c>
      <c r="D2012" s="12" t="n">
        <f aca="false">COUNTIFS(Cleaned!$D$2:$D$125,8,Cleaned!CU$2:CU$125,2)</f>
        <v>0</v>
      </c>
      <c r="E2012" s="13" t="n">
        <f aca="false">IFERROR(D2012/$J2012,"")</f>
        <v>0</v>
      </c>
      <c r="F2012" s="12" t="n">
        <f aca="false">COUNTIFS(Cleaned!$D$2:$D$125,8,Cleaned!CU$2:CU$125,3)</f>
        <v>0</v>
      </c>
      <c r="G2012" s="13" t="n">
        <f aca="false">IFERROR(F2012/$J2012,"")</f>
        <v>0</v>
      </c>
      <c r="H2012" s="12" t="n">
        <f aca="false">COUNTIFS(Cleaned!$D$2:$D$125,8,Cleaned!CU$2:CU$125,4)</f>
        <v>1</v>
      </c>
      <c r="I2012" s="13" t="n">
        <f aca="false">IFERROR(H2012/$J2012,"")</f>
        <v>0.333333333333333</v>
      </c>
      <c r="J2012" s="12" t="n">
        <f aca="false">B2012+D2012+F2012+H2012</f>
        <v>3</v>
      </c>
    </row>
    <row r="2013" customFormat="false" ht="15" hidden="false" customHeight="false" outlineLevel="0" collapsed="false">
      <c r="A2013" s="12" t="s">
        <v>712</v>
      </c>
      <c r="B2013" s="12" t="n">
        <f aca="false">COUNTIFS(Cleaned!$D$2:$D$125,9,Cleaned!CU$2:CU$125,1)</f>
        <v>1</v>
      </c>
      <c r="C2013" s="13" t="n">
        <f aca="false">IFERROR(B2013/$J2013,"")</f>
        <v>0.5</v>
      </c>
      <c r="D2013" s="12" t="n">
        <f aca="false">COUNTIFS(Cleaned!$D$2:$D$125,9,Cleaned!CU$2:CU$125,2)</f>
        <v>0</v>
      </c>
      <c r="E2013" s="13" t="n">
        <f aca="false">IFERROR(D2013/$J2013,"")</f>
        <v>0</v>
      </c>
      <c r="F2013" s="12" t="n">
        <f aca="false">COUNTIFS(Cleaned!$D$2:$D$125,9,Cleaned!CU$2:CU$125,3)</f>
        <v>0</v>
      </c>
      <c r="G2013" s="13" t="n">
        <f aca="false">IFERROR(F2013/$J2013,"")</f>
        <v>0</v>
      </c>
      <c r="H2013" s="12" t="n">
        <f aca="false">COUNTIFS(Cleaned!$D$2:$D$125,9,Cleaned!CU$2:CU$125,4)</f>
        <v>1</v>
      </c>
      <c r="I2013" s="13" t="n">
        <f aca="false">IFERROR(H2013/$J2013,"")</f>
        <v>0.5</v>
      </c>
      <c r="J2013" s="12" t="n">
        <f aca="false">B2013+D2013+F2013+H2013</f>
        <v>2</v>
      </c>
    </row>
    <row r="2014" customFormat="false" ht="15" hidden="false" customHeight="false" outlineLevel="0" collapsed="false">
      <c r="A2014" s="12" t="s">
        <v>713</v>
      </c>
      <c r="B2014" s="12" t="n">
        <f aca="false">COUNTIFS(Cleaned!$D$2:$D$125,10,Cleaned!CU$2:CU$125,1)</f>
        <v>0</v>
      </c>
      <c r="C2014" s="13" t="str">
        <f aca="false">IFERROR(B2014/$J2014,"")</f>
        <v/>
      </c>
      <c r="D2014" s="12" t="n">
        <f aca="false">COUNTIFS(Cleaned!$D$2:$D$125,10,Cleaned!CU$2:CU$125,2)</f>
        <v>0</v>
      </c>
      <c r="E2014" s="13" t="str">
        <f aca="false">IFERROR(D2014/$J2014,"")</f>
        <v/>
      </c>
      <c r="F2014" s="12" t="n">
        <f aca="false">COUNTIFS(Cleaned!$D$2:$D$125,10,Cleaned!CU$2:CU$125,3)</f>
        <v>0</v>
      </c>
      <c r="G2014" s="13" t="str">
        <f aca="false">IFERROR(F2014/$J2014,"")</f>
        <v/>
      </c>
      <c r="H2014" s="12" t="n">
        <f aca="false">COUNTIFS(Cleaned!$D$2:$D$125,10,Cleaned!CU$2:CU$125,4)</f>
        <v>0</v>
      </c>
      <c r="I2014" s="13" t="str">
        <f aca="false">IFERROR(H2014/$J2014,"")</f>
        <v/>
      </c>
      <c r="J2014" s="12" t="n">
        <f aca="false">B2014+D2014+F2014+H2014</f>
        <v>0</v>
      </c>
    </row>
    <row r="2015" customFormat="false" ht="15" hidden="false" customHeight="false" outlineLevel="0" collapsed="false">
      <c r="A2015" s="12" t="s">
        <v>714</v>
      </c>
      <c r="B2015" s="12" t="n">
        <f aca="false">COUNTIFS(Cleaned!$D$2:$D$125,11,Cleaned!CU$2:CU$125,1)</f>
        <v>4</v>
      </c>
      <c r="C2015" s="13" t="n">
        <f aca="false">IFERROR(B2015/$J2015,"")</f>
        <v>1</v>
      </c>
      <c r="D2015" s="12" t="n">
        <f aca="false">COUNTIFS(Cleaned!$D$2:$D$125,11,Cleaned!CU$2:CU$125,2)</f>
        <v>0</v>
      </c>
      <c r="E2015" s="13" t="n">
        <f aca="false">IFERROR(D2015/$J2015,"")</f>
        <v>0</v>
      </c>
      <c r="F2015" s="12" t="n">
        <f aca="false">COUNTIFS(Cleaned!$D$2:$D$125,11,Cleaned!CU$2:CU$125,3)</f>
        <v>0</v>
      </c>
      <c r="G2015" s="13" t="n">
        <f aca="false">IFERROR(F2015/$J2015,"")</f>
        <v>0</v>
      </c>
      <c r="H2015" s="12" t="n">
        <f aca="false">COUNTIFS(Cleaned!$D$2:$D$125,11,Cleaned!CU$2:CU$125,4)</f>
        <v>0</v>
      </c>
      <c r="I2015" s="13" t="n">
        <f aca="false">IFERROR(H2015/$J2015,"")</f>
        <v>0</v>
      </c>
      <c r="J2015" s="12" t="n">
        <f aca="false">B2015+D2015+F2015+H2015</f>
        <v>4</v>
      </c>
    </row>
    <row r="2016" customFormat="false" ht="15" hidden="false" customHeight="false" outlineLevel="0" collapsed="false">
      <c r="A2016" s="12" t="s">
        <v>715</v>
      </c>
      <c r="B2016" s="12" t="n">
        <f aca="false">COUNTIFS(Cleaned!$D$2:$D$125,12,Cleaned!CU$2:CU$125,1)</f>
        <v>4</v>
      </c>
      <c r="C2016" s="13" t="n">
        <f aca="false">IFERROR(B2016/$J2016,"")</f>
        <v>1</v>
      </c>
      <c r="D2016" s="12" t="n">
        <f aca="false">COUNTIFS(Cleaned!$D$2:$D$125,12,Cleaned!CU$2:CU$125,2)</f>
        <v>0</v>
      </c>
      <c r="E2016" s="13" t="n">
        <f aca="false">IFERROR(D2016/$J2016,"")</f>
        <v>0</v>
      </c>
      <c r="F2016" s="12" t="n">
        <f aca="false">COUNTIFS(Cleaned!$D$2:$D$125,12,Cleaned!CU$2:CU$125,3)</f>
        <v>0</v>
      </c>
      <c r="G2016" s="13" t="n">
        <f aca="false">IFERROR(F2016/$J2016,"")</f>
        <v>0</v>
      </c>
      <c r="H2016" s="12" t="n">
        <f aca="false">COUNTIFS(Cleaned!$D$2:$D$125,12,Cleaned!CU$2:CU$125,4)</f>
        <v>0</v>
      </c>
      <c r="I2016" s="13" t="n">
        <f aca="false">IFERROR(H2016/$J2016,"")</f>
        <v>0</v>
      </c>
      <c r="J2016" s="12" t="n">
        <f aca="false">B2016+D2016+F2016+H2016</f>
        <v>4</v>
      </c>
    </row>
    <row r="2017" customFormat="false" ht="15" hidden="false" customHeight="false" outlineLevel="0" collapsed="false">
      <c r="A2017" s="11" t="s">
        <v>716</v>
      </c>
      <c r="B2017" s="11" t="n">
        <f aca="false">SUM(B2005:B2016)</f>
        <v>20</v>
      </c>
      <c r="C2017" s="14" t="n">
        <f aca="false">IFERROR(B2017/$J2017,"")</f>
        <v>0.377358490566038</v>
      </c>
      <c r="D2017" s="11" t="n">
        <f aca="false">SUM(D2005:D2016)</f>
        <v>2</v>
      </c>
      <c r="E2017" s="14" t="n">
        <f aca="false">IFERROR(D2017/$J2017,"")</f>
        <v>0.0377358490566038</v>
      </c>
      <c r="F2017" s="11" t="n">
        <f aca="false">SUM(F2005:F2016)</f>
        <v>6</v>
      </c>
      <c r="G2017" s="14" t="n">
        <f aca="false">IFERROR(F2017/$J2017,"")</f>
        <v>0.113207547169811</v>
      </c>
      <c r="H2017" s="11" t="n">
        <f aca="false">SUM(H2005:H2016)</f>
        <v>25</v>
      </c>
      <c r="I2017" s="14" t="n">
        <f aca="false">IFERROR(H2017/$J2017,"")</f>
        <v>0.471698113207547</v>
      </c>
      <c r="J2017" s="11" t="n">
        <f aca="false">SUM(J2005:J2016)</f>
        <v>53</v>
      </c>
    </row>
    <row r="2020" customFormat="false" ht="15" hidden="false" customHeight="false" outlineLevel="0" collapsed="false">
      <c r="A2020" s="6" t="s">
        <v>100</v>
      </c>
      <c r="B2020" s="7" t="s">
        <v>821</v>
      </c>
    </row>
    <row r="2021" customFormat="false" ht="15" hidden="false" customHeight="false" outlineLevel="0" collapsed="false">
      <c r="A2021" s="11" t="s">
        <v>734</v>
      </c>
      <c r="B2021" s="9" t="s">
        <v>694</v>
      </c>
      <c r="C2021" s="9" t="s">
        <v>735</v>
      </c>
      <c r="D2021" s="9" t="s">
        <v>736</v>
      </c>
      <c r="E2021" s="9" t="s">
        <v>737</v>
      </c>
      <c r="F2021" s="9" t="s">
        <v>738</v>
      </c>
    </row>
    <row r="2022" customFormat="false" ht="15" hidden="false" customHeight="false" outlineLevel="0" collapsed="false">
      <c r="B2022" s="12" t="n">
        <f aca="false">COUNT(Cleaned!$CW$2:$CW$125)</f>
        <v>42</v>
      </c>
      <c r="C2022" s="12" t="n">
        <f aca="false">IFERROR(AVERAGE(Cleaned!$CW$2:$CW$125),"")</f>
        <v>59.4226190476191</v>
      </c>
      <c r="D2022" s="12" t="n">
        <f aca="false">IFERROR(MEDIAN(Cleaned!$CW$2:$CW$125),"")</f>
        <v>55.675</v>
      </c>
      <c r="E2022" s="12" t="n">
        <f aca="false">IFERROR(MIN(Cleaned!$CW$2:$CW$125),"")</f>
        <v>7</v>
      </c>
      <c r="F2022" s="12" t="n">
        <f aca="false">IFERROR(MAX(Cleaned!$CW$2:$CW$125),"")</f>
        <v>132.59</v>
      </c>
    </row>
    <row r="2023" customFormat="false" ht="15" hidden="false" customHeight="false" outlineLevel="0" collapsed="false">
      <c r="A2023" s="11" t="s">
        <v>697</v>
      </c>
      <c r="B2023" s="9" t="s">
        <v>739</v>
      </c>
      <c r="C2023" s="9" t="s">
        <v>735</v>
      </c>
    </row>
    <row r="2024" customFormat="false" ht="15" hidden="false" customHeight="false" outlineLevel="0" collapsed="false">
      <c r="A2024" s="12" t="s">
        <v>698</v>
      </c>
      <c r="B2024" s="12" t="n">
        <f aca="false">COUNTIFS(Cleaned!$C$2:$C$125,1,Cleaned!CW$2:CW$125,"&lt;&gt;")</f>
        <v>4</v>
      </c>
      <c r="C2024" s="15" t="n">
        <f aca="false">IF(B2024=0,"",AVERAGEIF(Cleaned!$C$2:$C$125,1,Cleaned!CW$2:CW$125))</f>
        <v>39.0725</v>
      </c>
    </row>
    <row r="2025" customFormat="false" ht="15" hidden="false" customHeight="false" outlineLevel="0" collapsed="false">
      <c r="A2025" s="12" t="s">
        <v>699</v>
      </c>
      <c r="B2025" s="12" t="n">
        <f aca="false">COUNTIFS(Cleaned!$C$2:$C$125,2,Cleaned!CW$2:CW$125,"&lt;&gt;")</f>
        <v>7</v>
      </c>
      <c r="C2025" s="15" t="n">
        <f aca="false">IF(B2025=0,"",AVERAGEIF(Cleaned!$C$2:$C$125,2,Cleaned!CW$2:CW$125))</f>
        <v>60.6357142857143</v>
      </c>
    </row>
    <row r="2026" customFormat="false" ht="15" hidden="false" customHeight="false" outlineLevel="0" collapsed="false">
      <c r="A2026" s="12" t="s">
        <v>700</v>
      </c>
      <c r="B2026" s="12" t="n">
        <f aca="false">COUNTIFS(Cleaned!$C$2:$C$125,3,Cleaned!CW$2:CW$125,"&lt;&gt;")</f>
        <v>11</v>
      </c>
      <c r="C2026" s="15" t="n">
        <f aca="false">IF(B2026=0,"",AVERAGEIF(Cleaned!$C$2:$C$125,3,Cleaned!CW$2:CW$125))</f>
        <v>62.5645454545455</v>
      </c>
    </row>
    <row r="2027" customFormat="false" ht="15" hidden="false" customHeight="false" outlineLevel="0" collapsed="false">
      <c r="A2027" s="12" t="s">
        <v>701</v>
      </c>
      <c r="B2027" s="12" t="n">
        <f aca="false">COUNTIFS(Cleaned!$C$2:$C$125,4,Cleaned!CW$2:CW$125,"&lt;&gt;")</f>
        <v>8</v>
      </c>
      <c r="C2027" s="15" t="n">
        <f aca="false">IF(B2027=0,"",AVERAGEIF(Cleaned!$C$2:$C$125,4,Cleaned!CW$2:CW$125))</f>
        <v>63.0625</v>
      </c>
    </row>
    <row r="2028" customFormat="false" ht="15" hidden="false" customHeight="false" outlineLevel="0" collapsed="false">
      <c r="A2028" s="12" t="s">
        <v>702</v>
      </c>
      <c r="B2028" s="12" t="n">
        <f aca="false">COUNTIFS(Cleaned!$C$2:$C$125,5,Cleaned!CW$2:CW$125,"&lt;&gt;")</f>
        <v>12</v>
      </c>
      <c r="C2028" s="15" t="n">
        <f aca="false">IF(B2028=0,"",AVERAGEIF(Cleaned!$C$2:$C$125,5,Cleaned!CW$2:CW$125))</f>
        <v>60.1916666666667</v>
      </c>
    </row>
    <row r="2029" customFormat="false" ht="15" hidden="false" customHeight="false" outlineLevel="0" collapsed="false">
      <c r="A2029" s="11" t="s">
        <v>3</v>
      </c>
      <c r="B2029" s="9" t="s">
        <v>739</v>
      </c>
      <c r="C2029" s="9" t="s">
        <v>735</v>
      </c>
    </row>
    <row r="2030" customFormat="false" ht="15" hidden="false" customHeight="false" outlineLevel="0" collapsed="false">
      <c r="A2030" s="12" t="s">
        <v>704</v>
      </c>
      <c r="B2030" s="12" t="n">
        <f aca="false">COUNTIFS(Cleaned!$D$2:$D$125,1,Cleaned!CW$2:CW$125,"&lt;&gt;")</f>
        <v>5</v>
      </c>
      <c r="C2030" s="15" t="n">
        <f aca="false">IF(B2030=0,"",AVERAGEIF(Cleaned!$D$2:$D$125,1,Cleaned!CW$2:CW$125))</f>
        <v>66.622</v>
      </c>
    </row>
    <row r="2031" customFormat="false" ht="15" hidden="false" customHeight="false" outlineLevel="0" collapsed="false">
      <c r="A2031" s="12" t="s">
        <v>705</v>
      </c>
      <c r="B2031" s="12" t="n">
        <f aca="false">COUNTIFS(Cleaned!$D$2:$D$125,2,Cleaned!CW$2:CW$125,"&lt;&gt;")</f>
        <v>8</v>
      </c>
      <c r="C2031" s="15" t="n">
        <f aca="false">IF(B2031=0,"",AVERAGEIF(Cleaned!$D$2:$D$125,2,Cleaned!CW$2:CW$125))</f>
        <v>63.34625</v>
      </c>
    </row>
    <row r="2032" customFormat="false" ht="15" hidden="false" customHeight="false" outlineLevel="0" collapsed="false">
      <c r="A2032" s="12" t="s">
        <v>706</v>
      </c>
      <c r="B2032" s="12" t="n">
        <f aca="false">COUNTIFS(Cleaned!$D$2:$D$125,3,Cleaned!CW$2:CW$125,"&lt;&gt;")</f>
        <v>4</v>
      </c>
      <c r="C2032" s="15" t="n">
        <f aca="false">IF(B2032=0,"",AVERAGEIF(Cleaned!$D$2:$D$125,3,Cleaned!CW$2:CW$125))</f>
        <v>74.59</v>
      </c>
    </row>
    <row r="2033" customFormat="false" ht="15" hidden="false" customHeight="false" outlineLevel="0" collapsed="false">
      <c r="A2033" s="12" t="s">
        <v>707</v>
      </c>
      <c r="B2033" s="12" t="n">
        <f aca="false">COUNTIFS(Cleaned!$D$2:$D$125,4,Cleaned!CW$2:CW$125,"&lt;&gt;")</f>
        <v>6</v>
      </c>
      <c r="C2033" s="15" t="n">
        <f aca="false">IF(B2033=0,"",AVERAGEIF(Cleaned!$D$2:$D$125,4,Cleaned!CW$2:CW$125))</f>
        <v>76.4583333333333</v>
      </c>
    </row>
    <row r="2034" customFormat="false" ht="15" hidden="false" customHeight="false" outlineLevel="0" collapsed="false">
      <c r="A2034" s="12" t="s">
        <v>708</v>
      </c>
      <c r="B2034" s="12" t="n">
        <f aca="false">COUNTIFS(Cleaned!$D$2:$D$125,5,Cleaned!CW$2:CW$125,"&lt;&gt;")</f>
        <v>1</v>
      </c>
      <c r="C2034" s="15" t="n">
        <f aca="false">IF(B2034=0,"",AVERAGEIF(Cleaned!$D$2:$D$125,5,Cleaned!CW$2:CW$125))</f>
        <v>63.76</v>
      </c>
    </row>
    <row r="2035" customFormat="false" ht="15" hidden="false" customHeight="false" outlineLevel="0" collapsed="false">
      <c r="A2035" s="12" t="s">
        <v>709</v>
      </c>
      <c r="B2035" s="12" t="n">
        <f aca="false">COUNTIFS(Cleaned!$D$2:$D$125,6,Cleaned!CW$2:CW$125,"&lt;&gt;")</f>
        <v>0</v>
      </c>
      <c r="C2035" s="15" t="str">
        <f aca="false">IF(B2035=0,"",AVERAGEIF(Cleaned!$D$2:$D$125,6,Cleaned!CW$2:CW$125))</f>
        <v/>
      </c>
    </row>
    <row r="2036" customFormat="false" ht="15" hidden="false" customHeight="false" outlineLevel="0" collapsed="false">
      <c r="A2036" s="12" t="s">
        <v>710</v>
      </c>
      <c r="B2036" s="12" t="n">
        <f aca="false">COUNTIFS(Cleaned!$D$2:$D$125,7,Cleaned!CW$2:CW$125,"&lt;&gt;")</f>
        <v>6</v>
      </c>
      <c r="C2036" s="15" t="n">
        <f aca="false">IF(B2036=0,"",AVERAGEIF(Cleaned!$D$2:$D$125,7,Cleaned!CW$2:CW$125))</f>
        <v>44.9816666666667</v>
      </c>
    </row>
    <row r="2037" customFormat="false" ht="15" hidden="false" customHeight="false" outlineLevel="0" collapsed="false">
      <c r="A2037" s="12" t="s">
        <v>711</v>
      </c>
      <c r="B2037" s="12" t="n">
        <f aca="false">COUNTIFS(Cleaned!$D$2:$D$125,8,Cleaned!CW$2:CW$125,"&lt;&gt;")</f>
        <v>3</v>
      </c>
      <c r="C2037" s="15" t="n">
        <f aca="false">IF(B2037=0,"",AVERAGEIF(Cleaned!$D$2:$D$125,8,Cleaned!CW$2:CW$125))</f>
        <v>57.06</v>
      </c>
    </row>
    <row r="2038" customFormat="false" ht="15" hidden="false" customHeight="false" outlineLevel="0" collapsed="false">
      <c r="A2038" s="12" t="s">
        <v>712</v>
      </c>
      <c r="B2038" s="12" t="n">
        <f aca="false">COUNTIFS(Cleaned!$D$2:$D$125,9,Cleaned!CW$2:CW$125,"&lt;&gt;")</f>
        <v>1</v>
      </c>
      <c r="C2038" s="15" t="n">
        <f aca="false">IF(B2038=0,"",AVERAGEIF(Cleaned!$D$2:$D$125,9,Cleaned!CW$2:CW$125))</f>
        <v>37.03</v>
      </c>
    </row>
    <row r="2039" customFormat="false" ht="15" hidden="false" customHeight="false" outlineLevel="0" collapsed="false">
      <c r="A2039" s="12" t="s">
        <v>713</v>
      </c>
      <c r="B2039" s="12" t="n">
        <f aca="false">COUNTIFS(Cleaned!$D$2:$D$125,10,Cleaned!CW$2:CW$125,"&lt;&gt;")</f>
        <v>0</v>
      </c>
      <c r="C2039" s="15" t="str">
        <f aca="false">IF(B2039=0,"",AVERAGEIF(Cleaned!$D$2:$D$125,10,Cleaned!CW$2:CW$125))</f>
        <v/>
      </c>
    </row>
    <row r="2040" customFormat="false" ht="15" hidden="false" customHeight="false" outlineLevel="0" collapsed="false">
      <c r="A2040" s="12" t="s">
        <v>714</v>
      </c>
      <c r="B2040" s="12" t="n">
        <f aca="false">COUNTIFS(Cleaned!$D$2:$D$125,11,Cleaned!CW$2:CW$125,"&lt;&gt;")</f>
        <v>4</v>
      </c>
      <c r="C2040" s="15" t="n">
        <f aca="false">IF(B2040=0,"",AVERAGEIF(Cleaned!$D$2:$D$125,11,Cleaned!CW$2:CW$125))</f>
        <v>45.2775</v>
      </c>
    </row>
    <row r="2041" customFormat="false" ht="15" hidden="false" customHeight="false" outlineLevel="0" collapsed="false">
      <c r="A2041" s="12" t="s">
        <v>715</v>
      </c>
      <c r="B2041" s="12" t="n">
        <f aca="false">COUNTIFS(Cleaned!$D$2:$D$125,12,Cleaned!CW$2:CW$125,"&lt;&gt;")</f>
        <v>4</v>
      </c>
      <c r="C2041" s="15" t="n">
        <f aca="false">IF(B2041=0,"",AVERAGEIF(Cleaned!$D$2:$D$125,12,Cleaned!CW$2:CW$125))</f>
        <v>43.9475</v>
      </c>
    </row>
    <row r="2044" customFormat="false" ht="15" hidden="false" customHeight="false" outlineLevel="0" collapsed="false">
      <c r="A2044" s="6" t="s">
        <v>101</v>
      </c>
      <c r="B2044" s="7" t="s">
        <v>822</v>
      </c>
    </row>
    <row r="2045" customFormat="false" ht="15" hidden="false" customHeight="false" outlineLevel="0" collapsed="false">
      <c r="A2045" s="8"/>
      <c r="B2045" s="9" t="s">
        <v>726</v>
      </c>
      <c r="C2045" s="8"/>
      <c r="D2045" s="9" t="s">
        <v>362</v>
      </c>
      <c r="E2045" s="8"/>
      <c r="F2045" s="9" t="s">
        <v>694</v>
      </c>
    </row>
    <row r="2046" customFormat="false" ht="15" hidden="false" customHeight="false" outlineLevel="0" collapsed="false">
      <c r="B2046" s="10" t="s">
        <v>695</v>
      </c>
      <c r="C2046" s="10" t="s">
        <v>696</v>
      </c>
      <c r="D2046" s="10" t="s">
        <v>695</v>
      </c>
      <c r="E2046" s="10" t="s">
        <v>696</v>
      </c>
    </row>
    <row r="2047" customFormat="false" ht="15" hidden="false" customHeight="false" outlineLevel="0" collapsed="false">
      <c r="A2047" s="11" t="s">
        <v>697</v>
      </c>
    </row>
    <row r="2048" customFormat="false" ht="15" hidden="false" customHeight="false" outlineLevel="0" collapsed="false">
      <c r="A2048" s="12" t="s">
        <v>698</v>
      </c>
      <c r="B2048" s="12" t="n">
        <f aca="false">COUNTIFS(Cleaned!$C$2:$C$125,1,Cleaned!CX$2:CX$125,1)</f>
        <v>1</v>
      </c>
      <c r="C2048" s="13" t="n">
        <f aca="false">IFERROR(B2048/$F2048,"")</f>
        <v>0.0833333333333333</v>
      </c>
      <c r="D2048" s="12" t="n">
        <f aca="false">COUNTIFS(Cleaned!$C$2:$C$125,1,Cleaned!CX$2:CX$125,2)</f>
        <v>11</v>
      </c>
      <c r="E2048" s="13" t="n">
        <f aca="false">IFERROR(D2048/$F2048,"")</f>
        <v>0.916666666666667</v>
      </c>
      <c r="F2048" s="12" t="n">
        <f aca="false">B2048+D2048</f>
        <v>12</v>
      </c>
    </row>
    <row r="2049" customFormat="false" ht="15" hidden="false" customHeight="false" outlineLevel="0" collapsed="false">
      <c r="A2049" s="12" t="s">
        <v>699</v>
      </c>
      <c r="B2049" s="12" t="n">
        <f aca="false">COUNTIFS(Cleaned!$C$2:$C$125,2,Cleaned!CX$2:CX$125,1)</f>
        <v>2</v>
      </c>
      <c r="C2049" s="13" t="n">
        <f aca="false">IFERROR(B2049/$F2049,"")</f>
        <v>0.222222222222222</v>
      </c>
      <c r="D2049" s="12" t="n">
        <f aca="false">COUNTIFS(Cleaned!$C$2:$C$125,2,Cleaned!CX$2:CX$125,2)</f>
        <v>7</v>
      </c>
      <c r="E2049" s="13" t="n">
        <f aca="false">IFERROR(D2049/$F2049,"")</f>
        <v>0.777777777777778</v>
      </c>
      <c r="F2049" s="12" t="n">
        <f aca="false">B2049+D2049</f>
        <v>9</v>
      </c>
    </row>
    <row r="2050" customFormat="false" ht="15" hidden="false" customHeight="false" outlineLevel="0" collapsed="false">
      <c r="A2050" s="12" t="s">
        <v>700</v>
      </c>
      <c r="B2050" s="12" t="n">
        <f aca="false">COUNTIFS(Cleaned!$C$2:$C$125,3,Cleaned!CX$2:CX$125,1)</f>
        <v>2</v>
      </c>
      <c r="C2050" s="13" t="n">
        <f aca="false">IFERROR(B2050/$F2050,"")</f>
        <v>0.153846153846154</v>
      </c>
      <c r="D2050" s="12" t="n">
        <f aca="false">COUNTIFS(Cleaned!$C$2:$C$125,3,Cleaned!CX$2:CX$125,2)</f>
        <v>11</v>
      </c>
      <c r="E2050" s="13" t="n">
        <f aca="false">IFERROR(D2050/$F2050,"")</f>
        <v>0.846153846153846</v>
      </c>
      <c r="F2050" s="12" t="n">
        <f aca="false">B2050+D2050</f>
        <v>13</v>
      </c>
    </row>
    <row r="2051" customFormat="false" ht="15" hidden="false" customHeight="false" outlineLevel="0" collapsed="false">
      <c r="A2051" s="12" t="s">
        <v>701</v>
      </c>
      <c r="B2051" s="12" t="n">
        <f aca="false">COUNTIFS(Cleaned!$C$2:$C$125,4,Cleaned!CX$2:CX$125,1)</f>
        <v>7</v>
      </c>
      <c r="C2051" s="13" t="n">
        <f aca="false">IFERROR(B2051/$F2051,"")</f>
        <v>0.636363636363636</v>
      </c>
      <c r="D2051" s="12" t="n">
        <f aca="false">COUNTIFS(Cleaned!$C$2:$C$125,4,Cleaned!CX$2:CX$125,2)</f>
        <v>4</v>
      </c>
      <c r="E2051" s="13" t="n">
        <f aca="false">IFERROR(D2051/$F2051,"")</f>
        <v>0.363636363636364</v>
      </c>
      <c r="F2051" s="12" t="n">
        <f aca="false">B2051+D2051</f>
        <v>11</v>
      </c>
    </row>
    <row r="2052" customFormat="false" ht="15" hidden="false" customHeight="false" outlineLevel="0" collapsed="false">
      <c r="A2052" s="12" t="s">
        <v>702</v>
      </c>
      <c r="B2052" s="12" t="n">
        <f aca="false">COUNTIFS(Cleaned!$C$2:$C$125,5,Cleaned!CX$2:CX$125,1)</f>
        <v>22</v>
      </c>
      <c r="C2052" s="13" t="n">
        <f aca="false">IFERROR(B2052/$F2052,"")</f>
        <v>1</v>
      </c>
      <c r="D2052" s="12" t="n">
        <f aca="false">COUNTIFS(Cleaned!$C$2:$C$125,5,Cleaned!CX$2:CX$125,2)</f>
        <v>0</v>
      </c>
      <c r="E2052" s="13" t="n">
        <f aca="false">IFERROR(D2052/$F2052,"")</f>
        <v>0</v>
      </c>
      <c r="F2052" s="12" t="n">
        <f aca="false">B2052+D2052</f>
        <v>22</v>
      </c>
    </row>
    <row r="2053" customFormat="false" ht="15" hidden="false" customHeight="false" outlineLevel="0" collapsed="false">
      <c r="A2053" s="11" t="s">
        <v>703</v>
      </c>
      <c r="B2053" s="11" t="n">
        <f aca="false">SUM(B2048:B2052)</f>
        <v>34</v>
      </c>
      <c r="C2053" s="14" t="n">
        <f aca="false">IFERROR(B2053/$F2053,"")</f>
        <v>0.507462686567164</v>
      </c>
      <c r="D2053" s="11" t="n">
        <f aca="false">SUM(D2048:D2052)</f>
        <v>33</v>
      </c>
      <c r="E2053" s="14" t="n">
        <f aca="false">IFERROR(D2053/$F2053,"")</f>
        <v>0.492537313432836</v>
      </c>
      <c r="F2053" s="11" t="n">
        <f aca="false">SUM(F2048:F2052)</f>
        <v>67</v>
      </c>
    </row>
    <row r="2054" customFormat="false" ht="15" hidden="false" customHeight="false" outlineLevel="0" collapsed="false">
      <c r="A2054" s="11" t="s">
        <v>3</v>
      </c>
    </row>
    <row r="2055" customFormat="false" ht="15" hidden="false" customHeight="false" outlineLevel="0" collapsed="false">
      <c r="A2055" s="12" t="s">
        <v>704</v>
      </c>
      <c r="B2055" s="12" t="n">
        <f aca="false">COUNTIFS(Cleaned!$D$2:$D$125,1,Cleaned!CX$2:CX$125,1)</f>
        <v>3</v>
      </c>
      <c r="C2055" s="13" t="n">
        <f aca="false">IFERROR(B2055/$F2055,"")</f>
        <v>0.3</v>
      </c>
      <c r="D2055" s="12" t="n">
        <f aca="false">COUNTIFS(Cleaned!$D$2:$D$125,1,Cleaned!CX$2:CX$125,2)</f>
        <v>7</v>
      </c>
      <c r="E2055" s="13" t="n">
        <f aca="false">IFERROR(D2055/$F2055,"")</f>
        <v>0.7</v>
      </c>
      <c r="F2055" s="12" t="n">
        <f aca="false">B2055+D2055</f>
        <v>10</v>
      </c>
    </row>
    <row r="2056" customFormat="false" ht="15" hidden="false" customHeight="false" outlineLevel="0" collapsed="false">
      <c r="A2056" s="12" t="s">
        <v>705</v>
      </c>
      <c r="B2056" s="12" t="n">
        <f aca="false">COUNTIFS(Cleaned!$D$2:$D$125,2,Cleaned!CX$2:CX$125,1)</f>
        <v>13</v>
      </c>
      <c r="C2056" s="13" t="n">
        <f aca="false">IFERROR(B2056/$F2056,"")</f>
        <v>0.928571428571429</v>
      </c>
      <c r="D2056" s="12" t="n">
        <f aca="false">COUNTIFS(Cleaned!$D$2:$D$125,2,Cleaned!CX$2:CX$125,2)</f>
        <v>1</v>
      </c>
      <c r="E2056" s="13" t="n">
        <f aca="false">IFERROR(D2056/$F2056,"")</f>
        <v>0.0714285714285714</v>
      </c>
      <c r="F2056" s="12" t="n">
        <f aca="false">B2056+D2056</f>
        <v>14</v>
      </c>
    </row>
    <row r="2057" customFormat="false" ht="15" hidden="false" customHeight="false" outlineLevel="0" collapsed="false">
      <c r="A2057" s="12" t="s">
        <v>706</v>
      </c>
      <c r="B2057" s="12" t="n">
        <f aca="false">COUNTIFS(Cleaned!$D$2:$D$125,3,Cleaned!CX$2:CX$125,1)</f>
        <v>6</v>
      </c>
      <c r="C2057" s="13" t="n">
        <f aca="false">IFERROR(B2057/$F2057,"")</f>
        <v>0.666666666666667</v>
      </c>
      <c r="D2057" s="12" t="n">
        <f aca="false">COUNTIFS(Cleaned!$D$2:$D$125,3,Cleaned!CX$2:CX$125,2)</f>
        <v>3</v>
      </c>
      <c r="E2057" s="13" t="n">
        <f aca="false">IFERROR(D2057/$F2057,"")</f>
        <v>0.333333333333333</v>
      </c>
      <c r="F2057" s="12" t="n">
        <f aca="false">B2057+D2057</f>
        <v>9</v>
      </c>
    </row>
    <row r="2058" customFormat="false" ht="15" hidden="false" customHeight="false" outlineLevel="0" collapsed="false">
      <c r="A2058" s="12" t="s">
        <v>707</v>
      </c>
      <c r="B2058" s="12" t="n">
        <f aca="false">COUNTIFS(Cleaned!$D$2:$D$125,4,Cleaned!CX$2:CX$125,1)</f>
        <v>4</v>
      </c>
      <c r="C2058" s="13" t="n">
        <f aca="false">IFERROR(B2058/$F2058,"")</f>
        <v>0.666666666666667</v>
      </c>
      <c r="D2058" s="12" t="n">
        <f aca="false">COUNTIFS(Cleaned!$D$2:$D$125,4,Cleaned!CX$2:CX$125,2)</f>
        <v>2</v>
      </c>
      <c r="E2058" s="13" t="n">
        <f aca="false">IFERROR(D2058/$F2058,"")</f>
        <v>0.333333333333333</v>
      </c>
      <c r="F2058" s="12" t="n">
        <f aca="false">B2058+D2058</f>
        <v>6</v>
      </c>
    </row>
    <row r="2059" customFormat="false" ht="15" hidden="false" customHeight="false" outlineLevel="0" collapsed="false">
      <c r="A2059" s="12" t="s">
        <v>708</v>
      </c>
      <c r="B2059" s="12" t="n">
        <f aca="false">COUNTIFS(Cleaned!$D$2:$D$125,5,Cleaned!CX$2:CX$125,1)</f>
        <v>1</v>
      </c>
      <c r="C2059" s="13" t="n">
        <f aca="false">IFERROR(B2059/$F2059,"")</f>
        <v>1</v>
      </c>
      <c r="D2059" s="12" t="n">
        <f aca="false">COUNTIFS(Cleaned!$D$2:$D$125,5,Cleaned!CX$2:CX$125,2)</f>
        <v>0</v>
      </c>
      <c r="E2059" s="13" t="n">
        <f aca="false">IFERROR(D2059/$F2059,"")</f>
        <v>0</v>
      </c>
      <c r="F2059" s="12" t="n">
        <f aca="false">B2059+D2059</f>
        <v>1</v>
      </c>
    </row>
    <row r="2060" customFormat="false" ht="15" hidden="false" customHeight="false" outlineLevel="0" collapsed="false">
      <c r="A2060" s="12" t="s">
        <v>709</v>
      </c>
      <c r="B2060" s="12" t="n">
        <f aca="false">COUNTIFS(Cleaned!$D$2:$D$125,6,Cleaned!CX$2:CX$125,1)</f>
        <v>1</v>
      </c>
      <c r="C2060" s="13" t="n">
        <f aca="false">IFERROR(B2060/$F2060,"")</f>
        <v>0.5</v>
      </c>
      <c r="D2060" s="12" t="n">
        <f aca="false">COUNTIFS(Cleaned!$D$2:$D$125,6,Cleaned!CX$2:CX$125,2)</f>
        <v>1</v>
      </c>
      <c r="E2060" s="13" t="n">
        <f aca="false">IFERROR(D2060/$F2060,"")</f>
        <v>0.5</v>
      </c>
      <c r="F2060" s="12" t="n">
        <f aca="false">B2060+D2060</f>
        <v>2</v>
      </c>
    </row>
    <row r="2061" customFormat="false" ht="15" hidden="false" customHeight="false" outlineLevel="0" collapsed="false">
      <c r="A2061" s="12" t="s">
        <v>710</v>
      </c>
      <c r="B2061" s="12" t="n">
        <f aca="false">COUNTIFS(Cleaned!$D$2:$D$125,7,Cleaned!CX$2:CX$125,1)</f>
        <v>4</v>
      </c>
      <c r="C2061" s="13" t="n">
        <f aca="false">IFERROR(B2061/$F2061,"")</f>
        <v>0.5</v>
      </c>
      <c r="D2061" s="12" t="n">
        <f aca="false">COUNTIFS(Cleaned!$D$2:$D$125,7,Cleaned!CX$2:CX$125,2)</f>
        <v>4</v>
      </c>
      <c r="E2061" s="13" t="n">
        <f aca="false">IFERROR(D2061/$F2061,"")</f>
        <v>0.5</v>
      </c>
      <c r="F2061" s="12" t="n">
        <f aca="false">B2061+D2061</f>
        <v>8</v>
      </c>
    </row>
    <row r="2062" customFormat="false" ht="15" hidden="false" customHeight="false" outlineLevel="0" collapsed="false">
      <c r="A2062" s="12" t="s">
        <v>711</v>
      </c>
      <c r="B2062" s="12" t="n">
        <f aca="false">COUNTIFS(Cleaned!$D$2:$D$125,8,Cleaned!CX$2:CX$125,1)</f>
        <v>1</v>
      </c>
      <c r="C2062" s="13" t="n">
        <f aca="false">IFERROR(B2062/$F2062,"")</f>
        <v>0.25</v>
      </c>
      <c r="D2062" s="12" t="n">
        <f aca="false">COUNTIFS(Cleaned!$D$2:$D$125,8,Cleaned!CX$2:CX$125,2)</f>
        <v>3</v>
      </c>
      <c r="E2062" s="13" t="n">
        <f aca="false">IFERROR(D2062/$F2062,"")</f>
        <v>0.75</v>
      </c>
      <c r="F2062" s="12" t="n">
        <f aca="false">B2062+D2062</f>
        <v>4</v>
      </c>
    </row>
    <row r="2063" customFormat="false" ht="15" hidden="false" customHeight="false" outlineLevel="0" collapsed="false">
      <c r="A2063" s="12" t="s">
        <v>712</v>
      </c>
      <c r="B2063" s="12" t="n">
        <f aca="false">COUNTIFS(Cleaned!$D$2:$D$125,9,Cleaned!CX$2:CX$125,1)</f>
        <v>1</v>
      </c>
      <c r="C2063" s="13" t="n">
        <f aca="false">IFERROR(B2063/$F2063,"")</f>
        <v>0.5</v>
      </c>
      <c r="D2063" s="12" t="n">
        <f aca="false">COUNTIFS(Cleaned!$D$2:$D$125,9,Cleaned!CX$2:CX$125,2)</f>
        <v>1</v>
      </c>
      <c r="E2063" s="13" t="n">
        <f aca="false">IFERROR(D2063/$F2063,"")</f>
        <v>0.5</v>
      </c>
      <c r="F2063" s="12" t="n">
        <f aca="false">B2063+D2063</f>
        <v>2</v>
      </c>
    </row>
    <row r="2064" customFormat="false" ht="15" hidden="false" customHeight="false" outlineLevel="0" collapsed="false">
      <c r="A2064" s="12" t="s">
        <v>713</v>
      </c>
      <c r="B2064" s="12" t="n">
        <f aca="false">COUNTIFS(Cleaned!$D$2:$D$125,10,Cleaned!CX$2:CX$125,1)</f>
        <v>0</v>
      </c>
      <c r="C2064" s="13" t="str">
        <f aca="false">IFERROR(B2064/$F2064,"")</f>
        <v/>
      </c>
      <c r="D2064" s="12" t="n">
        <f aca="false">COUNTIFS(Cleaned!$D$2:$D$125,10,Cleaned!CX$2:CX$125,2)</f>
        <v>0</v>
      </c>
      <c r="E2064" s="13" t="str">
        <f aca="false">IFERROR(D2064/$F2064,"")</f>
        <v/>
      </c>
      <c r="F2064" s="12" t="n">
        <f aca="false">B2064+D2064</f>
        <v>0</v>
      </c>
    </row>
    <row r="2065" customFormat="false" ht="15" hidden="false" customHeight="false" outlineLevel="0" collapsed="false">
      <c r="A2065" s="12" t="s">
        <v>714</v>
      </c>
      <c r="B2065" s="12" t="n">
        <f aca="false">COUNTIFS(Cleaned!$D$2:$D$125,11,Cleaned!CX$2:CX$125,1)</f>
        <v>0</v>
      </c>
      <c r="C2065" s="13" t="n">
        <f aca="false">IFERROR(B2065/$F2065,"")</f>
        <v>0</v>
      </c>
      <c r="D2065" s="12" t="n">
        <f aca="false">COUNTIFS(Cleaned!$D$2:$D$125,11,Cleaned!CX$2:CX$125,2)</f>
        <v>7</v>
      </c>
      <c r="E2065" s="13" t="n">
        <f aca="false">IFERROR(D2065/$F2065,"")</f>
        <v>1</v>
      </c>
      <c r="F2065" s="12" t="n">
        <f aca="false">B2065+D2065</f>
        <v>7</v>
      </c>
    </row>
    <row r="2066" customFormat="false" ht="15" hidden="false" customHeight="false" outlineLevel="0" collapsed="false">
      <c r="A2066" s="12" t="s">
        <v>715</v>
      </c>
      <c r="B2066" s="12" t="n">
        <f aca="false">COUNTIFS(Cleaned!$D$2:$D$125,12,Cleaned!CX$2:CX$125,1)</f>
        <v>0</v>
      </c>
      <c r="C2066" s="13" t="n">
        <f aca="false">IFERROR(B2066/$F2066,"")</f>
        <v>0</v>
      </c>
      <c r="D2066" s="12" t="n">
        <f aca="false">COUNTIFS(Cleaned!$D$2:$D$125,12,Cleaned!CX$2:CX$125,2)</f>
        <v>4</v>
      </c>
      <c r="E2066" s="13" t="n">
        <f aca="false">IFERROR(D2066/$F2066,"")</f>
        <v>1</v>
      </c>
      <c r="F2066" s="12" t="n">
        <f aca="false">B2066+D2066</f>
        <v>4</v>
      </c>
    </row>
    <row r="2067" customFormat="false" ht="15" hidden="false" customHeight="false" outlineLevel="0" collapsed="false">
      <c r="A2067" s="11" t="s">
        <v>716</v>
      </c>
      <c r="B2067" s="11" t="n">
        <f aca="false">SUM(B2055:B2066)</f>
        <v>34</v>
      </c>
      <c r="C2067" s="14" t="n">
        <f aca="false">IFERROR(B2067/$F2067,"")</f>
        <v>0.507462686567164</v>
      </c>
      <c r="D2067" s="11" t="n">
        <f aca="false">SUM(D2055:D2066)</f>
        <v>33</v>
      </c>
      <c r="E2067" s="14" t="n">
        <f aca="false">IFERROR(D2067/$F2067,"")</f>
        <v>0.492537313432836</v>
      </c>
      <c r="F2067" s="11" t="n">
        <f aca="false">SUM(F2055:F2066)</f>
        <v>67</v>
      </c>
    </row>
    <row r="2070" customFormat="false" ht="15" hidden="false" customHeight="false" outlineLevel="0" collapsed="false">
      <c r="A2070" s="6" t="s">
        <v>102</v>
      </c>
      <c r="B2070" s="7" t="s">
        <v>823</v>
      </c>
    </row>
    <row r="2071" customFormat="false" ht="15" hidden="false" customHeight="false" outlineLevel="0" collapsed="false">
      <c r="A2071" s="8"/>
      <c r="B2071" s="9" t="s">
        <v>614</v>
      </c>
      <c r="C2071" s="8"/>
      <c r="D2071" s="9" t="s">
        <v>249</v>
      </c>
      <c r="E2071" s="8"/>
      <c r="F2071" s="9" t="s">
        <v>280</v>
      </c>
      <c r="G2071" s="8"/>
      <c r="H2071" s="9" t="s">
        <v>286</v>
      </c>
      <c r="I2071" s="8"/>
      <c r="J2071" s="9" t="s">
        <v>241</v>
      </c>
      <c r="K2071" s="8"/>
      <c r="L2071" s="9" t="s">
        <v>231</v>
      </c>
      <c r="M2071" s="8"/>
      <c r="N2071" s="9" t="s">
        <v>287</v>
      </c>
      <c r="O2071" s="8"/>
      <c r="P2071" s="9" t="s">
        <v>824</v>
      </c>
      <c r="Q2071" s="8"/>
      <c r="R2071" s="9" t="s">
        <v>825</v>
      </c>
      <c r="S2071" s="8"/>
      <c r="T2071" s="9" t="s">
        <v>826</v>
      </c>
      <c r="U2071" s="8"/>
      <c r="V2071" s="9" t="s">
        <v>694</v>
      </c>
    </row>
    <row r="2072" customFormat="false" ht="15" hidden="false" customHeight="false" outlineLevel="0" collapsed="false">
      <c r="B2072" s="10" t="s">
        <v>695</v>
      </c>
      <c r="C2072" s="10" t="s">
        <v>696</v>
      </c>
      <c r="D2072" s="10" t="s">
        <v>695</v>
      </c>
      <c r="E2072" s="10" t="s">
        <v>696</v>
      </c>
      <c r="F2072" s="10" t="s">
        <v>695</v>
      </c>
      <c r="G2072" s="10" t="s">
        <v>696</v>
      </c>
      <c r="H2072" s="10" t="s">
        <v>695</v>
      </c>
      <c r="I2072" s="10" t="s">
        <v>696</v>
      </c>
      <c r="J2072" s="10" t="s">
        <v>695</v>
      </c>
      <c r="K2072" s="10" t="s">
        <v>696</v>
      </c>
      <c r="L2072" s="10" t="s">
        <v>695</v>
      </c>
      <c r="M2072" s="10" t="s">
        <v>696</v>
      </c>
      <c r="N2072" s="10" t="s">
        <v>695</v>
      </c>
      <c r="O2072" s="10" t="s">
        <v>696</v>
      </c>
      <c r="P2072" s="10" t="s">
        <v>695</v>
      </c>
      <c r="Q2072" s="10" t="s">
        <v>696</v>
      </c>
      <c r="R2072" s="10" t="s">
        <v>695</v>
      </c>
      <c r="S2072" s="10" t="s">
        <v>696</v>
      </c>
      <c r="T2072" s="10" t="s">
        <v>695</v>
      </c>
      <c r="U2072" s="10" t="s">
        <v>696</v>
      </c>
    </row>
    <row r="2073" customFormat="false" ht="15" hidden="false" customHeight="false" outlineLevel="0" collapsed="false">
      <c r="A2073" s="11" t="s">
        <v>697</v>
      </c>
    </row>
    <row r="2074" customFormat="false" ht="15" hidden="false" customHeight="false" outlineLevel="0" collapsed="false">
      <c r="A2074" s="12" t="s">
        <v>698</v>
      </c>
      <c r="B2074" s="12" t="n">
        <f aca="false">COUNTIFS(Cleaned!$C$2:$C$125,1,Cleaned!CY$2:CY$125,1)</f>
        <v>0</v>
      </c>
      <c r="C2074" s="13" t="n">
        <f aca="false">IFERROR(B2074/$V2074,"")</f>
        <v>0</v>
      </c>
      <c r="D2074" s="12" t="n">
        <f aca="false">COUNTIFS(Cleaned!$C$2:$C$125,1,Cleaned!CY$2:CY$125,2)</f>
        <v>0</v>
      </c>
      <c r="E2074" s="13" t="n">
        <f aca="false">IFERROR(D2074/$V2074,"")</f>
        <v>0</v>
      </c>
      <c r="F2074" s="12" t="n">
        <f aca="false">COUNTIFS(Cleaned!$C$2:$C$125,1,Cleaned!CY$2:CY$125,3)</f>
        <v>1</v>
      </c>
      <c r="G2074" s="13" t="n">
        <f aca="false">IFERROR(F2074/$V2074,"")</f>
        <v>1</v>
      </c>
      <c r="H2074" s="12" t="n">
        <f aca="false">COUNTIFS(Cleaned!$C$2:$C$125,1,Cleaned!CY$2:CY$125,4)</f>
        <v>0</v>
      </c>
      <c r="I2074" s="13" t="n">
        <f aca="false">IFERROR(H2074/$V2074,"")</f>
        <v>0</v>
      </c>
      <c r="J2074" s="12" t="n">
        <f aca="false">COUNTIFS(Cleaned!$C$2:$C$125,1,Cleaned!CY$2:CY$125,5)</f>
        <v>0</v>
      </c>
      <c r="K2074" s="13" t="n">
        <f aca="false">IFERROR(J2074/$V2074,"")</f>
        <v>0</v>
      </c>
      <c r="L2074" s="12" t="n">
        <f aca="false">COUNTIFS(Cleaned!$C$2:$C$125,1,Cleaned!CY$2:CY$125,6)</f>
        <v>0</v>
      </c>
      <c r="M2074" s="13" t="n">
        <f aca="false">IFERROR(L2074/$V2074,"")</f>
        <v>0</v>
      </c>
      <c r="N2074" s="12" t="n">
        <f aca="false">COUNTIFS(Cleaned!$C$2:$C$125,1,Cleaned!CY$2:CY$125,7)</f>
        <v>0</v>
      </c>
      <c r="O2074" s="13" t="n">
        <f aca="false">IFERROR(N2074/$V2074,"")</f>
        <v>0</v>
      </c>
      <c r="P2074" s="12" t="n">
        <f aca="false">COUNTIFS(Cleaned!$C$2:$C$125,1,Cleaned!CY$2:CY$125,8)</f>
        <v>0</v>
      </c>
      <c r="Q2074" s="13" t="n">
        <f aca="false">IFERROR(P2074/$V2074,"")</f>
        <v>0</v>
      </c>
      <c r="R2074" s="12" t="n">
        <f aca="false">COUNTIFS(Cleaned!$C$2:$C$125,1,Cleaned!CY$2:CY$125,9)</f>
        <v>0</v>
      </c>
      <c r="S2074" s="13" t="n">
        <f aca="false">IFERROR(R2074/$V2074,"")</f>
        <v>0</v>
      </c>
      <c r="T2074" s="12" t="n">
        <f aca="false">COUNTIFS(Cleaned!$C$2:$C$125,1,Cleaned!CY$2:CY$125,10)</f>
        <v>0</v>
      </c>
      <c r="U2074" s="13" t="n">
        <f aca="false">IFERROR(T2074/$V2074,"")</f>
        <v>0</v>
      </c>
      <c r="V2074" s="12" t="n">
        <f aca="false">B2074+D2074+F2074+H2074+J2074+L2074+N2074+P2074+R2074+T2074</f>
        <v>1</v>
      </c>
    </row>
    <row r="2075" customFormat="false" ht="15" hidden="false" customHeight="false" outlineLevel="0" collapsed="false">
      <c r="A2075" s="12" t="s">
        <v>699</v>
      </c>
      <c r="B2075" s="12" t="n">
        <f aca="false">COUNTIFS(Cleaned!$C$2:$C$125,2,Cleaned!CY$2:CY$125,1)</f>
        <v>0</v>
      </c>
      <c r="C2075" s="13" t="n">
        <f aca="false">IFERROR(B2075/$V2075,"")</f>
        <v>0</v>
      </c>
      <c r="D2075" s="12" t="n">
        <f aca="false">COUNTIFS(Cleaned!$C$2:$C$125,2,Cleaned!CY$2:CY$125,2)</f>
        <v>0</v>
      </c>
      <c r="E2075" s="13" t="n">
        <f aca="false">IFERROR(D2075/$V2075,"")</f>
        <v>0</v>
      </c>
      <c r="F2075" s="12" t="n">
        <f aca="false">COUNTIFS(Cleaned!$C$2:$C$125,2,Cleaned!CY$2:CY$125,3)</f>
        <v>0</v>
      </c>
      <c r="G2075" s="13" t="n">
        <f aca="false">IFERROR(F2075/$V2075,"")</f>
        <v>0</v>
      </c>
      <c r="H2075" s="12" t="n">
        <f aca="false">COUNTIFS(Cleaned!$C$2:$C$125,2,Cleaned!CY$2:CY$125,4)</f>
        <v>1</v>
      </c>
      <c r="I2075" s="13" t="n">
        <f aca="false">IFERROR(H2075/$V2075,"")</f>
        <v>1</v>
      </c>
      <c r="J2075" s="12" t="n">
        <f aca="false">COUNTIFS(Cleaned!$C$2:$C$125,2,Cleaned!CY$2:CY$125,5)</f>
        <v>0</v>
      </c>
      <c r="K2075" s="13" t="n">
        <f aca="false">IFERROR(J2075/$V2075,"")</f>
        <v>0</v>
      </c>
      <c r="L2075" s="12" t="n">
        <f aca="false">COUNTIFS(Cleaned!$C$2:$C$125,2,Cleaned!CY$2:CY$125,6)</f>
        <v>0</v>
      </c>
      <c r="M2075" s="13" t="n">
        <f aca="false">IFERROR(L2075/$V2075,"")</f>
        <v>0</v>
      </c>
      <c r="N2075" s="12" t="n">
        <f aca="false">COUNTIFS(Cleaned!$C$2:$C$125,2,Cleaned!CY$2:CY$125,7)</f>
        <v>0</v>
      </c>
      <c r="O2075" s="13" t="n">
        <f aca="false">IFERROR(N2075/$V2075,"")</f>
        <v>0</v>
      </c>
      <c r="P2075" s="12" t="n">
        <f aca="false">COUNTIFS(Cleaned!$C$2:$C$125,2,Cleaned!CY$2:CY$125,8)</f>
        <v>0</v>
      </c>
      <c r="Q2075" s="13" t="n">
        <f aca="false">IFERROR(P2075/$V2075,"")</f>
        <v>0</v>
      </c>
      <c r="R2075" s="12" t="n">
        <f aca="false">COUNTIFS(Cleaned!$C$2:$C$125,2,Cleaned!CY$2:CY$125,9)</f>
        <v>0</v>
      </c>
      <c r="S2075" s="13" t="n">
        <f aca="false">IFERROR(R2075/$V2075,"")</f>
        <v>0</v>
      </c>
      <c r="T2075" s="12" t="n">
        <f aca="false">COUNTIFS(Cleaned!$C$2:$C$125,2,Cleaned!CY$2:CY$125,10)</f>
        <v>0</v>
      </c>
      <c r="U2075" s="13" t="n">
        <f aca="false">IFERROR(T2075/$V2075,"")</f>
        <v>0</v>
      </c>
      <c r="V2075" s="12" t="n">
        <f aca="false">B2075+D2075+F2075+H2075+J2075+L2075+N2075+P2075+R2075+T2075</f>
        <v>1</v>
      </c>
    </row>
    <row r="2076" customFormat="false" ht="15" hidden="false" customHeight="false" outlineLevel="0" collapsed="false">
      <c r="A2076" s="12" t="s">
        <v>700</v>
      </c>
      <c r="B2076" s="12" t="n">
        <f aca="false">COUNTIFS(Cleaned!$C$2:$C$125,3,Cleaned!CY$2:CY$125,1)</f>
        <v>0</v>
      </c>
      <c r="C2076" s="13" t="n">
        <f aca="false">IFERROR(B2076/$V2076,"")</f>
        <v>0</v>
      </c>
      <c r="D2076" s="12" t="n">
        <f aca="false">COUNTIFS(Cleaned!$C$2:$C$125,3,Cleaned!CY$2:CY$125,2)</f>
        <v>1</v>
      </c>
      <c r="E2076" s="13" t="n">
        <f aca="false">IFERROR(D2076/$V2076,"")</f>
        <v>0.5</v>
      </c>
      <c r="F2076" s="12" t="n">
        <f aca="false">COUNTIFS(Cleaned!$C$2:$C$125,3,Cleaned!CY$2:CY$125,3)</f>
        <v>0</v>
      </c>
      <c r="G2076" s="13" t="n">
        <f aca="false">IFERROR(F2076/$V2076,"")</f>
        <v>0</v>
      </c>
      <c r="H2076" s="12" t="n">
        <f aca="false">COUNTIFS(Cleaned!$C$2:$C$125,3,Cleaned!CY$2:CY$125,4)</f>
        <v>0</v>
      </c>
      <c r="I2076" s="13" t="n">
        <f aca="false">IFERROR(H2076/$V2076,"")</f>
        <v>0</v>
      </c>
      <c r="J2076" s="12" t="n">
        <f aca="false">COUNTIFS(Cleaned!$C$2:$C$125,3,Cleaned!CY$2:CY$125,5)</f>
        <v>0</v>
      </c>
      <c r="K2076" s="13" t="n">
        <f aca="false">IFERROR(J2076/$V2076,"")</f>
        <v>0</v>
      </c>
      <c r="L2076" s="12" t="n">
        <f aca="false">COUNTIFS(Cleaned!$C$2:$C$125,3,Cleaned!CY$2:CY$125,6)</f>
        <v>0</v>
      </c>
      <c r="M2076" s="13" t="n">
        <f aca="false">IFERROR(L2076/$V2076,"")</f>
        <v>0</v>
      </c>
      <c r="N2076" s="12" t="n">
        <f aca="false">COUNTIFS(Cleaned!$C$2:$C$125,3,Cleaned!CY$2:CY$125,7)</f>
        <v>0</v>
      </c>
      <c r="O2076" s="13" t="n">
        <f aca="false">IFERROR(N2076/$V2076,"")</f>
        <v>0</v>
      </c>
      <c r="P2076" s="12" t="n">
        <f aca="false">COUNTIFS(Cleaned!$C$2:$C$125,3,Cleaned!CY$2:CY$125,8)</f>
        <v>0</v>
      </c>
      <c r="Q2076" s="13" t="n">
        <f aca="false">IFERROR(P2076/$V2076,"")</f>
        <v>0</v>
      </c>
      <c r="R2076" s="12" t="n">
        <f aca="false">COUNTIFS(Cleaned!$C$2:$C$125,3,Cleaned!CY$2:CY$125,9)</f>
        <v>1</v>
      </c>
      <c r="S2076" s="13" t="n">
        <f aca="false">IFERROR(R2076/$V2076,"")</f>
        <v>0.5</v>
      </c>
      <c r="T2076" s="12" t="n">
        <f aca="false">COUNTIFS(Cleaned!$C$2:$C$125,3,Cleaned!CY$2:CY$125,10)</f>
        <v>0</v>
      </c>
      <c r="U2076" s="13" t="n">
        <f aca="false">IFERROR(T2076/$V2076,"")</f>
        <v>0</v>
      </c>
      <c r="V2076" s="12" t="n">
        <f aca="false">B2076+D2076+F2076+H2076+J2076+L2076+N2076+P2076+R2076+T2076</f>
        <v>2</v>
      </c>
    </row>
    <row r="2077" customFormat="false" ht="15" hidden="false" customHeight="false" outlineLevel="0" collapsed="false">
      <c r="A2077" s="12" t="s">
        <v>701</v>
      </c>
      <c r="B2077" s="12" t="n">
        <f aca="false">COUNTIFS(Cleaned!$C$2:$C$125,4,Cleaned!CY$2:CY$125,1)</f>
        <v>1</v>
      </c>
      <c r="C2077" s="13" t="n">
        <f aca="false">IFERROR(B2077/$V2077,"")</f>
        <v>0.142857142857143</v>
      </c>
      <c r="D2077" s="12" t="n">
        <f aca="false">COUNTIFS(Cleaned!$C$2:$C$125,4,Cleaned!CY$2:CY$125,2)</f>
        <v>0</v>
      </c>
      <c r="E2077" s="13" t="n">
        <f aca="false">IFERROR(D2077/$V2077,"")</f>
        <v>0</v>
      </c>
      <c r="F2077" s="12" t="n">
        <f aca="false">COUNTIFS(Cleaned!$C$2:$C$125,4,Cleaned!CY$2:CY$125,3)</f>
        <v>0</v>
      </c>
      <c r="G2077" s="13" t="n">
        <f aca="false">IFERROR(F2077/$V2077,"")</f>
        <v>0</v>
      </c>
      <c r="H2077" s="12" t="n">
        <f aca="false">COUNTIFS(Cleaned!$C$2:$C$125,4,Cleaned!CY$2:CY$125,4)</f>
        <v>1</v>
      </c>
      <c r="I2077" s="13" t="n">
        <f aca="false">IFERROR(H2077/$V2077,"")</f>
        <v>0.142857142857143</v>
      </c>
      <c r="J2077" s="12" t="n">
        <f aca="false">COUNTIFS(Cleaned!$C$2:$C$125,4,Cleaned!CY$2:CY$125,5)</f>
        <v>0</v>
      </c>
      <c r="K2077" s="13" t="n">
        <f aca="false">IFERROR(J2077/$V2077,"")</f>
        <v>0</v>
      </c>
      <c r="L2077" s="12" t="n">
        <f aca="false">COUNTIFS(Cleaned!$C$2:$C$125,4,Cleaned!CY$2:CY$125,6)</f>
        <v>1</v>
      </c>
      <c r="M2077" s="13" t="n">
        <f aca="false">IFERROR(L2077/$V2077,"")</f>
        <v>0.142857142857143</v>
      </c>
      <c r="N2077" s="12" t="n">
        <f aca="false">COUNTIFS(Cleaned!$C$2:$C$125,4,Cleaned!CY$2:CY$125,7)</f>
        <v>2</v>
      </c>
      <c r="O2077" s="13" t="n">
        <f aca="false">IFERROR(N2077/$V2077,"")</f>
        <v>0.285714285714286</v>
      </c>
      <c r="P2077" s="12" t="n">
        <f aca="false">COUNTIFS(Cleaned!$C$2:$C$125,4,Cleaned!CY$2:CY$125,8)</f>
        <v>1</v>
      </c>
      <c r="Q2077" s="13" t="n">
        <f aca="false">IFERROR(P2077/$V2077,"")</f>
        <v>0.142857142857143</v>
      </c>
      <c r="R2077" s="12" t="n">
        <f aca="false">COUNTIFS(Cleaned!$C$2:$C$125,4,Cleaned!CY$2:CY$125,9)</f>
        <v>0</v>
      </c>
      <c r="S2077" s="13" t="n">
        <f aca="false">IFERROR(R2077/$V2077,"")</f>
        <v>0</v>
      </c>
      <c r="T2077" s="12" t="n">
        <f aca="false">COUNTIFS(Cleaned!$C$2:$C$125,4,Cleaned!CY$2:CY$125,10)</f>
        <v>1</v>
      </c>
      <c r="U2077" s="13" t="n">
        <f aca="false">IFERROR(T2077/$V2077,"")</f>
        <v>0.142857142857143</v>
      </c>
      <c r="V2077" s="12" t="n">
        <f aca="false">B2077+D2077+F2077+H2077+J2077+L2077+N2077+P2077+R2077+T2077</f>
        <v>7</v>
      </c>
    </row>
    <row r="2078" customFormat="false" ht="15" hidden="false" customHeight="false" outlineLevel="0" collapsed="false">
      <c r="A2078" s="12" t="s">
        <v>702</v>
      </c>
      <c r="B2078" s="12" t="n">
        <f aca="false">COUNTIFS(Cleaned!$C$2:$C$125,5,Cleaned!CY$2:CY$125,1)</f>
        <v>0</v>
      </c>
      <c r="C2078" s="13" t="n">
        <f aca="false">IFERROR(B2078/$V2078,"")</f>
        <v>0</v>
      </c>
      <c r="D2078" s="12" t="n">
        <f aca="false">COUNTIFS(Cleaned!$C$2:$C$125,5,Cleaned!CY$2:CY$125,2)</f>
        <v>0</v>
      </c>
      <c r="E2078" s="13" t="n">
        <f aca="false">IFERROR(D2078/$V2078,"")</f>
        <v>0</v>
      </c>
      <c r="F2078" s="12" t="n">
        <f aca="false">COUNTIFS(Cleaned!$C$2:$C$125,5,Cleaned!CY$2:CY$125,3)</f>
        <v>0</v>
      </c>
      <c r="G2078" s="13" t="n">
        <f aca="false">IFERROR(F2078/$V2078,"")</f>
        <v>0</v>
      </c>
      <c r="H2078" s="12" t="n">
        <f aca="false">COUNTIFS(Cleaned!$C$2:$C$125,5,Cleaned!CY$2:CY$125,4)</f>
        <v>0</v>
      </c>
      <c r="I2078" s="13" t="n">
        <f aca="false">IFERROR(H2078/$V2078,"")</f>
        <v>0</v>
      </c>
      <c r="J2078" s="12" t="n">
        <f aca="false">COUNTIFS(Cleaned!$C$2:$C$125,5,Cleaned!CY$2:CY$125,5)</f>
        <v>1</v>
      </c>
      <c r="K2078" s="13" t="n">
        <f aca="false">IFERROR(J2078/$V2078,"")</f>
        <v>0.05</v>
      </c>
      <c r="L2078" s="12" t="n">
        <f aca="false">COUNTIFS(Cleaned!$C$2:$C$125,5,Cleaned!CY$2:CY$125,6)</f>
        <v>0</v>
      </c>
      <c r="M2078" s="13" t="n">
        <f aca="false">IFERROR(L2078/$V2078,"")</f>
        <v>0</v>
      </c>
      <c r="N2078" s="12" t="n">
        <f aca="false">COUNTIFS(Cleaned!$C$2:$C$125,5,Cleaned!CY$2:CY$125,7)</f>
        <v>19</v>
      </c>
      <c r="O2078" s="13" t="n">
        <f aca="false">IFERROR(N2078/$V2078,"")</f>
        <v>0.95</v>
      </c>
      <c r="P2078" s="12" t="n">
        <f aca="false">COUNTIFS(Cleaned!$C$2:$C$125,5,Cleaned!CY$2:CY$125,8)</f>
        <v>0</v>
      </c>
      <c r="Q2078" s="13" t="n">
        <f aca="false">IFERROR(P2078/$V2078,"")</f>
        <v>0</v>
      </c>
      <c r="R2078" s="12" t="n">
        <f aca="false">COUNTIFS(Cleaned!$C$2:$C$125,5,Cleaned!CY$2:CY$125,9)</f>
        <v>0</v>
      </c>
      <c r="S2078" s="13" t="n">
        <f aca="false">IFERROR(R2078/$V2078,"")</f>
        <v>0</v>
      </c>
      <c r="T2078" s="12" t="n">
        <f aca="false">COUNTIFS(Cleaned!$C$2:$C$125,5,Cleaned!CY$2:CY$125,10)</f>
        <v>0</v>
      </c>
      <c r="U2078" s="13" t="n">
        <f aca="false">IFERROR(T2078/$V2078,"")</f>
        <v>0</v>
      </c>
      <c r="V2078" s="12" t="n">
        <f aca="false">B2078+D2078+F2078+H2078+J2078+L2078+N2078+P2078+R2078+T2078</f>
        <v>20</v>
      </c>
    </row>
    <row r="2079" customFormat="false" ht="15" hidden="false" customHeight="false" outlineLevel="0" collapsed="false">
      <c r="A2079" s="11" t="s">
        <v>703</v>
      </c>
      <c r="B2079" s="11" t="n">
        <f aca="false">SUM(B2074:B2078)</f>
        <v>1</v>
      </c>
      <c r="C2079" s="14" t="n">
        <f aca="false">IFERROR(B2079/$V2079,"")</f>
        <v>0.032258064516129</v>
      </c>
      <c r="D2079" s="11" t="n">
        <f aca="false">SUM(D2074:D2078)</f>
        <v>1</v>
      </c>
      <c r="E2079" s="14" t="n">
        <f aca="false">IFERROR(D2079/$V2079,"")</f>
        <v>0.032258064516129</v>
      </c>
      <c r="F2079" s="11" t="n">
        <f aca="false">SUM(F2074:F2078)</f>
        <v>1</v>
      </c>
      <c r="G2079" s="14" t="n">
        <f aca="false">IFERROR(F2079/$V2079,"")</f>
        <v>0.032258064516129</v>
      </c>
      <c r="H2079" s="11" t="n">
        <f aca="false">SUM(H2074:H2078)</f>
        <v>2</v>
      </c>
      <c r="I2079" s="14" t="n">
        <f aca="false">IFERROR(H2079/$V2079,"")</f>
        <v>0.0645161290322581</v>
      </c>
      <c r="J2079" s="11" t="n">
        <f aca="false">SUM(J2074:J2078)</f>
        <v>1</v>
      </c>
      <c r="K2079" s="14" t="n">
        <f aca="false">IFERROR(J2079/$V2079,"")</f>
        <v>0.032258064516129</v>
      </c>
      <c r="L2079" s="11" t="n">
        <f aca="false">SUM(L2074:L2078)</f>
        <v>1</v>
      </c>
      <c r="M2079" s="14" t="n">
        <f aca="false">IFERROR(L2079/$V2079,"")</f>
        <v>0.032258064516129</v>
      </c>
      <c r="N2079" s="11" t="n">
        <f aca="false">SUM(N2074:N2078)</f>
        <v>21</v>
      </c>
      <c r="O2079" s="14" t="n">
        <f aca="false">IFERROR(N2079/$V2079,"")</f>
        <v>0.67741935483871</v>
      </c>
      <c r="P2079" s="11" t="n">
        <f aca="false">SUM(P2074:P2078)</f>
        <v>1</v>
      </c>
      <c r="Q2079" s="14" t="n">
        <f aca="false">IFERROR(P2079/$V2079,"")</f>
        <v>0.032258064516129</v>
      </c>
      <c r="R2079" s="11" t="n">
        <f aca="false">SUM(R2074:R2078)</f>
        <v>1</v>
      </c>
      <c r="S2079" s="14" t="n">
        <f aca="false">IFERROR(R2079/$V2079,"")</f>
        <v>0.032258064516129</v>
      </c>
      <c r="T2079" s="11" t="n">
        <f aca="false">SUM(T2074:T2078)</f>
        <v>1</v>
      </c>
      <c r="U2079" s="14" t="n">
        <f aca="false">IFERROR(T2079/$V2079,"")</f>
        <v>0.032258064516129</v>
      </c>
      <c r="V2079" s="11" t="n">
        <f aca="false">SUM(V2074:V2078)</f>
        <v>31</v>
      </c>
    </row>
    <row r="2080" customFormat="false" ht="15" hidden="false" customHeight="false" outlineLevel="0" collapsed="false">
      <c r="A2080" s="11" t="s">
        <v>3</v>
      </c>
    </row>
    <row r="2081" customFormat="false" ht="15" hidden="false" customHeight="false" outlineLevel="0" collapsed="false">
      <c r="A2081" s="12" t="s">
        <v>704</v>
      </c>
      <c r="B2081" s="12" t="n">
        <f aca="false">COUNTIFS(Cleaned!$D$2:$D$125,1,Cleaned!CY$2:CY$125,1)</f>
        <v>0</v>
      </c>
      <c r="C2081" s="13" t="n">
        <f aca="false">IFERROR(B2081/$V2081,"")</f>
        <v>0</v>
      </c>
      <c r="D2081" s="12" t="n">
        <f aca="false">COUNTIFS(Cleaned!$D$2:$D$125,1,Cleaned!CY$2:CY$125,2)</f>
        <v>0</v>
      </c>
      <c r="E2081" s="13" t="n">
        <f aca="false">IFERROR(D2081/$V2081,"")</f>
        <v>0</v>
      </c>
      <c r="F2081" s="12" t="n">
        <f aca="false">COUNTIFS(Cleaned!$D$2:$D$125,1,Cleaned!CY$2:CY$125,3)</f>
        <v>1</v>
      </c>
      <c r="G2081" s="13" t="n">
        <f aca="false">IFERROR(F2081/$V2081,"")</f>
        <v>0.5</v>
      </c>
      <c r="H2081" s="12" t="n">
        <f aca="false">COUNTIFS(Cleaned!$D$2:$D$125,1,Cleaned!CY$2:CY$125,4)</f>
        <v>0</v>
      </c>
      <c r="I2081" s="13" t="n">
        <f aca="false">IFERROR(H2081/$V2081,"")</f>
        <v>0</v>
      </c>
      <c r="J2081" s="12" t="n">
        <f aca="false">COUNTIFS(Cleaned!$D$2:$D$125,1,Cleaned!CY$2:CY$125,5)</f>
        <v>0</v>
      </c>
      <c r="K2081" s="13" t="n">
        <f aca="false">IFERROR(J2081/$V2081,"")</f>
        <v>0</v>
      </c>
      <c r="L2081" s="12" t="n">
        <f aca="false">COUNTIFS(Cleaned!$D$2:$D$125,1,Cleaned!CY$2:CY$125,6)</f>
        <v>0</v>
      </c>
      <c r="M2081" s="13" t="n">
        <f aca="false">IFERROR(L2081/$V2081,"")</f>
        <v>0</v>
      </c>
      <c r="N2081" s="12" t="n">
        <f aca="false">COUNTIFS(Cleaned!$D$2:$D$125,1,Cleaned!CY$2:CY$125,7)</f>
        <v>1</v>
      </c>
      <c r="O2081" s="13" t="n">
        <f aca="false">IFERROR(N2081/$V2081,"")</f>
        <v>0.5</v>
      </c>
      <c r="P2081" s="12" t="n">
        <f aca="false">COUNTIFS(Cleaned!$D$2:$D$125,1,Cleaned!CY$2:CY$125,8)</f>
        <v>0</v>
      </c>
      <c r="Q2081" s="13" t="n">
        <f aca="false">IFERROR(P2081/$V2081,"")</f>
        <v>0</v>
      </c>
      <c r="R2081" s="12" t="n">
        <f aca="false">COUNTIFS(Cleaned!$D$2:$D$125,1,Cleaned!CY$2:CY$125,9)</f>
        <v>0</v>
      </c>
      <c r="S2081" s="13" t="n">
        <f aca="false">IFERROR(R2081/$V2081,"")</f>
        <v>0</v>
      </c>
      <c r="T2081" s="12" t="n">
        <f aca="false">COUNTIFS(Cleaned!$D$2:$D$125,1,Cleaned!CY$2:CY$125,10)</f>
        <v>0</v>
      </c>
      <c r="U2081" s="13" t="n">
        <f aca="false">IFERROR(T2081/$V2081,"")</f>
        <v>0</v>
      </c>
      <c r="V2081" s="12" t="n">
        <f aca="false">B2081+D2081+F2081+H2081+J2081+L2081+N2081+P2081+R2081+T2081</f>
        <v>2</v>
      </c>
    </row>
    <row r="2082" customFormat="false" ht="15" hidden="false" customHeight="false" outlineLevel="0" collapsed="false">
      <c r="A2082" s="12" t="s">
        <v>705</v>
      </c>
      <c r="B2082" s="12" t="n">
        <f aca="false">COUNTIFS(Cleaned!$D$2:$D$125,2,Cleaned!CY$2:CY$125,1)</f>
        <v>0</v>
      </c>
      <c r="C2082" s="13" t="n">
        <f aca="false">IFERROR(B2082/$V2082,"")</f>
        <v>0</v>
      </c>
      <c r="D2082" s="12" t="n">
        <f aca="false">COUNTIFS(Cleaned!$D$2:$D$125,2,Cleaned!CY$2:CY$125,2)</f>
        <v>0</v>
      </c>
      <c r="E2082" s="13" t="n">
        <f aca="false">IFERROR(D2082/$V2082,"")</f>
        <v>0</v>
      </c>
      <c r="F2082" s="12" t="n">
        <f aca="false">COUNTIFS(Cleaned!$D$2:$D$125,2,Cleaned!CY$2:CY$125,3)</f>
        <v>0</v>
      </c>
      <c r="G2082" s="13" t="n">
        <f aca="false">IFERROR(F2082/$V2082,"")</f>
        <v>0</v>
      </c>
      <c r="H2082" s="12" t="n">
        <f aca="false">COUNTIFS(Cleaned!$D$2:$D$125,2,Cleaned!CY$2:CY$125,4)</f>
        <v>0</v>
      </c>
      <c r="I2082" s="13" t="n">
        <f aca="false">IFERROR(H2082/$V2082,"")</f>
        <v>0</v>
      </c>
      <c r="J2082" s="12" t="n">
        <f aca="false">COUNTIFS(Cleaned!$D$2:$D$125,2,Cleaned!CY$2:CY$125,5)</f>
        <v>0</v>
      </c>
      <c r="K2082" s="13" t="n">
        <f aca="false">IFERROR(J2082/$V2082,"")</f>
        <v>0</v>
      </c>
      <c r="L2082" s="12" t="n">
        <f aca="false">COUNTIFS(Cleaned!$D$2:$D$125,2,Cleaned!CY$2:CY$125,6)</f>
        <v>0</v>
      </c>
      <c r="M2082" s="13" t="n">
        <f aca="false">IFERROR(L2082/$V2082,"")</f>
        <v>0</v>
      </c>
      <c r="N2082" s="12" t="n">
        <f aca="false">COUNTIFS(Cleaned!$D$2:$D$125,2,Cleaned!CY$2:CY$125,7)</f>
        <v>12</v>
      </c>
      <c r="O2082" s="13" t="n">
        <f aca="false">IFERROR(N2082/$V2082,"")</f>
        <v>1</v>
      </c>
      <c r="P2082" s="12" t="n">
        <f aca="false">COUNTIFS(Cleaned!$D$2:$D$125,2,Cleaned!CY$2:CY$125,8)</f>
        <v>0</v>
      </c>
      <c r="Q2082" s="13" t="n">
        <f aca="false">IFERROR(P2082/$V2082,"")</f>
        <v>0</v>
      </c>
      <c r="R2082" s="12" t="n">
        <f aca="false">COUNTIFS(Cleaned!$D$2:$D$125,2,Cleaned!CY$2:CY$125,9)</f>
        <v>0</v>
      </c>
      <c r="S2082" s="13" t="n">
        <f aca="false">IFERROR(R2082/$V2082,"")</f>
        <v>0</v>
      </c>
      <c r="T2082" s="12" t="n">
        <f aca="false">COUNTIFS(Cleaned!$D$2:$D$125,2,Cleaned!CY$2:CY$125,10)</f>
        <v>0</v>
      </c>
      <c r="U2082" s="13" t="n">
        <f aca="false">IFERROR(T2082/$V2082,"")</f>
        <v>0</v>
      </c>
      <c r="V2082" s="12" t="n">
        <f aca="false">B2082+D2082+F2082+H2082+J2082+L2082+N2082+P2082+R2082+T2082</f>
        <v>12</v>
      </c>
    </row>
    <row r="2083" customFormat="false" ht="15" hidden="false" customHeight="false" outlineLevel="0" collapsed="false">
      <c r="A2083" s="12" t="s">
        <v>706</v>
      </c>
      <c r="B2083" s="12" t="n">
        <f aca="false">COUNTIFS(Cleaned!$D$2:$D$125,3,Cleaned!CY$2:CY$125,1)</f>
        <v>0</v>
      </c>
      <c r="C2083" s="13" t="n">
        <f aca="false">IFERROR(B2083/$V2083,"")</f>
        <v>0</v>
      </c>
      <c r="D2083" s="12" t="n">
        <f aca="false">COUNTIFS(Cleaned!$D$2:$D$125,3,Cleaned!CY$2:CY$125,2)</f>
        <v>0</v>
      </c>
      <c r="E2083" s="13" t="n">
        <f aca="false">IFERROR(D2083/$V2083,"")</f>
        <v>0</v>
      </c>
      <c r="F2083" s="12" t="n">
        <f aca="false">COUNTIFS(Cleaned!$D$2:$D$125,3,Cleaned!CY$2:CY$125,3)</f>
        <v>0</v>
      </c>
      <c r="G2083" s="13" t="n">
        <f aca="false">IFERROR(F2083/$V2083,"")</f>
        <v>0</v>
      </c>
      <c r="H2083" s="12" t="n">
        <f aca="false">COUNTIFS(Cleaned!$D$2:$D$125,3,Cleaned!CY$2:CY$125,4)</f>
        <v>1</v>
      </c>
      <c r="I2083" s="13" t="n">
        <f aca="false">IFERROR(H2083/$V2083,"")</f>
        <v>0.166666666666667</v>
      </c>
      <c r="J2083" s="12" t="n">
        <f aca="false">COUNTIFS(Cleaned!$D$2:$D$125,3,Cleaned!CY$2:CY$125,5)</f>
        <v>0</v>
      </c>
      <c r="K2083" s="13" t="n">
        <f aca="false">IFERROR(J2083/$V2083,"")</f>
        <v>0</v>
      </c>
      <c r="L2083" s="12" t="n">
        <f aca="false">COUNTIFS(Cleaned!$D$2:$D$125,3,Cleaned!CY$2:CY$125,6)</f>
        <v>0</v>
      </c>
      <c r="M2083" s="13" t="n">
        <f aca="false">IFERROR(L2083/$V2083,"")</f>
        <v>0</v>
      </c>
      <c r="N2083" s="12" t="n">
        <f aca="false">COUNTIFS(Cleaned!$D$2:$D$125,3,Cleaned!CY$2:CY$125,7)</f>
        <v>4</v>
      </c>
      <c r="O2083" s="13" t="n">
        <f aca="false">IFERROR(N2083/$V2083,"")</f>
        <v>0.666666666666667</v>
      </c>
      <c r="P2083" s="12" t="n">
        <f aca="false">COUNTIFS(Cleaned!$D$2:$D$125,3,Cleaned!CY$2:CY$125,8)</f>
        <v>0</v>
      </c>
      <c r="Q2083" s="13" t="n">
        <f aca="false">IFERROR(P2083/$V2083,"")</f>
        <v>0</v>
      </c>
      <c r="R2083" s="12" t="n">
        <f aca="false">COUNTIFS(Cleaned!$D$2:$D$125,3,Cleaned!CY$2:CY$125,9)</f>
        <v>0</v>
      </c>
      <c r="S2083" s="13" t="n">
        <f aca="false">IFERROR(R2083/$V2083,"")</f>
        <v>0</v>
      </c>
      <c r="T2083" s="12" t="n">
        <f aca="false">COUNTIFS(Cleaned!$D$2:$D$125,3,Cleaned!CY$2:CY$125,10)</f>
        <v>1</v>
      </c>
      <c r="U2083" s="13" t="n">
        <f aca="false">IFERROR(T2083/$V2083,"")</f>
        <v>0.166666666666667</v>
      </c>
      <c r="V2083" s="12" t="n">
        <f aca="false">B2083+D2083+F2083+H2083+J2083+L2083+N2083+P2083+R2083+T2083</f>
        <v>6</v>
      </c>
    </row>
    <row r="2084" customFormat="false" ht="15" hidden="false" customHeight="false" outlineLevel="0" collapsed="false">
      <c r="A2084" s="12" t="s">
        <v>707</v>
      </c>
      <c r="B2084" s="12" t="n">
        <f aca="false">COUNTIFS(Cleaned!$D$2:$D$125,4,Cleaned!CY$2:CY$125,1)</f>
        <v>0</v>
      </c>
      <c r="C2084" s="13" t="n">
        <f aca="false">IFERROR(B2084/$V2084,"")</f>
        <v>0</v>
      </c>
      <c r="D2084" s="12" t="n">
        <f aca="false">COUNTIFS(Cleaned!$D$2:$D$125,4,Cleaned!CY$2:CY$125,2)</f>
        <v>0</v>
      </c>
      <c r="E2084" s="13" t="n">
        <f aca="false">IFERROR(D2084/$V2084,"")</f>
        <v>0</v>
      </c>
      <c r="F2084" s="12" t="n">
        <f aca="false">COUNTIFS(Cleaned!$D$2:$D$125,4,Cleaned!CY$2:CY$125,3)</f>
        <v>0</v>
      </c>
      <c r="G2084" s="13" t="n">
        <f aca="false">IFERROR(F2084/$V2084,"")</f>
        <v>0</v>
      </c>
      <c r="H2084" s="12" t="n">
        <f aca="false">COUNTIFS(Cleaned!$D$2:$D$125,4,Cleaned!CY$2:CY$125,4)</f>
        <v>1</v>
      </c>
      <c r="I2084" s="13" t="n">
        <f aca="false">IFERROR(H2084/$V2084,"")</f>
        <v>0.333333333333333</v>
      </c>
      <c r="J2084" s="12" t="n">
        <f aca="false">COUNTIFS(Cleaned!$D$2:$D$125,4,Cleaned!CY$2:CY$125,5)</f>
        <v>0</v>
      </c>
      <c r="K2084" s="13" t="n">
        <f aca="false">IFERROR(J2084/$V2084,"")</f>
        <v>0</v>
      </c>
      <c r="L2084" s="12" t="n">
        <f aca="false">COUNTIFS(Cleaned!$D$2:$D$125,4,Cleaned!CY$2:CY$125,6)</f>
        <v>1</v>
      </c>
      <c r="M2084" s="13" t="n">
        <f aca="false">IFERROR(L2084/$V2084,"")</f>
        <v>0.333333333333333</v>
      </c>
      <c r="N2084" s="12" t="n">
        <f aca="false">COUNTIFS(Cleaned!$D$2:$D$125,4,Cleaned!CY$2:CY$125,7)</f>
        <v>0</v>
      </c>
      <c r="O2084" s="13" t="n">
        <f aca="false">IFERROR(N2084/$V2084,"")</f>
        <v>0</v>
      </c>
      <c r="P2084" s="12" t="n">
        <f aca="false">COUNTIFS(Cleaned!$D$2:$D$125,4,Cleaned!CY$2:CY$125,8)</f>
        <v>0</v>
      </c>
      <c r="Q2084" s="13" t="n">
        <f aca="false">IFERROR(P2084/$V2084,"")</f>
        <v>0</v>
      </c>
      <c r="R2084" s="12" t="n">
        <f aca="false">COUNTIFS(Cleaned!$D$2:$D$125,4,Cleaned!CY$2:CY$125,9)</f>
        <v>1</v>
      </c>
      <c r="S2084" s="13" t="n">
        <f aca="false">IFERROR(R2084/$V2084,"")</f>
        <v>0.333333333333333</v>
      </c>
      <c r="T2084" s="12" t="n">
        <f aca="false">COUNTIFS(Cleaned!$D$2:$D$125,4,Cleaned!CY$2:CY$125,10)</f>
        <v>0</v>
      </c>
      <c r="U2084" s="13" t="n">
        <f aca="false">IFERROR(T2084/$V2084,"")</f>
        <v>0</v>
      </c>
      <c r="V2084" s="12" t="n">
        <f aca="false">B2084+D2084+F2084+H2084+J2084+L2084+N2084+P2084+R2084+T2084</f>
        <v>3</v>
      </c>
    </row>
    <row r="2085" customFormat="false" ht="15" hidden="false" customHeight="false" outlineLevel="0" collapsed="false">
      <c r="A2085" s="12" t="s">
        <v>708</v>
      </c>
      <c r="B2085" s="12" t="n">
        <f aca="false">COUNTIFS(Cleaned!$D$2:$D$125,5,Cleaned!CY$2:CY$125,1)</f>
        <v>0</v>
      </c>
      <c r="C2085" s="13" t="n">
        <f aca="false">IFERROR(B2085/$V2085,"")</f>
        <v>0</v>
      </c>
      <c r="D2085" s="12" t="n">
        <f aca="false">COUNTIFS(Cleaned!$D$2:$D$125,5,Cleaned!CY$2:CY$125,2)</f>
        <v>0</v>
      </c>
      <c r="E2085" s="13" t="n">
        <f aca="false">IFERROR(D2085/$V2085,"")</f>
        <v>0</v>
      </c>
      <c r="F2085" s="12" t="n">
        <f aca="false">COUNTIFS(Cleaned!$D$2:$D$125,5,Cleaned!CY$2:CY$125,3)</f>
        <v>0</v>
      </c>
      <c r="G2085" s="13" t="n">
        <f aca="false">IFERROR(F2085/$V2085,"")</f>
        <v>0</v>
      </c>
      <c r="H2085" s="12" t="n">
        <f aca="false">COUNTIFS(Cleaned!$D$2:$D$125,5,Cleaned!CY$2:CY$125,4)</f>
        <v>0</v>
      </c>
      <c r="I2085" s="13" t="n">
        <f aca="false">IFERROR(H2085/$V2085,"")</f>
        <v>0</v>
      </c>
      <c r="J2085" s="12" t="n">
        <f aca="false">COUNTIFS(Cleaned!$D$2:$D$125,5,Cleaned!CY$2:CY$125,5)</f>
        <v>0</v>
      </c>
      <c r="K2085" s="13" t="n">
        <f aca="false">IFERROR(J2085/$V2085,"")</f>
        <v>0</v>
      </c>
      <c r="L2085" s="12" t="n">
        <f aca="false">COUNTIFS(Cleaned!$D$2:$D$125,5,Cleaned!CY$2:CY$125,6)</f>
        <v>0</v>
      </c>
      <c r="M2085" s="13" t="n">
        <f aca="false">IFERROR(L2085/$V2085,"")</f>
        <v>0</v>
      </c>
      <c r="N2085" s="12" t="n">
        <f aca="false">COUNTIFS(Cleaned!$D$2:$D$125,5,Cleaned!CY$2:CY$125,7)</f>
        <v>0</v>
      </c>
      <c r="O2085" s="13" t="n">
        <f aca="false">IFERROR(N2085/$V2085,"")</f>
        <v>0</v>
      </c>
      <c r="P2085" s="12" t="n">
        <f aca="false">COUNTIFS(Cleaned!$D$2:$D$125,5,Cleaned!CY$2:CY$125,8)</f>
        <v>1</v>
      </c>
      <c r="Q2085" s="13" t="n">
        <f aca="false">IFERROR(P2085/$V2085,"")</f>
        <v>1</v>
      </c>
      <c r="R2085" s="12" t="n">
        <f aca="false">COUNTIFS(Cleaned!$D$2:$D$125,5,Cleaned!CY$2:CY$125,9)</f>
        <v>0</v>
      </c>
      <c r="S2085" s="13" t="n">
        <f aca="false">IFERROR(R2085/$V2085,"")</f>
        <v>0</v>
      </c>
      <c r="T2085" s="12" t="n">
        <f aca="false">COUNTIFS(Cleaned!$D$2:$D$125,5,Cleaned!CY$2:CY$125,10)</f>
        <v>0</v>
      </c>
      <c r="U2085" s="13" t="n">
        <f aca="false">IFERROR(T2085/$V2085,"")</f>
        <v>0</v>
      </c>
      <c r="V2085" s="12" t="n">
        <f aca="false">B2085+D2085+F2085+H2085+J2085+L2085+N2085+P2085+R2085+T2085</f>
        <v>1</v>
      </c>
    </row>
    <row r="2086" customFormat="false" ht="15" hidden="false" customHeight="false" outlineLevel="0" collapsed="false">
      <c r="A2086" s="12" t="s">
        <v>709</v>
      </c>
      <c r="B2086" s="12" t="n">
        <f aca="false">COUNTIFS(Cleaned!$D$2:$D$125,6,Cleaned!CY$2:CY$125,1)</f>
        <v>1</v>
      </c>
      <c r="C2086" s="13" t="n">
        <f aca="false">IFERROR(B2086/$V2086,"")</f>
        <v>1</v>
      </c>
      <c r="D2086" s="12" t="n">
        <f aca="false">COUNTIFS(Cleaned!$D$2:$D$125,6,Cleaned!CY$2:CY$125,2)</f>
        <v>0</v>
      </c>
      <c r="E2086" s="13" t="n">
        <f aca="false">IFERROR(D2086/$V2086,"")</f>
        <v>0</v>
      </c>
      <c r="F2086" s="12" t="n">
        <f aca="false">COUNTIFS(Cleaned!$D$2:$D$125,6,Cleaned!CY$2:CY$125,3)</f>
        <v>0</v>
      </c>
      <c r="G2086" s="13" t="n">
        <f aca="false">IFERROR(F2086/$V2086,"")</f>
        <v>0</v>
      </c>
      <c r="H2086" s="12" t="n">
        <f aca="false">COUNTIFS(Cleaned!$D$2:$D$125,6,Cleaned!CY$2:CY$125,4)</f>
        <v>0</v>
      </c>
      <c r="I2086" s="13" t="n">
        <f aca="false">IFERROR(H2086/$V2086,"")</f>
        <v>0</v>
      </c>
      <c r="J2086" s="12" t="n">
        <f aca="false">COUNTIFS(Cleaned!$D$2:$D$125,6,Cleaned!CY$2:CY$125,5)</f>
        <v>0</v>
      </c>
      <c r="K2086" s="13" t="n">
        <f aca="false">IFERROR(J2086/$V2086,"")</f>
        <v>0</v>
      </c>
      <c r="L2086" s="12" t="n">
        <f aca="false">COUNTIFS(Cleaned!$D$2:$D$125,6,Cleaned!CY$2:CY$125,6)</f>
        <v>0</v>
      </c>
      <c r="M2086" s="13" t="n">
        <f aca="false">IFERROR(L2086/$V2086,"")</f>
        <v>0</v>
      </c>
      <c r="N2086" s="12" t="n">
        <f aca="false">COUNTIFS(Cleaned!$D$2:$D$125,6,Cleaned!CY$2:CY$125,7)</f>
        <v>0</v>
      </c>
      <c r="O2086" s="13" t="n">
        <f aca="false">IFERROR(N2086/$V2086,"")</f>
        <v>0</v>
      </c>
      <c r="P2086" s="12" t="n">
        <f aca="false">COUNTIFS(Cleaned!$D$2:$D$125,6,Cleaned!CY$2:CY$125,8)</f>
        <v>0</v>
      </c>
      <c r="Q2086" s="13" t="n">
        <f aca="false">IFERROR(P2086/$V2086,"")</f>
        <v>0</v>
      </c>
      <c r="R2086" s="12" t="n">
        <f aca="false">COUNTIFS(Cleaned!$D$2:$D$125,6,Cleaned!CY$2:CY$125,9)</f>
        <v>0</v>
      </c>
      <c r="S2086" s="13" t="n">
        <f aca="false">IFERROR(R2086/$V2086,"")</f>
        <v>0</v>
      </c>
      <c r="T2086" s="12" t="n">
        <f aca="false">COUNTIFS(Cleaned!$D$2:$D$125,6,Cleaned!CY$2:CY$125,10)</f>
        <v>0</v>
      </c>
      <c r="U2086" s="13" t="n">
        <f aca="false">IFERROR(T2086/$V2086,"")</f>
        <v>0</v>
      </c>
      <c r="V2086" s="12" t="n">
        <f aca="false">B2086+D2086+F2086+H2086+J2086+L2086+N2086+P2086+R2086+T2086</f>
        <v>1</v>
      </c>
    </row>
    <row r="2087" customFormat="false" ht="15" hidden="false" customHeight="false" outlineLevel="0" collapsed="false">
      <c r="A2087" s="12" t="s">
        <v>710</v>
      </c>
      <c r="B2087" s="12" t="n">
        <f aca="false">COUNTIFS(Cleaned!$D$2:$D$125,7,Cleaned!CY$2:CY$125,1)</f>
        <v>0</v>
      </c>
      <c r="C2087" s="13" t="n">
        <f aca="false">IFERROR(B2087/$V2087,"")</f>
        <v>0</v>
      </c>
      <c r="D2087" s="12" t="n">
        <f aca="false">COUNTIFS(Cleaned!$D$2:$D$125,7,Cleaned!CY$2:CY$125,2)</f>
        <v>1</v>
      </c>
      <c r="E2087" s="13" t="n">
        <f aca="false">IFERROR(D2087/$V2087,"")</f>
        <v>0.25</v>
      </c>
      <c r="F2087" s="12" t="n">
        <f aca="false">COUNTIFS(Cleaned!$D$2:$D$125,7,Cleaned!CY$2:CY$125,3)</f>
        <v>0</v>
      </c>
      <c r="G2087" s="13" t="n">
        <f aca="false">IFERROR(F2087/$V2087,"")</f>
        <v>0</v>
      </c>
      <c r="H2087" s="12" t="n">
        <f aca="false">COUNTIFS(Cleaned!$D$2:$D$125,7,Cleaned!CY$2:CY$125,4)</f>
        <v>0</v>
      </c>
      <c r="I2087" s="13" t="n">
        <f aca="false">IFERROR(H2087/$V2087,"")</f>
        <v>0</v>
      </c>
      <c r="J2087" s="12" t="n">
        <f aca="false">COUNTIFS(Cleaned!$D$2:$D$125,7,Cleaned!CY$2:CY$125,5)</f>
        <v>1</v>
      </c>
      <c r="K2087" s="13" t="n">
        <f aca="false">IFERROR(J2087/$V2087,"")</f>
        <v>0.25</v>
      </c>
      <c r="L2087" s="12" t="n">
        <f aca="false">COUNTIFS(Cleaned!$D$2:$D$125,7,Cleaned!CY$2:CY$125,6)</f>
        <v>0</v>
      </c>
      <c r="M2087" s="13" t="n">
        <f aca="false">IFERROR(L2087/$V2087,"")</f>
        <v>0</v>
      </c>
      <c r="N2087" s="12" t="n">
        <f aca="false">COUNTIFS(Cleaned!$D$2:$D$125,7,Cleaned!CY$2:CY$125,7)</f>
        <v>2</v>
      </c>
      <c r="O2087" s="13" t="n">
        <f aca="false">IFERROR(N2087/$V2087,"")</f>
        <v>0.5</v>
      </c>
      <c r="P2087" s="12" t="n">
        <f aca="false">COUNTIFS(Cleaned!$D$2:$D$125,7,Cleaned!CY$2:CY$125,8)</f>
        <v>0</v>
      </c>
      <c r="Q2087" s="13" t="n">
        <f aca="false">IFERROR(P2087/$V2087,"")</f>
        <v>0</v>
      </c>
      <c r="R2087" s="12" t="n">
        <f aca="false">COUNTIFS(Cleaned!$D$2:$D$125,7,Cleaned!CY$2:CY$125,9)</f>
        <v>0</v>
      </c>
      <c r="S2087" s="13" t="n">
        <f aca="false">IFERROR(R2087/$V2087,"")</f>
        <v>0</v>
      </c>
      <c r="T2087" s="12" t="n">
        <f aca="false">COUNTIFS(Cleaned!$D$2:$D$125,7,Cleaned!CY$2:CY$125,10)</f>
        <v>0</v>
      </c>
      <c r="U2087" s="13" t="n">
        <f aca="false">IFERROR(T2087/$V2087,"")</f>
        <v>0</v>
      </c>
      <c r="V2087" s="12" t="n">
        <f aca="false">B2087+D2087+F2087+H2087+J2087+L2087+N2087+P2087+R2087+T2087</f>
        <v>4</v>
      </c>
    </row>
    <row r="2088" customFormat="false" ht="15" hidden="false" customHeight="false" outlineLevel="0" collapsed="false">
      <c r="A2088" s="12" t="s">
        <v>711</v>
      </c>
      <c r="B2088" s="12" t="n">
        <f aca="false">COUNTIFS(Cleaned!$D$2:$D$125,8,Cleaned!CY$2:CY$125,1)</f>
        <v>0</v>
      </c>
      <c r="C2088" s="13" t="n">
        <f aca="false">IFERROR(B2088/$V2088,"")</f>
        <v>0</v>
      </c>
      <c r="D2088" s="12" t="n">
        <f aca="false">COUNTIFS(Cleaned!$D$2:$D$125,8,Cleaned!CY$2:CY$125,2)</f>
        <v>0</v>
      </c>
      <c r="E2088" s="13" t="n">
        <f aca="false">IFERROR(D2088/$V2088,"")</f>
        <v>0</v>
      </c>
      <c r="F2088" s="12" t="n">
        <f aca="false">COUNTIFS(Cleaned!$D$2:$D$125,8,Cleaned!CY$2:CY$125,3)</f>
        <v>0</v>
      </c>
      <c r="G2088" s="13" t="n">
        <f aca="false">IFERROR(F2088/$V2088,"")</f>
        <v>0</v>
      </c>
      <c r="H2088" s="12" t="n">
        <f aca="false">COUNTIFS(Cleaned!$D$2:$D$125,8,Cleaned!CY$2:CY$125,4)</f>
        <v>0</v>
      </c>
      <c r="I2088" s="13" t="n">
        <f aca="false">IFERROR(H2088/$V2088,"")</f>
        <v>0</v>
      </c>
      <c r="J2088" s="12" t="n">
        <f aca="false">COUNTIFS(Cleaned!$D$2:$D$125,8,Cleaned!CY$2:CY$125,5)</f>
        <v>0</v>
      </c>
      <c r="K2088" s="13" t="n">
        <f aca="false">IFERROR(J2088/$V2088,"")</f>
        <v>0</v>
      </c>
      <c r="L2088" s="12" t="n">
        <f aca="false">COUNTIFS(Cleaned!$D$2:$D$125,8,Cleaned!CY$2:CY$125,6)</f>
        <v>0</v>
      </c>
      <c r="M2088" s="13" t="n">
        <f aca="false">IFERROR(L2088/$V2088,"")</f>
        <v>0</v>
      </c>
      <c r="N2088" s="12" t="n">
        <f aca="false">COUNTIFS(Cleaned!$D$2:$D$125,8,Cleaned!CY$2:CY$125,7)</f>
        <v>1</v>
      </c>
      <c r="O2088" s="13" t="n">
        <f aca="false">IFERROR(N2088/$V2088,"")</f>
        <v>1</v>
      </c>
      <c r="P2088" s="12" t="n">
        <f aca="false">COUNTIFS(Cleaned!$D$2:$D$125,8,Cleaned!CY$2:CY$125,8)</f>
        <v>0</v>
      </c>
      <c r="Q2088" s="13" t="n">
        <f aca="false">IFERROR(P2088/$V2088,"")</f>
        <v>0</v>
      </c>
      <c r="R2088" s="12" t="n">
        <f aca="false">COUNTIFS(Cleaned!$D$2:$D$125,8,Cleaned!CY$2:CY$125,9)</f>
        <v>0</v>
      </c>
      <c r="S2088" s="13" t="n">
        <f aca="false">IFERROR(R2088/$V2088,"")</f>
        <v>0</v>
      </c>
      <c r="T2088" s="12" t="n">
        <f aca="false">COUNTIFS(Cleaned!$D$2:$D$125,8,Cleaned!CY$2:CY$125,10)</f>
        <v>0</v>
      </c>
      <c r="U2088" s="13" t="n">
        <f aca="false">IFERROR(T2088/$V2088,"")</f>
        <v>0</v>
      </c>
      <c r="V2088" s="12" t="n">
        <f aca="false">B2088+D2088+F2088+H2088+J2088+L2088+N2088+P2088+R2088+T2088</f>
        <v>1</v>
      </c>
    </row>
    <row r="2089" customFormat="false" ht="15" hidden="false" customHeight="false" outlineLevel="0" collapsed="false">
      <c r="A2089" s="12" t="s">
        <v>712</v>
      </c>
      <c r="B2089" s="12" t="n">
        <f aca="false">COUNTIFS(Cleaned!$D$2:$D$125,9,Cleaned!CY$2:CY$125,1)</f>
        <v>0</v>
      </c>
      <c r="C2089" s="13" t="n">
        <f aca="false">IFERROR(B2089/$V2089,"")</f>
        <v>0</v>
      </c>
      <c r="D2089" s="12" t="n">
        <f aca="false">COUNTIFS(Cleaned!$D$2:$D$125,9,Cleaned!CY$2:CY$125,2)</f>
        <v>0</v>
      </c>
      <c r="E2089" s="13" t="n">
        <f aca="false">IFERROR(D2089/$V2089,"")</f>
        <v>0</v>
      </c>
      <c r="F2089" s="12" t="n">
        <f aca="false">COUNTIFS(Cleaned!$D$2:$D$125,9,Cleaned!CY$2:CY$125,3)</f>
        <v>0</v>
      </c>
      <c r="G2089" s="13" t="n">
        <f aca="false">IFERROR(F2089/$V2089,"")</f>
        <v>0</v>
      </c>
      <c r="H2089" s="12" t="n">
        <f aca="false">COUNTIFS(Cleaned!$D$2:$D$125,9,Cleaned!CY$2:CY$125,4)</f>
        <v>0</v>
      </c>
      <c r="I2089" s="13" t="n">
        <f aca="false">IFERROR(H2089/$V2089,"")</f>
        <v>0</v>
      </c>
      <c r="J2089" s="12" t="n">
        <f aca="false">COUNTIFS(Cleaned!$D$2:$D$125,9,Cleaned!CY$2:CY$125,5)</f>
        <v>0</v>
      </c>
      <c r="K2089" s="13" t="n">
        <f aca="false">IFERROR(J2089/$V2089,"")</f>
        <v>0</v>
      </c>
      <c r="L2089" s="12" t="n">
        <f aca="false">COUNTIFS(Cleaned!$D$2:$D$125,9,Cleaned!CY$2:CY$125,6)</f>
        <v>0</v>
      </c>
      <c r="M2089" s="13" t="n">
        <f aca="false">IFERROR(L2089/$V2089,"")</f>
        <v>0</v>
      </c>
      <c r="N2089" s="12" t="n">
        <f aca="false">COUNTIFS(Cleaned!$D$2:$D$125,9,Cleaned!CY$2:CY$125,7)</f>
        <v>1</v>
      </c>
      <c r="O2089" s="13" t="n">
        <f aca="false">IFERROR(N2089/$V2089,"")</f>
        <v>1</v>
      </c>
      <c r="P2089" s="12" t="n">
        <f aca="false">COUNTIFS(Cleaned!$D$2:$D$125,9,Cleaned!CY$2:CY$125,8)</f>
        <v>0</v>
      </c>
      <c r="Q2089" s="13" t="n">
        <f aca="false">IFERROR(P2089/$V2089,"")</f>
        <v>0</v>
      </c>
      <c r="R2089" s="12" t="n">
        <f aca="false">COUNTIFS(Cleaned!$D$2:$D$125,9,Cleaned!CY$2:CY$125,9)</f>
        <v>0</v>
      </c>
      <c r="S2089" s="13" t="n">
        <f aca="false">IFERROR(R2089/$V2089,"")</f>
        <v>0</v>
      </c>
      <c r="T2089" s="12" t="n">
        <f aca="false">COUNTIFS(Cleaned!$D$2:$D$125,9,Cleaned!CY$2:CY$125,10)</f>
        <v>0</v>
      </c>
      <c r="U2089" s="13" t="n">
        <f aca="false">IFERROR(T2089/$V2089,"")</f>
        <v>0</v>
      </c>
      <c r="V2089" s="12" t="n">
        <f aca="false">B2089+D2089+F2089+H2089+J2089+L2089+N2089+P2089+R2089+T2089</f>
        <v>1</v>
      </c>
    </row>
    <row r="2090" customFormat="false" ht="15" hidden="false" customHeight="false" outlineLevel="0" collapsed="false">
      <c r="A2090" s="12" t="s">
        <v>713</v>
      </c>
      <c r="B2090" s="12" t="n">
        <f aca="false">COUNTIFS(Cleaned!$D$2:$D$125,10,Cleaned!CY$2:CY$125,1)</f>
        <v>0</v>
      </c>
      <c r="C2090" s="13" t="str">
        <f aca="false">IFERROR(B2090/$V2090,"")</f>
        <v/>
      </c>
      <c r="D2090" s="12" t="n">
        <f aca="false">COUNTIFS(Cleaned!$D$2:$D$125,10,Cleaned!CY$2:CY$125,2)</f>
        <v>0</v>
      </c>
      <c r="E2090" s="13" t="str">
        <f aca="false">IFERROR(D2090/$V2090,"")</f>
        <v/>
      </c>
      <c r="F2090" s="12" t="n">
        <f aca="false">COUNTIFS(Cleaned!$D$2:$D$125,10,Cleaned!CY$2:CY$125,3)</f>
        <v>0</v>
      </c>
      <c r="G2090" s="13" t="str">
        <f aca="false">IFERROR(F2090/$V2090,"")</f>
        <v/>
      </c>
      <c r="H2090" s="12" t="n">
        <f aca="false">COUNTIFS(Cleaned!$D$2:$D$125,10,Cleaned!CY$2:CY$125,4)</f>
        <v>0</v>
      </c>
      <c r="I2090" s="13" t="str">
        <f aca="false">IFERROR(H2090/$V2090,"")</f>
        <v/>
      </c>
      <c r="J2090" s="12" t="n">
        <f aca="false">COUNTIFS(Cleaned!$D$2:$D$125,10,Cleaned!CY$2:CY$125,5)</f>
        <v>0</v>
      </c>
      <c r="K2090" s="13" t="str">
        <f aca="false">IFERROR(J2090/$V2090,"")</f>
        <v/>
      </c>
      <c r="L2090" s="12" t="n">
        <f aca="false">COUNTIFS(Cleaned!$D$2:$D$125,10,Cleaned!CY$2:CY$125,6)</f>
        <v>0</v>
      </c>
      <c r="M2090" s="13" t="str">
        <f aca="false">IFERROR(L2090/$V2090,"")</f>
        <v/>
      </c>
      <c r="N2090" s="12" t="n">
        <f aca="false">COUNTIFS(Cleaned!$D$2:$D$125,10,Cleaned!CY$2:CY$125,7)</f>
        <v>0</v>
      </c>
      <c r="O2090" s="13" t="str">
        <f aca="false">IFERROR(N2090/$V2090,"")</f>
        <v/>
      </c>
      <c r="P2090" s="12" t="n">
        <f aca="false">COUNTIFS(Cleaned!$D$2:$D$125,10,Cleaned!CY$2:CY$125,8)</f>
        <v>0</v>
      </c>
      <c r="Q2090" s="13" t="str">
        <f aca="false">IFERROR(P2090/$V2090,"")</f>
        <v/>
      </c>
      <c r="R2090" s="12" t="n">
        <f aca="false">COUNTIFS(Cleaned!$D$2:$D$125,10,Cleaned!CY$2:CY$125,9)</f>
        <v>0</v>
      </c>
      <c r="S2090" s="13" t="str">
        <f aca="false">IFERROR(R2090/$V2090,"")</f>
        <v/>
      </c>
      <c r="T2090" s="12" t="n">
        <f aca="false">COUNTIFS(Cleaned!$D$2:$D$125,10,Cleaned!CY$2:CY$125,10)</f>
        <v>0</v>
      </c>
      <c r="U2090" s="13" t="str">
        <f aca="false">IFERROR(T2090/$V2090,"")</f>
        <v/>
      </c>
      <c r="V2090" s="12" t="n">
        <f aca="false">B2090+D2090+F2090+H2090+J2090+L2090+N2090+P2090+R2090+T2090</f>
        <v>0</v>
      </c>
    </row>
    <row r="2091" customFormat="false" ht="15" hidden="false" customHeight="false" outlineLevel="0" collapsed="false">
      <c r="A2091" s="12" t="s">
        <v>714</v>
      </c>
      <c r="B2091" s="12" t="n">
        <f aca="false">COUNTIFS(Cleaned!$D$2:$D$125,11,Cleaned!CY$2:CY$125,1)</f>
        <v>0</v>
      </c>
      <c r="C2091" s="13" t="str">
        <f aca="false">IFERROR(B2091/$V2091,"")</f>
        <v/>
      </c>
      <c r="D2091" s="12" t="n">
        <f aca="false">COUNTIFS(Cleaned!$D$2:$D$125,11,Cleaned!CY$2:CY$125,2)</f>
        <v>0</v>
      </c>
      <c r="E2091" s="13" t="str">
        <f aca="false">IFERROR(D2091/$V2091,"")</f>
        <v/>
      </c>
      <c r="F2091" s="12" t="n">
        <f aca="false">COUNTIFS(Cleaned!$D$2:$D$125,11,Cleaned!CY$2:CY$125,3)</f>
        <v>0</v>
      </c>
      <c r="G2091" s="13" t="str">
        <f aca="false">IFERROR(F2091/$V2091,"")</f>
        <v/>
      </c>
      <c r="H2091" s="12" t="n">
        <f aca="false">COUNTIFS(Cleaned!$D$2:$D$125,11,Cleaned!CY$2:CY$125,4)</f>
        <v>0</v>
      </c>
      <c r="I2091" s="13" t="str">
        <f aca="false">IFERROR(H2091/$V2091,"")</f>
        <v/>
      </c>
      <c r="J2091" s="12" t="n">
        <f aca="false">COUNTIFS(Cleaned!$D$2:$D$125,11,Cleaned!CY$2:CY$125,5)</f>
        <v>0</v>
      </c>
      <c r="K2091" s="13" t="str">
        <f aca="false">IFERROR(J2091/$V2091,"")</f>
        <v/>
      </c>
      <c r="L2091" s="12" t="n">
        <f aca="false">COUNTIFS(Cleaned!$D$2:$D$125,11,Cleaned!CY$2:CY$125,6)</f>
        <v>0</v>
      </c>
      <c r="M2091" s="13" t="str">
        <f aca="false">IFERROR(L2091/$V2091,"")</f>
        <v/>
      </c>
      <c r="N2091" s="12" t="n">
        <f aca="false">COUNTIFS(Cleaned!$D$2:$D$125,11,Cleaned!CY$2:CY$125,7)</f>
        <v>0</v>
      </c>
      <c r="O2091" s="13" t="str">
        <f aca="false">IFERROR(N2091/$V2091,"")</f>
        <v/>
      </c>
      <c r="P2091" s="12" t="n">
        <f aca="false">COUNTIFS(Cleaned!$D$2:$D$125,11,Cleaned!CY$2:CY$125,8)</f>
        <v>0</v>
      </c>
      <c r="Q2091" s="13" t="str">
        <f aca="false">IFERROR(P2091/$V2091,"")</f>
        <v/>
      </c>
      <c r="R2091" s="12" t="n">
        <f aca="false">COUNTIFS(Cleaned!$D$2:$D$125,11,Cleaned!CY$2:CY$125,9)</f>
        <v>0</v>
      </c>
      <c r="S2091" s="13" t="str">
        <f aca="false">IFERROR(R2091/$V2091,"")</f>
        <v/>
      </c>
      <c r="T2091" s="12" t="n">
        <f aca="false">COUNTIFS(Cleaned!$D$2:$D$125,11,Cleaned!CY$2:CY$125,10)</f>
        <v>0</v>
      </c>
      <c r="U2091" s="13" t="str">
        <f aca="false">IFERROR(T2091/$V2091,"")</f>
        <v/>
      </c>
      <c r="V2091" s="12" t="n">
        <f aca="false">B2091+D2091+F2091+H2091+J2091+L2091+N2091+P2091+R2091+T2091</f>
        <v>0</v>
      </c>
    </row>
    <row r="2092" customFormat="false" ht="15" hidden="false" customHeight="false" outlineLevel="0" collapsed="false">
      <c r="A2092" s="12" t="s">
        <v>715</v>
      </c>
      <c r="B2092" s="12" t="n">
        <f aca="false">COUNTIFS(Cleaned!$D$2:$D$125,12,Cleaned!CY$2:CY$125,1)</f>
        <v>0</v>
      </c>
      <c r="C2092" s="13" t="str">
        <f aca="false">IFERROR(B2092/$V2092,"")</f>
        <v/>
      </c>
      <c r="D2092" s="12" t="n">
        <f aca="false">COUNTIFS(Cleaned!$D$2:$D$125,12,Cleaned!CY$2:CY$125,2)</f>
        <v>0</v>
      </c>
      <c r="E2092" s="13" t="str">
        <f aca="false">IFERROR(D2092/$V2092,"")</f>
        <v/>
      </c>
      <c r="F2092" s="12" t="n">
        <f aca="false">COUNTIFS(Cleaned!$D$2:$D$125,12,Cleaned!CY$2:CY$125,3)</f>
        <v>0</v>
      </c>
      <c r="G2092" s="13" t="str">
        <f aca="false">IFERROR(F2092/$V2092,"")</f>
        <v/>
      </c>
      <c r="H2092" s="12" t="n">
        <f aca="false">COUNTIFS(Cleaned!$D$2:$D$125,12,Cleaned!CY$2:CY$125,4)</f>
        <v>0</v>
      </c>
      <c r="I2092" s="13" t="str">
        <f aca="false">IFERROR(H2092/$V2092,"")</f>
        <v/>
      </c>
      <c r="J2092" s="12" t="n">
        <f aca="false">COUNTIFS(Cleaned!$D$2:$D$125,12,Cleaned!CY$2:CY$125,5)</f>
        <v>0</v>
      </c>
      <c r="K2092" s="13" t="str">
        <f aca="false">IFERROR(J2092/$V2092,"")</f>
        <v/>
      </c>
      <c r="L2092" s="12" t="n">
        <f aca="false">COUNTIFS(Cleaned!$D$2:$D$125,12,Cleaned!CY$2:CY$125,6)</f>
        <v>0</v>
      </c>
      <c r="M2092" s="13" t="str">
        <f aca="false">IFERROR(L2092/$V2092,"")</f>
        <v/>
      </c>
      <c r="N2092" s="12" t="n">
        <f aca="false">COUNTIFS(Cleaned!$D$2:$D$125,12,Cleaned!CY$2:CY$125,7)</f>
        <v>0</v>
      </c>
      <c r="O2092" s="13" t="str">
        <f aca="false">IFERROR(N2092/$V2092,"")</f>
        <v/>
      </c>
      <c r="P2092" s="12" t="n">
        <f aca="false">COUNTIFS(Cleaned!$D$2:$D$125,12,Cleaned!CY$2:CY$125,8)</f>
        <v>0</v>
      </c>
      <c r="Q2092" s="13" t="str">
        <f aca="false">IFERROR(P2092/$V2092,"")</f>
        <v/>
      </c>
      <c r="R2092" s="12" t="n">
        <f aca="false">COUNTIFS(Cleaned!$D$2:$D$125,12,Cleaned!CY$2:CY$125,9)</f>
        <v>0</v>
      </c>
      <c r="S2092" s="13" t="str">
        <f aca="false">IFERROR(R2092/$V2092,"")</f>
        <v/>
      </c>
      <c r="T2092" s="12" t="n">
        <f aca="false">COUNTIFS(Cleaned!$D$2:$D$125,12,Cleaned!CY$2:CY$125,10)</f>
        <v>0</v>
      </c>
      <c r="U2092" s="13" t="str">
        <f aca="false">IFERROR(T2092/$V2092,"")</f>
        <v/>
      </c>
      <c r="V2092" s="12" t="n">
        <f aca="false">B2092+D2092+F2092+H2092+J2092+L2092+N2092+P2092+R2092+T2092</f>
        <v>0</v>
      </c>
    </row>
    <row r="2093" customFormat="false" ht="15" hidden="false" customHeight="false" outlineLevel="0" collapsed="false">
      <c r="A2093" s="11" t="s">
        <v>716</v>
      </c>
      <c r="B2093" s="11" t="n">
        <f aca="false">SUM(B2081:B2092)</f>
        <v>1</v>
      </c>
      <c r="C2093" s="14" t="n">
        <f aca="false">IFERROR(B2093/$V2093,"")</f>
        <v>0.032258064516129</v>
      </c>
      <c r="D2093" s="11" t="n">
        <f aca="false">SUM(D2081:D2092)</f>
        <v>1</v>
      </c>
      <c r="E2093" s="14" t="n">
        <f aca="false">IFERROR(D2093/$V2093,"")</f>
        <v>0.032258064516129</v>
      </c>
      <c r="F2093" s="11" t="n">
        <f aca="false">SUM(F2081:F2092)</f>
        <v>1</v>
      </c>
      <c r="G2093" s="14" t="n">
        <f aca="false">IFERROR(F2093/$V2093,"")</f>
        <v>0.032258064516129</v>
      </c>
      <c r="H2093" s="11" t="n">
        <f aca="false">SUM(H2081:H2092)</f>
        <v>2</v>
      </c>
      <c r="I2093" s="14" t="n">
        <f aca="false">IFERROR(H2093/$V2093,"")</f>
        <v>0.0645161290322581</v>
      </c>
      <c r="J2093" s="11" t="n">
        <f aca="false">SUM(J2081:J2092)</f>
        <v>1</v>
      </c>
      <c r="K2093" s="14" t="n">
        <f aca="false">IFERROR(J2093/$V2093,"")</f>
        <v>0.032258064516129</v>
      </c>
      <c r="L2093" s="11" t="n">
        <f aca="false">SUM(L2081:L2092)</f>
        <v>1</v>
      </c>
      <c r="M2093" s="14" t="n">
        <f aca="false">IFERROR(L2093/$V2093,"")</f>
        <v>0.032258064516129</v>
      </c>
      <c r="N2093" s="11" t="n">
        <f aca="false">SUM(N2081:N2092)</f>
        <v>21</v>
      </c>
      <c r="O2093" s="14" t="n">
        <f aca="false">IFERROR(N2093/$V2093,"")</f>
        <v>0.67741935483871</v>
      </c>
      <c r="P2093" s="11" t="n">
        <f aca="false">SUM(P2081:P2092)</f>
        <v>1</v>
      </c>
      <c r="Q2093" s="14" t="n">
        <f aca="false">IFERROR(P2093/$V2093,"")</f>
        <v>0.032258064516129</v>
      </c>
      <c r="R2093" s="11" t="n">
        <f aca="false">SUM(R2081:R2092)</f>
        <v>1</v>
      </c>
      <c r="S2093" s="14" t="n">
        <f aca="false">IFERROR(R2093/$V2093,"")</f>
        <v>0.032258064516129</v>
      </c>
      <c r="T2093" s="11" t="n">
        <f aca="false">SUM(T2081:T2092)</f>
        <v>1</v>
      </c>
      <c r="U2093" s="14" t="n">
        <f aca="false">IFERROR(T2093/$V2093,"")</f>
        <v>0.032258064516129</v>
      </c>
      <c r="V2093" s="11" t="n">
        <f aca="false">SUM(V2081:V2092)</f>
        <v>31</v>
      </c>
    </row>
    <row r="2096" customFormat="false" ht="15" hidden="false" customHeight="false" outlineLevel="0" collapsed="false">
      <c r="A2096" s="6" t="s">
        <v>103</v>
      </c>
      <c r="B2096" s="7" t="s">
        <v>827</v>
      </c>
    </row>
    <row r="2097" customFormat="false" ht="15" hidden="false" customHeight="false" outlineLevel="0" collapsed="false">
      <c r="A2097" s="8"/>
      <c r="B2097" s="9" t="s">
        <v>793</v>
      </c>
      <c r="C2097" s="8"/>
      <c r="D2097" s="9" t="s">
        <v>694</v>
      </c>
    </row>
    <row r="2098" customFormat="false" ht="15" hidden="false" customHeight="false" outlineLevel="0" collapsed="false">
      <c r="B2098" s="10" t="s">
        <v>695</v>
      </c>
      <c r="C2098" s="10" t="s">
        <v>696</v>
      </c>
    </row>
    <row r="2099" customFormat="false" ht="15" hidden="false" customHeight="false" outlineLevel="0" collapsed="false">
      <c r="A2099" s="11" t="s">
        <v>697</v>
      </c>
    </row>
    <row r="2100" customFormat="false" ht="15" hidden="false" customHeight="false" outlineLevel="0" collapsed="false">
      <c r="A2100" s="12" t="s">
        <v>698</v>
      </c>
      <c r="B2100" s="12" t="n">
        <f aca="false">COUNTIFS(Cleaned!$C$2:$C$125,1,Cleaned!CZ$2:CZ$125,1)</f>
        <v>1</v>
      </c>
      <c r="C2100" s="13" t="n">
        <f aca="false">IFERROR(B2100/$D2100,"")</f>
        <v>1</v>
      </c>
      <c r="D2100" s="12" t="n">
        <f aca="false">B2100</f>
        <v>1</v>
      </c>
    </row>
    <row r="2101" customFormat="false" ht="15" hidden="false" customHeight="false" outlineLevel="0" collapsed="false">
      <c r="A2101" s="12" t="s">
        <v>699</v>
      </c>
      <c r="B2101" s="12" t="n">
        <f aca="false">COUNTIFS(Cleaned!$C$2:$C$125,2,Cleaned!CZ$2:CZ$125,1)</f>
        <v>1</v>
      </c>
      <c r="C2101" s="13" t="n">
        <f aca="false">IFERROR(B2101/$D2101,"")</f>
        <v>1</v>
      </c>
      <c r="D2101" s="12" t="n">
        <f aca="false">B2101</f>
        <v>1</v>
      </c>
    </row>
    <row r="2102" customFormat="false" ht="15" hidden="false" customHeight="false" outlineLevel="0" collapsed="false">
      <c r="A2102" s="12" t="s">
        <v>700</v>
      </c>
      <c r="B2102" s="12" t="n">
        <f aca="false">COUNTIFS(Cleaned!$C$2:$C$125,3,Cleaned!CZ$2:CZ$125,1)</f>
        <v>1</v>
      </c>
      <c r="C2102" s="13" t="n">
        <f aca="false">IFERROR(B2102/$D2102,"")</f>
        <v>1</v>
      </c>
      <c r="D2102" s="12" t="n">
        <f aca="false">B2102</f>
        <v>1</v>
      </c>
    </row>
    <row r="2103" customFormat="false" ht="15" hidden="false" customHeight="false" outlineLevel="0" collapsed="false">
      <c r="A2103" s="12" t="s">
        <v>701</v>
      </c>
      <c r="B2103" s="12" t="n">
        <f aca="false">COUNTIFS(Cleaned!$C$2:$C$125,4,Cleaned!CZ$2:CZ$125,1)</f>
        <v>7</v>
      </c>
      <c r="C2103" s="13" t="n">
        <f aca="false">IFERROR(B2103/$D2103,"")</f>
        <v>1</v>
      </c>
      <c r="D2103" s="12" t="n">
        <f aca="false">B2103</f>
        <v>7</v>
      </c>
    </row>
    <row r="2104" customFormat="false" ht="15" hidden="false" customHeight="false" outlineLevel="0" collapsed="false">
      <c r="A2104" s="12" t="s">
        <v>702</v>
      </c>
      <c r="B2104" s="12" t="n">
        <f aca="false">COUNTIFS(Cleaned!$C$2:$C$125,5,Cleaned!CZ$2:CZ$125,1)</f>
        <v>20</v>
      </c>
      <c r="C2104" s="13" t="n">
        <f aca="false">IFERROR(B2104/$D2104,"")</f>
        <v>1</v>
      </c>
      <c r="D2104" s="12" t="n">
        <f aca="false">B2104</f>
        <v>20</v>
      </c>
    </row>
    <row r="2105" customFormat="false" ht="15" hidden="false" customHeight="false" outlineLevel="0" collapsed="false">
      <c r="A2105" s="11" t="s">
        <v>703</v>
      </c>
      <c r="B2105" s="11" t="n">
        <f aca="false">SUM(B2100:B2104)</f>
        <v>30</v>
      </c>
      <c r="C2105" s="14" t="n">
        <f aca="false">IFERROR(B2105/$D2105,"")</f>
        <v>1</v>
      </c>
      <c r="D2105" s="11" t="n">
        <f aca="false">SUM(D2100:D2104)</f>
        <v>30</v>
      </c>
    </row>
    <row r="2106" customFormat="false" ht="15" hidden="false" customHeight="false" outlineLevel="0" collapsed="false">
      <c r="A2106" s="11" t="s">
        <v>3</v>
      </c>
    </row>
    <row r="2107" customFormat="false" ht="15" hidden="false" customHeight="false" outlineLevel="0" collapsed="false">
      <c r="A2107" s="12" t="s">
        <v>704</v>
      </c>
      <c r="B2107" s="12" t="n">
        <f aca="false">COUNTIFS(Cleaned!$D$2:$D$125,1,Cleaned!CZ$2:CZ$125,1)</f>
        <v>2</v>
      </c>
      <c r="C2107" s="13" t="n">
        <f aca="false">IFERROR(B2107/$D2107,"")</f>
        <v>1</v>
      </c>
      <c r="D2107" s="12" t="n">
        <f aca="false">B2107</f>
        <v>2</v>
      </c>
    </row>
    <row r="2108" customFormat="false" ht="15" hidden="false" customHeight="false" outlineLevel="0" collapsed="false">
      <c r="A2108" s="12" t="s">
        <v>705</v>
      </c>
      <c r="B2108" s="12" t="n">
        <f aca="false">COUNTIFS(Cleaned!$D$2:$D$125,2,Cleaned!CZ$2:CZ$125,1)</f>
        <v>12</v>
      </c>
      <c r="C2108" s="13" t="n">
        <f aca="false">IFERROR(B2108/$D2108,"")</f>
        <v>1</v>
      </c>
      <c r="D2108" s="12" t="n">
        <f aca="false">B2108</f>
        <v>12</v>
      </c>
    </row>
    <row r="2109" customFormat="false" ht="15" hidden="false" customHeight="false" outlineLevel="0" collapsed="false">
      <c r="A2109" s="12" t="s">
        <v>706</v>
      </c>
      <c r="B2109" s="12" t="n">
        <f aca="false">COUNTIFS(Cleaned!$D$2:$D$125,3,Cleaned!CZ$2:CZ$125,1)</f>
        <v>6</v>
      </c>
      <c r="C2109" s="13" t="n">
        <f aca="false">IFERROR(B2109/$D2109,"")</f>
        <v>1</v>
      </c>
      <c r="D2109" s="12" t="n">
        <f aca="false">B2109</f>
        <v>6</v>
      </c>
    </row>
    <row r="2110" customFormat="false" ht="15" hidden="false" customHeight="false" outlineLevel="0" collapsed="false">
      <c r="A2110" s="12" t="s">
        <v>707</v>
      </c>
      <c r="B2110" s="12" t="n">
        <f aca="false">COUNTIFS(Cleaned!$D$2:$D$125,4,Cleaned!CZ$2:CZ$125,1)</f>
        <v>3</v>
      </c>
      <c r="C2110" s="13" t="n">
        <f aca="false">IFERROR(B2110/$D2110,"")</f>
        <v>1</v>
      </c>
      <c r="D2110" s="12" t="n">
        <f aca="false">B2110</f>
        <v>3</v>
      </c>
    </row>
    <row r="2111" customFormat="false" ht="15" hidden="false" customHeight="false" outlineLevel="0" collapsed="false">
      <c r="A2111" s="12" t="s">
        <v>708</v>
      </c>
      <c r="B2111" s="12" t="n">
        <f aca="false">COUNTIFS(Cleaned!$D$2:$D$125,5,Cleaned!CZ$2:CZ$125,1)</f>
        <v>1</v>
      </c>
      <c r="C2111" s="13" t="n">
        <f aca="false">IFERROR(B2111/$D2111,"")</f>
        <v>1</v>
      </c>
      <c r="D2111" s="12" t="n">
        <f aca="false">B2111</f>
        <v>1</v>
      </c>
    </row>
    <row r="2112" customFormat="false" ht="15" hidden="false" customHeight="false" outlineLevel="0" collapsed="false">
      <c r="A2112" s="12" t="s">
        <v>709</v>
      </c>
      <c r="B2112" s="12" t="n">
        <f aca="false">COUNTIFS(Cleaned!$D$2:$D$125,6,Cleaned!CZ$2:CZ$125,1)</f>
        <v>1</v>
      </c>
      <c r="C2112" s="13" t="n">
        <f aca="false">IFERROR(B2112/$D2112,"")</f>
        <v>1</v>
      </c>
      <c r="D2112" s="12" t="n">
        <f aca="false">B2112</f>
        <v>1</v>
      </c>
    </row>
    <row r="2113" customFormat="false" ht="15" hidden="false" customHeight="false" outlineLevel="0" collapsed="false">
      <c r="A2113" s="12" t="s">
        <v>710</v>
      </c>
      <c r="B2113" s="12" t="n">
        <f aca="false">COUNTIFS(Cleaned!$D$2:$D$125,7,Cleaned!CZ$2:CZ$125,1)</f>
        <v>3</v>
      </c>
      <c r="C2113" s="13" t="n">
        <f aca="false">IFERROR(B2113/$D2113,"")</f>
        <v>1</v>
      </c>
      <c r="D2113" s="12" t="n">
        <f aca="false">B2113</f>
        <v>3</v>
      </c>
    </row>
    <row r="2114" customFormat="false" ht="15" hidden="false" customHeight="false" outlineLevel="0" collapsed="false">
      <c r="A2114" s="12" t="s">
        <v>711</v>
      </c>
      <c r="B2114" s="12" t="n">
        <f aca="false">COUNTIFS(Cleaned!$D$2:$D$125,8,Cleaned!CZ$2:CZ$125,1)</f>
        <v>1</v>
      </c>
      <c r="C2114" s="13" t="n">
        <f aca="false">IFERROR(B2114/$D2114,"")</f>
        <v>1</v>
      </c>
      <c r="D2114" s="12" t="n">
        <f aca="false">B2114</f>
        <v>1</v>
      </c>
    </row>
    <row r="2115" customFormat="false" ht="15" hidden="false" customHeight="false" outlineLevel="0" collapsed="false">
      <c r="A2115" s="12" t="s">
        <v>712</v>
      </c>
      <c r="B2115" s="12" t="n">
        <f aca="false">COUNTIFS(Cleaned!$D$2:$D$125,9,Cleaned!CZ$2:CZ$125,1)</f>
        <v>1</v>
      </c>
      <c r="C2115" s="13" t="n">
        <f aca="false">IFERROR(B2115/$D2115,"")</f>
        <v>1</v>
      </c>
      <c r="D2115" s="12" t="n">
        <f aca="false">B2115</f>
        <v>1</v>
      </c>
    </row>
    <row r="2116" customFormat="false" ht="15" hidden="false" customHeight="false" outlineLevel="0" collapsed="false">
      <c r="A2116" s="12" t="s">
        <v>713</v>
      </c>
      <c r="B2116" s="12" t="n">
        <f aca="false">COUNTIFS(Cleaned!$D$2:$D$125,10,Cleaned!CZ$2:CZ$125,1)</f>
        <v>0</v>
      </c>
      <c r="C2116" s="13" t="str">
        <f aca="false">IFERROR(B2116/$D2116,"")</f>
        <v/>
      </c>
      <c r="D2116" s="12" t="n">
        <f aca="false">B2116</f>
        <v>0</v>
      </c>
    </row>
    <row r="2117" customFormat="false" ht="15" hidden="false" customHeight="false" outlineLevel="0" collapsed="false">
      <c r="A2117" s="12" t="s">
        <v>714</v>
      </c>
      <c r="B2117" s="12" t="n">
        <f aca="false">COUNTIFS(Cleaned!$D$2:$D$125,11,Cleaned!CZ$2:CZ$125,1)</f>
        <v>0</v>
      </c>
      <c r="C2117" s="13" t="str">
        <f aca="false">IFERROR(B2117/$D2117,"")</f>
        <v/>
      </c>
      <c r="D2117" s="12" t="n">
        <f aca="false">B2117</f>
        <v>0</v>
      </c>
    </row>
    <row r="2118" customFormat="false" ht="15" hidden="false" customHeight="false" outlineLevel="0" collapsed="false">
      <c r="A2118" s="12" t="s">
        <v>715</v>
      </c>
      <c r="B2118" s="12" t="n">
        <f aca="false">COUNTIFS(Cleaned!$D$2:$D$125,12,Cleaned!CZ$2:CZ$125,1)</f>
        <v>0</v>
      </c>
      <c r="C2118" s="13" t="str">
        <f aca="false">IFERROR(B2118/$D2118,"")</f>
        <v/>
      </c>
      <c r="D2118" s="12" t="n">
        <f aca="false">B2118</f>
        <v>0</v>
      </c>
    </row>
    <row r="2119" customFormat="false" ht="15" hidden="false" customHeight="false" outlineLevel="0" collapsed="false">
      <c r="A2119" s="11" t="s">
        <v>716</v>
      </c>
      <c r="B2119" s="11" t="n">
        <f aca="false">SUM(B2107:B2118)</f>
        <v>30</v>
      </c>
      <c r="C2119" s="14" t="n">
        <f aca="false">IFERROR(B2119/$D2119,"")</f>
        <v>1</v>
      </c>
      <c r="D2119" s="11" t="n">
        <f aca="false">SUM(D2107:D2118)</f>
        <v>30</v>
      </c>
    </row>
    <row r="2122" customFormat="false" ht="15" hidden="false" customHeight="false" outlineLevel="0" collapsed="false">
      <c r="A2122" s="6" t="s">
        <v>104</v>
      </c>
      <c r="B2122" s="7" t="s">
        <v>828</v>
      </c>
    </row>
    <row r="2123" customFormat="false" ht="15" hidden="false" customHeight="false" outlineLevel="0" collapsed="false">
      <c r="A2123" s="11" t="s">
        <v>734</v>
      </c>
      <c r="B2123" s="9" t="s">
        <v>694</v>
      </c>
      <c r="C2123" s="9" t="s">
        <v>735</v>
      </c>
      <c r="D2123" s="9" t="s">
        <v>736</v>
      </c>
      <c r="E2123" s="9" t="s">
        <v>737</v>
      </c>
      <c r="F2123" s="9" t="s">
        <v>738</v>
      </c>
    </row>
    <row r="2124" customFormat="false" ht="15" hidden="false" customHeight="false" outlineLevel="0" collapsed="false">
      <c r="B2124" s="12" t="n">
        <f aca="false">COUNT(Cleaned!$DA$2:$DA$125)</f>
        <v>27</v>
      </c>
      <c r="C2124" s="12" t="n">
        <f aca="false">IFERROR(AVERAGE(Cleaned!$DA$2:$DA$125),"")</f>
        <v>2.72892222222222</v>
      </c>
      <c r="D2124" s="12" t="n">
        <f aca="false">IFERROR(MEDIAN(Cleaned!$DA$2:$DA$125),"")</f>
        <v>0.99</v>
      </c>
      <c r="E2124" s="12" t="n">
        <f aca="false">IFERROR(MIN(Cleaned!$DA$2:$DA$125),"")</f>
        <v>0.0294</v>
      </c>
      <c r="F2124" s="12" t="n">
        <f aca="false">IFERROR(MAX(Cleaned!$DA$2:$DA$125),"")</f>
        <v>14</v>
      </c>
    </row>
    <row r="2125" customFormat="false" ht="15" hidden="false" customHeight="false" outlineLevel="0" collapsed="false">
      <c r="A2125" s="11" t="s">
        <v>697</v>
      </c>
      <c r="B2125" s="9" t="s">
        <v>739</v>
      </c>
      <c r="C2125" s="9" t="s">
        <v>735</v>
      </c>
    </row>
    <row r="2126" customFormat="false" ht="15" hidden="false" customHeight="false" outlineLevel="0" collapsed="false">
      <c r="A2126" s="12" t="s">
        <v>698</v>
      </c>
      <c r="B2126" s="12" t="n">
        <f aca="false">COUNTIFS(Cleaned!$C$2:$C$125,1,Cleaned!DA$2:DA$125,"&lt;&gt;")</f>
        <v>1</v>
      </c>
      <c r="C2126" s="15" t="n">
        <f aca="false">IF(B2126=0,"",AVERAGEIF(Cleaned!$C$2:$C$125,1,Cleaned!DA$2:DA$125))</f>
        <v>0.4</v>
      </c>
    </row>
    <row r="2127" customFormat="false" ht="15" hidden="false" customHeight="false" outlineLevel="0" collapsed="false">
      <c r="A2127" s="12" t="s">
        <v>699</v>
      </c>
      <c r="B2127" s="12" t="n">
        <f aca="false">COUNTIFS(Cleaned!$C$2:$C$125,2,Cleaned!DA$2:DA$125,"&lt;&gt;")</f>
        <v>0</v>
      </c>
      <c r="C2127" s="15" t="str">
        <f aca="false">IF(B2127=0,"",AVERAGEIF(Cleaned!$C$2:$C$125,2,Cleaned!DA$2:DA$125))</f>
        <v/>
      </c>
    </row>
    <row r="2128" customFormat="false" ht="15" hidden="false" customHeight="false" outlineLevel="0" collapsed="false">
      <c r="A2128" s="12" t="s">
        <v>700</v>
      </c>
      <c r="B2128" s="12" t="n">
        <f aca="false">COUNTIFS(Cleaned!$C$2:$C$125,3,Cleaned!DA$2:DA$125,"&lt;&gt;")</f>
        <v>1</v>
      </c>
      <c r="C2128" s="15" t="n">
        <f aca="false">IF(B2128=0,"",AVERAGEIF(Cleaned!$C$2:$C$125,3,Cleaned!DA$2:DA$125))</f>
        <v>0.03</v>
      </c>
    </row>
    <row r="2129" customFormat="false" ht="15" hidden="false" customHeight="false" outlineLevel="0" collapsed="false">
      <c r="A2129" s="12" t="s">
        <v>701</v>
      </c>
      <c r="B2129" s="12" t="n">
        <f aca="false">COUNTIFS(Cleaned!$C$2:$C$125,4,Cleaned!DA$2:DA$125,"&lt;&gt;")</f>
        <v>6</v>
      </c>
      <c r="C2129" s="15" t="n">
        <f aca="false">IF(B2129=0,"",AVERAGEIF(Cleaned!$C$2:$C$125,4,Cleaned!DA$2:DA$125))</f>
        <v>2.68</v>
      </c>
    </row>
    <row r="2130" customFormat="false" ht="15" hidden="false" customHeight="false" outlineLevel="0" collapsed="false">
      <c r="A2130" s="12" t="s">
        <v>702</v>
      </c>
      <c r="B2130" s="12" t="n">
        <f aca="false">COUNTIFS(Cleaned!$C$2:$C$125,5,Cleaned!DA$2:DA$125,"&lt;&gt;")</f>
        <v>19</v>
      </c>
      <c r="C2130" s="15" t="n">
        <f aca="false">IF(B2130=0,"",AVERAGEIF(Cleaned!$C$2:$C$125,5,Cleaned!DA$2:DA$125))</f>
        <v>3.00899473684211</v>
      </c>
    </row>
    <row r="2131" customFormat="false" ht="15" hidden="false" customHeight="false" outlineLevel="0" collapsed="false">
      <c r="A2131" s="11" t="s">
        <v>3</v>
      </c>
      <c r="B2131" s="9" t="s">
        <v>739</v>
      </c>
      <c r="C2131" s="9" t="s">
        <v>735</v>
      </c>
    </row>
    <row r="2132" customFormat="false" ht="15" hidden="false" customHeight="false" outlineLevel="0" collapsed="false">
      <c r="A2132" s="12" t="s">
        <v>704</v>
      </c>
      <c r="B2132" s="12" t="n">
        <f aca="false">COUNTIFS(Cleaned!$D$2:$D$125,1,Cleaned!DA$2:DA$125,"&lt;&gt;")</f>
        <v>2</v>
      </c>
      <c r="C2132" s="15" t="n">
        <f aca="false">IF(B2132=0,"",AVERAGEIF(Cleaned!$D$2:$D$125,1,Cleaned!DA$2:DA$125))</f>
        <v>0.695</v>
      </c>
    </row>
    <row r="2133" customFormat="false" ht="15" hidden="false" customHeight="false" outlineLevel="0" collapsed="false">
      <c r="A2133" s="12" t="s">
        <v>705</v>
      </c>
      <c r="B2133" s="12" t="n">
        <f aca="false">COUNTIFS(Cleaned!$D$2:$D$125,2,Cleaned!DA$2:DA$125,"&lt;&gt;")</f>
        <v>11</v>
      </c>
      <c r="C2133" s="15" t="n">
        <f aca="false">IF(B2133=0,"",AVERAGEIF(Cleaned!$D$2:$D$125,2,Cleaned!DA$2:DA$125))</f>
        <v>2.52553636363636</v>
      </c>
    </row>
    <row r="2134" customFormat="false" ht="15" hidden="false" customHeight="false" outlineLevel="0" collapsed="false">
      <c r="A2134" s="12" t="s">
        <v>706</v>
      </c>
      <c r="B2134" s="12" t="n">
        <f aca="false">COUNTIFS(Cleaned!$D$2:$D$125,3,Cleaned!DA$2:DA$125,"&lt;&gt;")</f>
        <v>5</v>
      </c>
      <c r="C2134" s="15" t="n">
        <f aca="false">IF(B2134=0,"",AVERAGEIF(Cleaned!$D$2:$D$125,3,Cleaned!DA$2:DA$125))</f>
        <v>4.636</v>
      </c>
    </row>
    <row r="2135" customFormat="false" ht="15" hidden="false" customHeight="false" outlineLevel="0" collapsed="false">
      <c r="A2135" s="12" t="s">
        <v>707</v>
      </c>
      <c r="B2135" s="12" t="n">
        <f aca="false">COUNTIFS(Cleaned!$D$2:$D$125,4,Cleaned!DA$2:DA$125,"&lt;&gt;")</f>
        <v>3</v>
      </c>
      <c r="C2135" s="15" t="n">
        <f aca="false">IF(B2135=0,"",AVERAGEIF(Cleaned!$D$2:$D$125,4,Cleaned!DA$2:DA$125))</f>
        <v>1.67666666666667</v>
      </c>
    </row>
    <row r="2136" customFormat="false" ht="15" hidden="false" customHeight="false" outlineLevel="0" collapsed="false">
      <c r="A2136" s="12" t="s">
        <v>708</v>
      </c>
      <c r="B2136" s="12" t="n">
        <f aca="false">COUNTIFS(Cleaned!$D$2:$D$125,5,Cleaned!DA$2:DA$125,"&lt;&gt;")</f>
        <v>1</v>
      </c>
      <c r="C2136" s="15" t="n">
        <f aca="false">IF(B2136=0,"",AVERAGEIF(Cleaned!$D$2:$D$125,5,Cleaned!DA$2:DA$125))</f>
        <v>0.05</v>
      </c>
    </row>
    <row r="2137" customFormat="false" ht="15" hidden="false" customHeight="false" outlineLevel="0" collapsed="false">
      <c r="A2137" s="12" t="s">
        <v>709</v>
      </c>
      <c r="B2137" s="12" t="n">
        <f aca="false">COUNTIFS(Cleaned!$D$2:$D$125,6,Cleaned!DA$2:DA$125,"&lt;&gt;")</f>
        <v>0</v>
      </c>
      <c r="C2137" s="15" t="str">
        <f aca="false">IF(B2137=0,"",AVERAGEIF(Cleaned!$D$2:$D$125,6,Cleaned!DA$2:DA$125))</f>
        <v/>
      </c>
    </row>
    <row r="2138" customFormat="false" ht="15" hidden="false" customHeight="false" outlineLevel="0" collapsed="false">
      <c r="A2138" s="12" t="s">
        <v>710</v>
      </c>
      <c r="B2138" s="12" t="n">
        <f aca="false">COUNTIFS(Cleaned!$D$2:$D$125,7,Cleaned!DA$2:DA$125,"&lt;&gt;")</f>
        <v>3</v>
      </c>
      <c r="C2138" s="15" t="n">
        <f aca="false">IF(B2138=0,"",AVERAGEIF(Cleaned!$D$2:$D$125,7,Cleaned!DA$2:DA$125))</f>
        <v>4.40666666666667</v>
      </c>
    </row>
    <row r="2139" customFormat="false" ht="15" hidden="false" customHeight="false" outlineLevel="0" collapsed="false">
      <c r="A2139" s="12" t="s">
        <v>711</v>
      </c>
      <c r="B2139" s="12" t="n">
        <f aca="false">COUNTIFS(Cleaned!$D$2:$D$125,8,Cleaned!DA$2:DA$125,"&lt;&gt;")</f>
        <v>1</v>
      </c>
      <c r="C2139" s="15" t="n">
        <f aca="false">IF(B2139=0,"",AVERAGEIF(Cleaned!$D$2:$D$125,8,Cleaned!DA$2:DA$125))</f>
        <v>3</v>
      </c>
    </row>
    <row r="2140" customFormat="false" ht="15" hidden="false" customHeight="false" outlineLevel="0" collapsed="false">
      <c r="A2140" s="12" t="s">
        <v>712</v>
      </c>
      <c r="B2140" s="12" t="n">
        <f aca="false">COUNTIFS(Cleaned!$D$2:$D$125,9,Cleaned!DA$2:DA$125,"&lt;&gt;")</f>
        <v>1</v>
      </c>
      <c r="C2140" s="15" t="n">
        <f aca="false">IF(B2140=0,"",AVERAGEIF(Cleaned!$D$2:$D$125,9,Cleaned!DA$2:DA$125))</f>
        <v>0.03</v>
      </c>
    </row>
    <row r="2141" customFormat="false" ht="15" hidden="false" customHeight="false" outlineLevel="0" collapsed="false">
      <c r="A2141" s="12" t="s">
        <v>713</v>
      </c>
      <c r="B2141" s="12" t="n">
        <f aca="false">COUNTIFS(Cleaned!$D$2:$D$125,10,Cleaned!DA$2:DA$125,"&lt;&gt;")</f>
        <v>0</v>
      </c>
      <c r="C2141" s="15" t="str">
        <f aca="false">IF(B2141=0,"",AVERAGEIF(Cleaned!$D$2:$D$125,10,Cleaned!DA$2:DA$125))</f>
        <v/>
      </c>
    </row>
    <row r="2142" customFormat="false" ht="15" hidden="false" customHeight="false" outlineLevel="0" collapsed="false">
      <c r="A2142" s="12" t="s">
        <v>714</v>
      </c>
      <c r="B2142" s="12" t="n">
        <f aca="false">COUNTIFS(Cleaned!$D$2:$D$125,11,Cleaned!DA$2:DA$125,"&lt;&gt;")</f>
        <v>0</v>
      </c>
      <c r="C2142" s="15" t="str">
        <f aca="false">IF(B2142=0,"",AVERAGEIF(Cleaned!$D$2:$D$125,11,Cleaned!DA$2:DA$125))</f>
        <v/>
      </c>
    </row>
    <row r="2143" customFormat="false" ht="15" hidden="false" customHeight="false" outlineLevel="0" collapsed="false">
      <c r="A2143" s="12" t="s">
        <v>715</v>
      </c>
      <c r="B2143" s="12" t="n">
        <f aca="false">COUNTIFS(Cleaned!$D$2:$D$125,12,Cleaned!DA$2:DA$125,"&lt;&gt;")</f>
        <v>0</v>
      </c>
      <c r="C2143" s="15" t="str">
        <f aca="false">IF(B2143=0,"",AVERAGEIF(Cleaned!$D$2:$D$125,12,Cleaned!DA$2:DA$125))</f>
        <v/>
      </c>
    </row>
    <row r="2146" customFormat="false" ht="15" hidden="false" customHeight="false" outlineLevel="0" collapsed="false">
      <c r="A2146" s="6" t="s">
        <v>105</v>
      </c>
      <c r="B2146" s="7" t="s">
        <v>829</v>
      </c>
    </row>
    <row r="2147" customFormat="false" ht="15" hidden="false" customHeight="false" outlineLevel="0" collapsed="false">
      <c r="A2147" s="8"/>
      <c r="B2147" s="9" t="s">
        <v>726</v>
      </c>
      <c r="C2147" s="8"/>
      <c r="D2147" s="9" t="s">
        <v>362</v>
      </c>
      <c r="E2147" s="8"/>
      <c r="F2147" s="9" t="s">
        <v>341</v>
      </c>
      <c r="G2147" s="8"/>
      <c r="H2147" s="9" t="s">
        <v>694</v>
      </c>
    </row>
    <row r="2148" customFormat="false" ht="15" hidden="false" customHeight="false" outlineLevel="0" collapsed="false">
      <c r="B2148" s="10" t="s">
        <v>695</v>
      </c>
      <c r="C2148" s="10" t="s">
        <v>696</v>
      </c>
      <c r="D2148" s="10" t="s">
        <v>695</v>
      </c>
      <c r="E2148" s="10" t="s">
        <v>696</v>
      </c>
      <c r="F2148" s="10" t="s">
        <v>695</v>
      </c>
      <c r="G2148" s="10" t="s">
        <v>696</v>
      </c>
    </row>
    <row r="2149" customFormat="false" ht="15" hidden="false" customHeight="false" outlineLevel="0" collapsed="false">
      <c r="A2149" s="11" t="s">
        <v>697</v>
      </c>
    </row>
    <row r="2150" customFormat="false" ht="15" hidden="false" customHeight="false" outlineLevel="0" collapsed="false">
      <c r="A2150" s="12" t="s">
        <v>698</v>
      </c>
      <c r="B2150" s="12" t="n">
        <f aca="false">COUNTIFS(Cleaned!$C$2:$C$125,1,Cleaned!DB$2:DB$125,1)</f>
        <v>0</v>
      </c>
      <c r="C2150" s="13" t="n">
        <f aca="false">IFERROR(B2150/$H2150,"")</f>
        <v>0</v>
      </c>
      <c r="D2150" s="12" t="n">
        <f aca="false">COUNTIFS(Cleaned!$C$2:$C$125,1,Cleaned!DB$2:DB$125,2)</f>
        <v>0</v>
      </c>
      <c r="E2150" s="13" t="n">
        <f aca="false">IFERROR(D2150/$H2150,"")</f>
        <v>0</v>
      </c>
      <c r="F2150" s="12" t="n">
        <f aca="false">COUNTIFS(Cleaned!$C$2:$C$125,1,Cleaned!DB$2:DB$125,3)</f>
        <v>1</v>
      </c>
      <c r="G2150" s="13" t="n">
        <f aca="false">IFERROR(F2150/$H2150,"")</f>
        <v>1</v>
      </c>
      <c r="H2150" s="12" t="n">
        <f aca="false">B2150+D2150+F2150</f>
        <v>1</v>
      </c>
    </row>
    <row r="2151" customFormat="false" ht="15" hidden="false" customHeight="false" outlineLevel="0" collapsed="false">
      <c r="A2151" s="12" t="s">
        <v>699</v>
      </c>
      <c r="B2151" s="12" t="n">
        <f aca="false">COUNTIFS(Cleaned!$C$2:$C$125,2,Cleaned!DB$2:DB$125,1)</f>
        <v>0</v>
      </c>
      <c r="C2151" s="13" t="n">
        <f aca="false">IFERROR(B2151/$H2151,"")</f>
        <v>0</v>
      </c>
      <c r="D2151" s="12" t="n">
        <f aca="false">COUNTIFS(Cleaned!$C$2:$C$125,2,Cleaned!DB$2:DB$125,2)</f>
        <v>0</v>
      </c>
      <c r="E2151" s="13" t="n">
        <f aca="false">IFERROR(D2151/$H2151,"")</f>
        <v>0</v>
      </c>
      <c r="F2151" s="12" t="n">
        <f aca="false">COUNTIFS(Cleaned!$C$2:$C$125,2,Cleaned!DB$2:DB$125,3)</f>
        <v>2</v>
      </c>
      <c r="G2151" s="13" t="n">
        <f aca="false">IFERROR(F2151/$H2151,"")</f>
        <v>1</v>
      </c>
      <c r="H2151" s="12" t="n">
        <f aca="false">B2151+D2151+F2151</f>
        <v>2</v>
      </c>
    </row>
    <row r="2152" customFormat="false" ht="15" hidden="false" customHeight="false" outlineLevel="0" collapsed="false">
      <c r="A2152" s="12" t="s">
        <v>700</v>
      </c>
      <c r="B2152" s="12" t="n">
        <f aca="false">COUNTIFS(Cleaned!$C$2:$C$125,3,Cleaned!DB$2:DB$125,1)</f>
        <v>1</v>
      </c>
      <c r="C2152" s="13" t="n">
        <f aca="false">IFERROR(B2152/$H2152,"")</f>
        <v>0.5</v>
      </c>
      <c r="D2152" s="12" t="n">
        <f aca="false">COUNTIFS(Cleaned!$C$2:$C$125,3,Cleaned!DB$2:DB$125,2)</f>
        <v>0</v>
      </c>
      <c r="E2152" s="13" t="n">
        <f aca="false">IFERROR(D2152/$H2152,"")</f>
        <v>0</v>
      </c>
      <c r="F2152" s="12" t="n">
        <f aca="false">COUNTIFS(Cleaned!$C$2:$C$125,3,Cleaned!DB$2:DB$125,3)</f>
        <v>1</v>
      </c>
      <c r="G2152" s="13" t="n">
        <f aca="false">IFERROR(F2152/$H2152,"")</f>
        <v>0.5</v>
      </c>
      <c r="H2152" s="12" t="n">
        <f aca="false">B2152+D2152+F2152</f>
        <v>2</v>
      </c>
    </row>
    <row r="2153" customFormat="false" ht="15" hidden="false" customHeight="false" outlineLevel="0" collapsed="false">
      <c r="A2153" s="12" t="s">
        <v>701</v>
      </c>
      <c r="B2153" s="12" t="n">
        <f aca="false">COUNTIFS(Cleaned!$C$2:$C$125,4,Cleaned!DB$2:DB$125,1)</f>
        <v>1</v>
      </c>
      <c r="C2153" s="13" t="n">
        <f aca="false">IFERROR(B2153/$H2153,"")</f>
        <v>0.142857142857143</v>
      </c>
      <c r="D2153" s="12" t="n">
        <f aca="false">COUNTIFS(Cleaned!$C$2:$C$125,4,Cleaned!DB$2:DB$125,2)</f>
        <v>5</v>
      </c>
      <c r="E2153" s="13" t="n">
        <f aca="false">IFERROR(D2153/$H2153,"")</f>
        <v>0.714285714285714</v>
      </c>
      <c r="F2153" s="12" t="n">
        <f aca="false">COUNTIFS(Cleaned!$C$2:$C$125,4,Cleaned!DB$2:DB$125,3)</f>
        <v>1</v>
      </c>
      <c r="G2153" s="13" t="n">
        <f aca="false">IFERROR(F2153/$H2153,"")</f>
        <v>0.142857142857143</v>
      </c>
      <c r="H2153" s="12" t="n">
        <f aca="false">B2153+D2153+F2153</f>
        <v>7</v>
      </c>
    </row>
    <row r="2154" customFormat="false" ht="15" hidden="false" customHeight="false" outlineLevel="0" collapsed="false">
      <c r="A2154" s="12" t="s">
        <v>702</v>
      </c>
      <c r="B2154" s="12" t="n">
        <f aca="false">COUNTIFS(Cleaned!$C$2:$C$125,5,Cleaned!DB$2:DB$125,1)</f>
        <v>12</v>
      </c>
      <c r="C2154" s="13" t="n">
        <f aca="false">IFERROR(B2154/$H2154,"")</f>
        <v>0.631578947368421</v>
      </c>
      <c r="D2154" s="12" t="n">
        <f aca="false">COUNTIFS(Cleaned!$C$2:$C$125,5,Cleaned!DB$2:DB$125,2)</f>
        <v>4</v>
      </c>
      <c r="E2154" s="13" t="n">
        <f aca="false">IFERROR(D2154/$H2154,"")</f>
        <v>0.210526315789474</v>
      </c>
      <c r="F2154" s="12" t="n">
        <f aca="false">COUNTIFS(Cleaned!$C$2:$C$125,5,Cleaned!DB$2:DB$125,3)</f>
        <v>3</v>
      </c>
      <c r="G2154" s="13" t="n">
        <f aca="false">IFERROR(F2154/$H2154,"")</f>
        <v>0.157894736842105</v>
      </c>
      <c r="H2154" s="12" t="n">
        <f aca="false">B2154+D2154+F2154</f>
        <v>19</v>
      </c>
    </row>
    <row r="2155" customFormat="false" ht="15" hidden="false" customHeight="false" outlineLevel="0" collapsed="false">
      <c r="A2155" s="11" t="s">
        <v>703</v>
      </c>
      <c r="B2155" s="11" t="n">
        <f aca="false">SUM(B2150:B2154)</f>
        <v>14</v>
      </c>
      <c r="C2155" s="14" t="n">
        <f aca="false">IFERROR(B2155/$H2155,"")</f>
        <v>0.451612903225806</v>
      </c>
      <c r="D2155" s="11" t="n">
        <f aca="false">SUM(D2150:D2154)</f>
        <v>9</v>
      </c>
      <c r="E2155" s="14" t="n">
        <f aca="false">IFERROR(D2155/$H2155,"")</f>
        <v>0.290322580645161</v>
      </c>
      <c r="F2155" s="11" t="n">
        <f aca="false">SUM(F2150:F2154)</f>
        <v>8</v>
      </c>
      <c r="G2155" s="14" t="n">
        <f aca="false">IFERROR(F2155/$H2155,"")</f>
        <v>0.258064516129032</v>
      </c>
      <c r="H2155" s="11" t="n">
        <f aca="false">SUM(H2150:H2154)</f>
        <v>31</v>
      </c>
    </row>
    <row r="2156" customFormat="false" ht="15" hidden="false" customHeight="false" outlineLevel="0" collapsed="false">
      <c r="A2156" s="11" t="s">
        <v>3</v>
      </c>
    </row>
    <row r="2157" customFormat="false" ht="15" hidden="false" customHeight="false" outlineLevel="0" collapsed="false">
      <c r="A2157" s="12" t="s">
        <v>704</v>
      </c>
      <c r="B2157" s="12" t="n">
        <f aca="false">COUNTIFS(Cleaned!$D$2:$D$125,1,Cleaned!DB$2:DB$125,1)</f>
        <v>0</v>
      </c>
      <c r="C2157" s="13" t="n">
        <f aca="false">IFERROR(B2157/$H2157,"")</f>
        <v>0</v>
      </c>
      <c r="D2157" s="12" t="n">
        <f aca="false">COUNTIFS(Cleaned!$D$2:$D$125,1,Cleaned!DB$2:DB$125,2)</f>
        <v>1</v>
      </c>
      <c r="E2157" s="13" t="n">
        <f aca="false">IFERROR(D2157/$H2157,"")</f>
        <v>0.5</v>
      </c>
      <c r="F2157" s="12" t="n">
        <f aca="false">COUNTIFS(Cleaned!$D$2:$D$125,1,Cleaned!DB$2:DB$125,3)</f>
        <v>1</v>
      </c>
      <c r="G2157" s="13" t="n">
        <f aca="false">IFERROR(F2157/$H2157,"")</f>
        <v>0.5</v>
      </c>
      <c r="H2157" s="12" t="n">
        <f aca="false">B2157+D2157+F2157</f>
        <v>2</v>
      </c>
    </row>
    <row r="2158" customFormat="false" ht="15" hidden="false" customHeight="false" outlineLevel="0" collapsed="false">
      <c r="A2158" s="12" t="s">
        <v>705</v>
      </c>
      <c r="B2158" s="12" t="n">
        <f aca="false">COUNTIFS(Cleaned!$D$2:$D$125,2,Cleaned!DB$2:DB$125,1)</f>
        <v>7</v>
      </c>
      <c r="C2158" s="13" t="n">
        <f aca="false">IFERROR(B2158/$H2158,"")</f>
        <v>0.636363636363636</v>
      </c>
      <c r="D2158" s="12" t="n">
        <f aca="false">COUNTIFS(Cleaned!$D$2:$D$125,2,Cleaned!DB$2:DB$125,2)</f>
        <v>1</v>
      </c>
      <c r="E2158" s="13" t="n">
        <f aca="false">IFERROR(D2158/$H2158,"")</f>
        <v>0.0909090909090909</v>
      </c>
      <c r="F2158" s="12" t="n">
        <f aca="false">COUNTIFS(Cleaned!$D$2:$D$125,2,Cleaned!DB$2:DB$125,3)</f>
        <v>3</v>
      </c>
      <c r="G2158" s="13" t="n">
        <f aca="false">IFERROR(F2158/$H2158,"")</f>
        <v>0.272727272727273</v>
      </c>
      <c r="H2158" s="12" t="n">
        <f aca="false">B2158+D2158+F2158</f>
        <v>11</v>
      </c>
    </row>
    <row r="2159" customFormat="false" ht="15" hidden="false" customHeight="false" outlineLevel="0" collapsed="false">
      <c r="A2159" s="12" t="s">
        <v>706</v>
      </c>
      <c r="B2159" s="12" t="n">
        <f aca="false">COUNTIFS(Cleaned!$D$2:$D$125,3,Cleaned!DB$2:DB$125,1)</f>
        <v>4</v>
      </c>
      <c r="C2159" s="13" t="n">
        <f aca="false">IFERROR(B2159/$H2159,"")</f>
        <v>0.666666666666667</v>
      </c>
      <c r="D2159" s="12" t="n">
        <f aca="false">COUNTIFS(Cleaned!$D$2:$D$125,3,Cleaned!DB$2:DB$125,2)</f>
        <v>1</v>
      </c>
      <c r="E2159" s="13" t="n">
        <f aca="false">IFERROR(D2159/$H2159,"")</f>
        <v>0.166666666666667</v>
      </c>
      <c r="F2159" s="12" t="n">
        <f aca="false">COUNTIFS(Cleaned!$D$2:$D$125,3,Cleaned!DB$2:DB$125,3)</f>
        <v>1</v>
      </c>
      <c r="G2159" s="13" t="n">
        <f aca="false">IFERROR(F2159/$H2159,"")</f>
        <v>0.166666666666667</v>
      </c>
      <c r="H2159" s="12" t="n">
        <f aca="false">B2159+D2159+F2159</f>
        <v>6</v>
      </c>
    </row>
    <row r="2160" customFormat="false" ht="15" hidden="false" customHeight="false" outlineLevel="0" collapsed="false">
      <c r="A2160" s="12" t="s">
        <v>707</v>
      </c>
      <c r="B2160" s="12" t="n">
        <f aca="false">COUNTIFS(Cleaned!$D$2:$D$125,4,Cleaned!DB$2:DB$125,1)</f>
        <v>0</v>
      </c>
      <c r="C2160" s="13" t="n">
        <f aca="false">IFERROR(B2160/$H2160,"")</f>
        <v>0</v>
      </c>
      <c r="D2160" s="12" t="n">
        <f aca="false">COUNTIFS(Cleaned!$D$2:$D$125,4,Cleaned!DB$2:DB$125,2)</f>
        <v>2</v>
      </c>
      <c r="E2160" s="13" t="n">
        <f aca="false">IFERROR(D2160/$H2160,"")</f>
        <v>0.5</v>
      </c>
      <c r="F2160" s="12" t="n">
        <f aca="false">COUNTIFS(Cleaned!$D$2:$D$125,4,Cleaned!DB$2:DB$125,3)</f>
        <v>2</v>
      </c>
      <c r="G2160" s="13" t="n">
        <f aca="false">IFERROR(F2160/$H2160,"")</f>
        <v>0.5</v>
      </c>
      <c r="H2160" s="12" t="n">
        <f aca="false">B2160+D2160+F2160</f>
        <v>4</v>
      </c>
    </row>
    <row r="2161" customFormat="false" ht="15" hidden="false" customHeight="false" outlineLevel="0" collapsed="false">
      <c r="A2161" s="12" t="s">
        <v>708</v>
      </c>
      <c r="B2161" s="12" t="n">
        <f aca="false">COUNTIFS(Cleaned!$D$2:$D$125,5,Cleaned!DB$2:DB$125,1)</f>
        <v>0</v>
      </c>
      <c r="C2161" s="13" t="n">
        <f aca="false">IFERROR(B2161/$H2161,"")</f>
        <v>0</v>
      </c>
      <c r="D2161" s="12" t="n">
        <f aca="false">COUNTIFS(Cleaned!$D$2:$D$125,5,Cleaned!DB$2:DB$125,2)</f>
        <v>1</v>
      </c>
      <c r="E2161" s="13" t="n">
        <f aca="false">IFERROR(D2161/$H2161,"")</f>
        <v>1</v>
      </c>
      <c r="F2161" s="12" t="n">
        <f aca="false">COUNTIFS(Cleaned!$D$2:$D$125,5,Cleaned!DB$2:DB$125,3)</f>
        <v>0</v>
      </c>
      <c r="G2161" s="13" t="n">
        <f aca="false">IFERROR(F2161/$H2161,"")</f>
        <v>0</v>
      </c>
      <c r="H2161" s="12" t="n">
        <f aca="false">B2161+D2161+F2161</f>
        <v>1</v>
      </c>
    </row>
    <row r="2162" customFormat="false" ht="15" hidden="false" customHeight="false" outlineLevel="0" collapsed="false">
      <c r="A2162" s="12" t="s">
        <v>709</v>
      </c>
      <c r="B2162" s="12" t="n">
        <f aca="false">COUNTIFS(Cleaned!$D$2:$D$125,6,Cleaned!DB$2:DB$125,1)</f>
        <v>0</v>
      </c>
      <c r="C2162" s="13" t="n">
        <f aca="false">IFERROR(B2162/$H2162,"")</f>
        <v>0</v>
      </c>
      <c r="D2162" s="12" t="n">
        <f aca="false">COUNTIFS(Cleaned!$D$2:$D$125,6,Cleaned!DB$2:DB$125,2)</f>
        <v>1</v>
      </c>
      <c r="E2162" s="13" t="n">
        <f aca="false">IFERROR(D2162/$H2162,"")</f>
        <v>1</v>
      </c>
      <c r="F2162" s="12" t="n">
        <f aca="false">COUNTIFS(Cleaned!$D$2:$D$125,6,Cleaned!DB$2:DB$125,3)</f>
        <v>0</v>
      </c>
      <c r="G2162" s="13" t="n">
        <f aca="false">IFERROR(F2162/$H2162,"")</f>
        <v>0</v>
      </c>
      <c r="H2162" s="12" t="n">
        <f aca="false">B2162+D2162+F2162</f>
        <v>1</v>
      </c>
    </row>
    <row r="2163" customFormat="false" ht="15" hidden="false" customHeight="false" outlineLevel="0" collapsed="false">
      <c r="A2163" s="12" t="s">
        <v>710</v>
      </c>
      <c r="B2163" s="12" t="n">
        <f aca="false">COUNTIFS(Cleaned!$D$2:$D$125,7,Cleaned!DB$2:DB$125,1)</f>
        <v>3</v>
      </c>
      <c r="C2163" s="13" t="n">
        <f aca="false">IFERROR(B2163/$H2163,"")</f>
        <v>0.75</v>
      </c>
      <c r="D2163" s="12" t="n">
        <f aca="false">COUNTIFS(Cleaned!$D$2:$D$125,7,Cleaned!DB$2:DB$125,2)</f>
        <v>1</v>
      </c>
      <c r="E2163" s="13" t="n">
        <f aca="false">IFERROR(D2163/$H2163,"")</f>
        <v>0.25</v>
      </c>
      <c r="F2163" s="12" t="n">
        <f aca="false">COUNTIFS(Cleaned!$D$2:$D$125,7,Cleaned!DB$2:DB$125,3)</f>
        <v>0</v>
      </c>
      <c r="G2163" s="13" t="n">
        <f aca="false">IFERROR(F2163/$H2163,"")</f>
        <v>0</v>
      </c>
      <c r="H2163" s="12" t="n">
        <f aca="false">B2163+D2163+F2163</f>
        <v>4</v>
      </c>
    </row>
    <row r="2164" customFormat="false" ht="15" hidden="false" customHeight="false" outlineLevel="0" collapsed="false">
      <c r="A2164" s="12" t="s">
        <v>711</v>
      </c>
      <c r="B2164" s="12" t="n">
        <f aca="false">COUNTIFS(Cleaned!$D$2:$D$125,8,Cleaned!DB$2:DB$125,1)</f>
        <v>0</v>
      </c>
      <c r="C2164" s="13" t="n">
        <f aca="false">IFERROR(B2164/$H2164,"")</f>
        <v>0</v>
      </c>
      <c r="D2164" s="12" t="n">
        <f aca="false">COUNTIFS(Cleaned!$D$2:$D$125,8,Cleaned!DB$2:DB$125,2)</f>
        <v>1</v>
      </c>
      <c r="E2164" s="13" t="n">
        <f aca="false">IFERROR(D2164/$H2164,"")</f>
        <v>1</v>
      </c>
      <c r="F2164" s="12" t="n">
        <f aca="false">COUNTIFS(Cleaned!$D$2:$D$125,8,Cleaned!DB$2:DB$125,3)</f>
        <v>0</v>
      </c>
      <c r="G2164" s="13" t="n">
        <f aca="false">IFERROR(F2164/$H2164,"")</f>
        <v>0</v>
      </c>
      <c r="H2164" s="12" t="n">
        <f aca="false">B2164+D2164+F2164</f>
        <v>1</v>
      </c>
    </row>
    <row r="2165" customFormat="false" ht="15" hidden="false" customHeight="false" outlineLevel="0" collapsed="false">
      <c r="A2165" s="12" t="s">
        <v>712</v>
      </c>
      <c r="B2165" s="12" t="n">
        <f aca="false">COUNTIFS(Cleaned!$D$2:$D$125,9,Cleaned!DB$2:DB$125,1)</f>
        <v>0</v>
      </c>
      <c r="C2165" s="13" t="n">
        <f aca="false">IFERROR(B2165/$H2165,"")</f>
        <v>0</v>
      </c>
      <c r="D2165" s="12" t="n">
        <f aca="false">COUNTIFS(Cleaned!$D$2:$D$125,9,Cleaned!DB$2:DB$125,2)</f>
        <v>0</v>
      </c>
      <c r="E2165" s="13" t="n">
        <f aca="false">IFERROR(D2165/$H2165,"")</f>
        <v>0</v>
      </c>
      <c r="F2165" s="12" t="n">
        <f aca="false">COUNTIFS(Cleaned!$D$2:$D$125,9,Cleaned!DB$2:DB$125,3)</f>
        <v>1</v>
      </c>
      <c r="G2165" s="13" t="n">
        <f aca="false">IFERROR(F2165/$H2165,"")</f>
        <v>1</v>
      </c>
      <c r="H2165" s="12" t="n">
        <f aca="false">B2165+D2165+F2165</f>
        <v>1</v>
      </c>
    </row>
    <row r="2166" customFormat="false" ht="15" hidden="false" customHeight="false" outlineLevel="0" collapsed="false">
      <c r="A2166" s="12" t="s">
        <v>713</v>
      </c>
      <c r="B2166" s="12" t="n">
        <f aca="false">COUNTIFS(Cleaned!$D$2:$D$125,10,Cleaned!DB$2:DB$125,1)</f>
        <v>0</v>
      </c>
      <c r="C2166" s="13" t="str">
        <f aca="false">IFERROR(B2166/$H2166,"")</f>
        <v/>
      </c>
      <c r="D2166" s="12" t="n">
        <f aca="false">COUNTIFS(Cleaned!$D$2:$D$125,10,Cleaned!DB$2:DB$125,2)</f>
        <v>0</v>
      </c>
      <c r="E2166" s="13" t="str">
        <f aca="false">IFERROR(D2166/$H2166,"")</f>
        <v/>
      </c>
      <c r="F2166" s="12" t="n">
        <f aca="false">COUNTIFS(Cleaned!$D$2:$D$125,10,Cleaned!DB$2:DB$125,3)</f>
        <v>0</v>
      </c>
      <c r="G2166" s="13" t="str">
        <f aca="false">IFERROR(F2166/$H2166,"")</f>
        <v/>
      </c>
      <c r="H2166" s="12" t="n">
        <f aca="false">B2166+D2166+F2166</f>
        <v>0</v>
      </c>
    </row>
    <row r="2167" customFormat="false" ht="15" hidden="false" customHeight="false" outlineLevel="0" collapsed="false">
      <c r="A2167" s="12" t="s">
        <v>714</v>
      </c>
      <c r="B2167" s="12" t="n">
        <f aca="false">COUNTIFS(Cleaned!$D$2:$D$125,11,Cleaned!DB$2:DB$125,1)</f>
        <v>0</v>
      </c>
      <c r="C2167" s="13" t="str">
        <f aca="false">IFERROR(B2167/$H2167,"")</f>
        <v/>
      </c>
      <c r="D2167" s="12" t="n">
        <f aca="false">COUNTIFS(Cleaned!$D$2:$D$125,11,Cleaned!DB$2:DB$125,2)</f>
        <v>0</v>
      </c>
      <c r="E2167" s="13" t="str">
        <f aca="false">IFERROR(D2167/$H2167,"")</f>
        <v/>
      </c>
      <c r="F2167" s="12" t="n">
        <f aca="false">COUNTIFS(Cleaned!$D$2:$D$125,11,Cleaned!DB$2:DB$125,3)</f>
        <v>0</v>
      </c>
      <c r="G2167" s="13" t="str">
        <f aca="false">IFERROR(F2167/$H2167,"")</f>
        <v/>
      </c>
      <c r="H2167" s="12" t="n">
        <f aca="false">B2167+D2167+F2167</f>
        <v>0</v>
      </c>
    </row>
    <row r="2168" customFormat="false" ht="15" hidden="false" customHeight="false" outlineLevel="0" collapsed="false">
      <c r="A2168" s="12" t="s">
        <v>715</v>
      </c>
      <c r="B2168" s="12" t="n">
        <f aca="false">COUNTIFS(Cleaned!$D$2:$D$125,12,Cleaned!DB$2:DB$125,1)</f>
        <v>0</v>
      </c>
      <c r="C2168" s="13" t="str">
        <f aca="false">IFERROR(B2168/$H2168,"")</f>
        <v/>
      </c>
      <c r="D2168" s="12" t="n">
        <f aca="false">COUNTIFS(Cleaned!$D$2:$D$125,12,Cleaned!DB$2:DB$125,2)</f>
        <v>0</v>
      </c>
      <c r="E2168" s="13" t="str">
        <f aca="false">IFERROR(D2168/$H2168,"")</f>
        <v/>
      </c>
      <c r="F2168" s="12" t="n">
        <f aca="false">COUNTIFS(Cleaned!$D$2:$D$125,12,Cleaned!DB$2:DB$125,3)</f>
        <v>0</v>
      </c>
      <c r="G2168" s="13" t="str">
        <f aca="false">IFERROR(F2168/$H2168,"")</f>
        <v/>
      </c>
      <c r="H2168" s="12" t="n">
        <f aca="false">B2168+D2168+F2168</f>
        <v>0</v>
      </c>
    </row>
    <row r="2169" customFormat="false" ht="15" hidden="false" customHeight="false" outlineLevel="0" collapsed="false">
      <c r="A2169" s="11" t="s">
        <v>716</v>
      </c>
      <c r="B2169" s="11" t="n">
        <f aca="false">SUM(B2157:B2168)</f>
        <v>14</v>
      </c>
      <c r="C2169" s="14" t="n">
        <f aca="false">IFERROR(B2169/$H2169,"")</f>
        <v>0.451612903225806</v>
      </c>
      <c r="D2169" s="11" t="n">
        <f aca="false">SUM(D2157:D2168)</f>
        <v>9</v>
      </c>
      <c r="E2169" s="14" t="n">
        <f aca="false">IFERROR(D2169/$H2169,"")</f>
        <v>0.290322580645161</v>
      </c>
      <c r="F2169" s="11" t="n">
        <f aca="false">SUM(F2157:F2168)</f>
        <v>8</v>
      </c>
      <c r="G2169" s="14" t="n">
        <f aca="false">IFERROR(F2169/$H2169,"")</f>
        <v>0.258064516129032</v>
      </c>
      <c r="H2169" s="11" t="n">
        <f aca="false">SUM(H2157:H2168)</f>
        <v>31</v>
      </c>
    </row>
    <row r="2172" customFormat="false" ht="15" hidden="false" customHeight="false" outlineLevel="0" collapsed="false">
      <c r="A2172" s="6" t="s">
        <v>106</v>
      </c>
      <c r="B2172" s="7" t="s">
        <v>830</v>
      </c>
    </row>
    <row r="2173" customFormat="false" ht="15" hidden="false" customHeight="false" outlineLevel="0" collapsed="false">
      <c r="A2173" s="8"/>
      <c r="B2173" s="9" t="s">
        <v>718</v>
      </c>
      <c r="C2173" s="8"/>
      <c r="D2173" s="9" t="s">
        <v>719</v>
      </c>
      <c r="E2173" s="8"/>
      <c r="F2173" s="9" t="s">
        <v>694</v>
      </c>
    </row>
    <row r="2174" customFormat="false" ht="15" hidden="false" customHeight="false" outlineLevel="0" collapsed="false">
      <c r="B2174" s="10" t="s">
        <v>695</v>
      </c>
      <c r="C2174" s="10" t="s">
        <v>696</v>
      </c>
      <c r="D2174" s="10" t="s">
        <v>695</v>
      </c>
      <c r="E2174" s="10" t="s">
        <v>696</v>
      </c>
    </row>
    <row r="2175" customFormat="false" ht="15" hidden="false" customHeight="false" outlineLevel="0" collapsed="false">
      <c r="A2175" s="11" t="s">
        <v>697</v>
      </c>
    </row>
    <row r="2176" customFormat="false" ht="15" hidden="false" customHeight="false" outlineLevel="0" collapsed="false">
      <c r="A2176" s="12" t="s">
        <v>698</v>
      </c>
      <c r="B2176" s="12" t="n">
        <f aca="false">COUNTIFS(Cleaned!$C$2:$C$125,1,Cleaned!DC$2:DC$125,0)</f>
        <v>1</v>
      </c>
      <c r="C2176" s="13" t="n">
        <f aca="false">IFERROR(B2176/$F2176,"")</f>
        <v>1</v>
      </c>
      <c r="D2176" s="12" t="n">
        <f aca="false">COUNTIFS(Cleaned!$C$2:$C$125,1,Cleaned!DC$2:DC$125,1)</f>
        <v>0</v>
      </c>
      <c r="E2176" s="13" t="n">
        <f aca="false">IFERROR(D2176/$F2176,"")</f>
        <v>0</v>
      </c>
      <c r="F2176" s="12" t="n">
        <f aca="false">B2176+D2176</f>
        <v>1</v>
      </c>
    </row>
    <row r="2177" customFormat="false" ht="15" hidden="false" customHeight="false" outlineLevel="0" collapsed="false">
      <c r="A2177" s="12" t="s">
        <v>699</v>
      </c>
      <c r="B2177" s="12" t="n">
        <f aca="false">COUNTIFS(Cleaned!$C$2:$C$125,2,Cleaned!DC$2:DC$125,0)</f>
        <v>1</v>
      </c>
      <c r="C2177" s="13" t="n">
        <f aca="false">IFERROR(B2177/$F2177,"")</f>
        <v>1</v>
      </c>
      <c r="D2177" s="12" t="n">
        <f aca="false">COUNTIFS(Cleaned!$C$2:$C$125,2,Cleaned!DC$2:DC$125,1)</f>
        <v>0</v>
      </c>
      <c r="E2177" s="13" t="n">
        <f aca="false">IFERROR(D2177/$F2177,"")</f>
        <v>0</v>
      </c>
      <c r="F2177" s="12" t="n">
        <f aca="false">B2177+D2177</f>
        <v>1</v>
      </c>
    </row>
    <row r="2178" customFormat="false" ht="15" hidden="false" customHeight="false" outlineLevel="0" collapsed="false">
      <c r="A2178" s="12" t="s">
        <v>700</v>
      </c>
      <c r="B2178" s="12" t="n">
        <f aca="false">COUNTIFS(Cleaned!$C$2:$C$125,3,Cleaned!DC$2:DC$125,0)</f>
        <v>1</v>
      </c>
      <c r="C2178" s="13" t="n">
        <f aca="false">IFERROR(B2178/$F2178,"")</f>
        <v>0.5</v>
      </c>
      <c r="D2178" s="12" t="n">
        <f aca="false">COUNTIFS(Cleaned!$C$2:$C$125,3,Cleaned!DC$2:DC$125,1)</f>
        <v>1</v>
      </c>
      <c r="E2178" s="13" t="n">
        <f aca="false">IFERROR(D2178/$F2178,"")</f>
        <v>0.5</v>
      </c>
      <c r="F2178" s="12" t="n">
        <f aca="false">B2178+D2178</f>
        <v>2</v>
      </c>
    </row>
    <row r="2179" customFormat="false" ht="15" hidden="false" customHeight="false" outlineLevel="0" collapsed="false">
      <c r="A2179" s="12" t="s">
        <v>701</v>
      </c>
      <c r="B2179" s="12" t="n">
        <f aca="false">COUNTIFS(Cleaned!$C$2:$C$125,4,Cleaned!DC$2:DC$125,0)</f>
        <v>4</v>
      </c>
      <c r="C2179" s="13" t="n">
        <f aca="false">IFERROR(B2179/$F2179,"")</f>
        <v>0.571428571428571</v>
      </c>
      <c r="D2179" s="12" t="n">
        <f aca="false">COUNTIFS(Cleaned!$C$2:$C$125,4,Cleaned!DC$2:DC$125,1)</f>
        <v>3</v>
      </c>
      <c r="E2179" s="13" t="n">
        <f aca="false">IFERROR(D2179/$F2179,"")</f>
        <v>0.428571428571429</v>
      </c>
      <c r="F2179" s="12" t="n">
        <f aca="false">B2179+D2179</f>
        <v>7</v>
      </c>
    </row>
    <row r="2180" customFormat="false" ht="15" hidden="false" customHeight="false" outlineLevel="0" collapsed="false">
      <c r="A2180" s="12" t="s">
        <v>702</v>
      </c>
      <c r="B2180" s="12" t="n">
        <f aca="false">COUNTIFS(Cleaned!$C$2:$C$125,5,Cleaned!DC$2:DC$125,0)</f>
        <v>7</v>
      </c>
      <c r="C2180" s="13" t="n">
        <f aca="false">IFERROR(B2180/$F2180,"")</f>
        <v>0.35</v>
      </c>
      <c r="D2180" s="12" t="n">
        <f aca="false">COUNTIFS(Cleaned!$C$2:$C$125,5,Cleaned!DC$2:DC$125,1)</f>
        <v>13</v>
      </c>
      <c r="E2180" s="13" t="n">
        <f aca="false">IFERROR(D2180/$F2180,"")</f>
        <v>0.65</v>
      </c>
      <c r="F2180" s="12" t="n">
        <f aca="false">B2180+D2180</f>
        <v>20</v>
      </c>
    </row>
    <row r="2181" customFormat="false" ht="15" hidden="false" customHeight="false" outlineLevel="0" collapsed="false">
      <c r="A2181" s="11" t="s">
        <v>703</v>
      </c>
      <c r="B2181" s="11" t="n">
        <f aca="false">SUM(B2176:B2180)</f>
        <v>14</v>
      </c>
      <c r="C2181" s="14" t="n">
        <f aca="false">IFERROR(B2181/$F2181,"")</f>
        <v>0.451612903225806</v>
      </c>
      <c r="D2181" s="11" t="n">
        <f aca="false">SUM(D2176:D2180)</f>
        <v>17</v>
      </c>
      <c r="E2181" s="14" t="n">
        <f aca="false">IFERROR(D2181/$F2181,"")</f>
        <v>0.548387096774194</v>
      </c>
      <c r="F2181" s="11" t="n">
        <f aca="false">SUM(F2176:F2180)</f>
        <v>31</v>
      </c>
    </row>
    <row r="2182" customFormat="false" ht="15" hidden="false" customHeight="false" outlineLevel="0" collapsed="false">
      <c r="A2182" s="11" t="s">
        <v>3</v>
      </c>
    </row>
    <row r="2183" customFormat="false" ht="15" hidden="false" customHeight="false" outlineLevel="0" collapsed="false">
      <c r="A2183" s="12" t="s">
        <v>704</v>
      </c>
      <c r="B2183" s="12" t="n">
        <f aca="false">COUNTIFS(Cleaned!$D$2:$D$125,1,Cleaned!DC$2:DC$125,0)</f>
        <v>1</v>
      </c>
      <c r="C2183" s="13" t="n">
        <f aca="false">IFERROR(B2183/$F2183,"")</f>
        <v>0.5</v>
      </c>
      <c r="D2183" s="12" t="n">
        <f aca="false">COUNTIFS(Cleaned!$D$2:$D$125,1,Cleaned!DC$2:DC$125,1)</f>
        <v>1</v>
      </c>
      <c r="E2183" s="13" t="n">
        <f aca="false">IFERROR(D2183/$F2183,"")</f>
        <v>0.5</v>
      </c>
      <c r="F2183" s="12" t="n">
        <f aca="false">B2183+D2183</f>
        <v>2</v>
      </c>
    </row>
    <row r="2184" customFormat="false" ht="15" hidden="false" customHeight="false" outlineLevel="0" collapsed="false">
      <c r="A2184" s="12" t="s">
        <v>705</v>
      </c>
      <c r="B2184" s="12" t="n">
        <f aca="false">COUNTIFS(Cleaned!$D$2:$D$125,2,Cleaned!DC$2:DC$125,0)</f>
        <v>5</v>
      </c>
      <c r="C2184" s="13" t="n">
        <f aca="false">IFERROR(B2184/$F2184,"")</f>
        <v>0.416666666666667</v>
      </c>
      <c r="D2184" s="12" t="n">
        <f aca="false">COUNTIFS(Cleaned!$D$2:$D$125,2,Cleaned!DC$2:DC$125,1)</f>
        <v>7</v>
      </c>
      <c r="E2184" s="13" t="n">
        <f aca="false">IFERROR(D2184/$F2184,"")</f>
        <v>0.583333333333333</v>
      </c>
      <c r="F2184" s="12" t="n">
        <f aca="false">B2184+D2184</f>
        <v>12</v>
      </c>
    </row>
    <row r="2185" customFormat="false" ht="15" hidden="false" customHeight="false" outlineLevel="0" collapsed="false">
      <c r="A2185" s="12" t="s">
        <v>706</v>
      </c>
      <c r="B2185" s="12" t="n">
        <f aca="false">COUNTIFS(Cleaned!$D$2:$D$125,3,Cleaned!DC$2:DC$125,0)</f>
        <v>4</v>
      </c>
      <c r="C2185" s="13" t="n">
        <f aca="false">IFERROR(B2185/$F2185,"")</f>
        <v>0.666666666666667</v>
      </c>
      <c r="D2185" s="12" t="n">
        <f aca="false">COUNTIFS(Cleaned!$D$2:$D$125,3,Cleaned!DC$2:DC$125,1)</f>
        <v>2</v>
      </c>
      <c r="E2185" s="13" t="n">
        <f aca="false">IFERROR(D2185/$F2185,"")</f>
        <v>0.333333333333333</v>
      </c>
      <c r="F2185" s="12" t="n">
        <f aca="false">B2185+D2185</f>
        <v>6</v>
      </c>
    </row>
    <row r="2186" customFormat="false" ht="15" hidden="false" customHeight="false" outlineLevel="0" collapsed="false">
      <c r="A2186" s="12" t="s">
        <v>707</v>
      </c>
      <c r="B2186" s="12" t="n">
        <f aca="false">COUNTIFS(Cleaned!$D$2:$D$125,4,Cleaned!DC$2:DC$125,0)</f>
        <v>2</v>
      </c>
      <c r="C2186" s="13" t="n">
        <f aca="false">IFERROR(B2186/$F2186,"")</f>
        <v>0.666666666666667</v>
      </c>
      <c r="D2186" s="12" t="n">
        <f aca="false">COUNTIFS(Cleaned!$D$2:$D$125,4,Cleaned!DC$2:DC$125,1)</f>
        <v>1</v>
      </c>
      <c r="E2186" s="13" t="n">
        <f aca="false">IFERROR(D2186/$F2186,"")</f>
        <v>0.333333333333333</v>
      </c>
      <c r="F2186" s="12" t="n">
        <f aca="false">B2186+D2186</f>
        <v>3</v>
      </c>
    </row>
    <row r="2187" customFormat="false" ht="15" hidden="false" customHeight="false" outlineLevel="0" collapsed="false">
      <c r="A2187" s="12" t="s">
        <v>708</v>
      </c>
      <c r="B2187" s="12" t="n">
        <f aca="false">COUNTIFS(Cleaned!$D$2:$D$125,5,Cleaned!DC$2:DC$125,0)</f>
        <v>1</v>
      </c>
      <c r="C2187" s="13" t="n">
        <f aca="false">IFERROR(B2187/$F2187,"")</f>
        <v>1</v>
      </c>
      <c r="D2187" s="12" t="n">
        <f aca="false">COUNTIFS(Cleaned!$D$2:$D$125,5,Cleaned!DC$2:DC$125,1)</f>
        <v>0</v>
      </c>
      <c r="E2187" s="13" t="n">
        <f aca="false">IFERROR(D2187/$F2187,"")</f>
        <v>0</v>
      </c>
      <c r="F2187" s="12" t="n">
        <f aca="false">B2187+D2187</f>
        <v>1</v>
      </c>
    </row>
    <row r="2188" customFormat="false" ht="15" hidden="false" customHeight="false" outlineLevel="0" collapsed="false">
      <c r="A2188" s="12" t="s">
        <v>709</v>
      </c>
      <c r="B2188" s="12" t="n">
        <f aca="false">COUNTIFS(Cleaned!$D$2:$D$125,6,Cleaned!DC$2:DC$125,0)</f>
        <v>0</v>
      </c>
      <c r="C2188" s="13" t="n">
        <f aca="false">IFERROR(B2188/$F2188,"")</f>
        <v>0</v>
      </c>
      <c r="D2188" s="12" t="n">
        <f aca="false">COUNTIFS(Cleaned!$D$2:$D$125,6,Cleaned!DC$2:DC$125,1)</f>
        <v>1</v>
      </c>
      <c r="E2188" s="13" t="n">
        <f aca="false">IFERROR(D2188/$F2188,"")</f>
        <v>1</v>
      </c>
      <c r="F2188" s="12" t="n">
        <f aca="false">B2188+D2188</f>
        <v>1</v>
      </c>
    </row>
    <row r="2189" customFormat="false" ht="15" hidden="false" customHeight="false" outlineLevel="0" collapsed="false">
      <c r="A2189" s="12" t="s">
        <v>710</v>
      </c>
      <c r="B2189" s="12" t="n">
        <f aca="false">COUNTIFS(Cleaned!$D$2:$D$125,7,Cleaned!DC$2:DC$125,0)</f>
        <v>1</v>
      </c>
      <c r="C2189" s="13" t="n">
        <f aca="false">IFERROR(B2189/$F2189,"")</f>
        <v>0.25</v>
      </c>
      <c r="D2189" s="12" t="n">
        <f aca="false">COUNTIFS(Cleaned!$D$2:$D$125,7,Cleaned!DC$2:DC$125,1)</f>
        <v>3</v>
      </c>
      <c r="E2189" s="13" t="n">
        <f aca="false">IFERROR(D2189/$F2189,"")</f>
        <v>0.75</v>
      </c>
      <c r="F2189" s="12" t="n">
        <f aca="false">B2189+D2189</f>
        <v>4</v>
      </c>
    </row>
    <row r="2190" customFormat="false" ht="15" hidden="false" customHeight="false" outlineLevel="0" collapsed="false">
      <c r="A2190" s="12" t="s">
        <v>711</v>
      </c>
      <c r="B2190" s="12" t="n">
        <f aca="false">COUNTIFS(Cleaned!$D$2:$D$125,8,Cleaned!DC$2:DC$125,0)</f>
        <v>0</v>
      </c>
      <c r="C2190" s="13" t="n">
        <f aca="false">IFERROR(B2190/$F2190,"")</f>
        <v>0</v>
      </c>
      <c r="D2190" s="12" t="n">
        <f aca="false">COUNTIFS(Cleaned!$D$2:$D$125,8,Cleaned!DC$2:DC$125,1)</f>
        <v>1</v>
      </c>
      <c r="E2190" s="13" t="n">
        <f aca="false">IFERROR(D2190/$F2190,"")</f>
        <v>1</v>
      </c>
      <c r="F2190" s="12" t="n">
        <f aca="false">B2190+D2190</f>
        <v>1</v>
      </c>
    </row>
    <row r="2191" customFormat="false" ht="15" hidden="false" customHeight="false" outlineLevel="0" collapsed="false">
      <c r="A2191" s="12" t="s">
        <v>712</v>
      </c>
      <c r="B2191" s="12" t="n">
        <f aca="false">COUNTIFS(Cleaned!$D$2:$D$125,9,Cleaned!DC$2:DC$125,0)</f>
        <v>0</v>
      </c>
      <c r="C2191" s="13" t="n">
        <f aca="false">IFERROR(B2191/$F2191,"")</f>
        <v>0</v>
      </c>
      <c r="D2191" s="12" t="n">
        <f aca="false">COUNTIFS(Cleaned!$D$2:$D$125,9,Cleaned!DC$2:DC$125,1)</f>
        <v>1</v>
      </c>
      <c r="E2191" s="13" t="n">
        <f aca="false">IFERROR(D2191/$F2191,"")</f>
        <v>1</v>
      </c>
      <c r="F2191" s="12" t="n">
        <f aca="false">B2191+D2191</f>
        <v>1</v>
      </c>
    </row>
    <row r="2192" customFormat="false" ht="15" hidden="false" customHeight="false" outlineLevel="0" collapsed="false">
      <c r="A2192" s="12" t="s">
        <v>713</v>
      </c>
      <c r="B2192" s="12" t="n">
        <f aca="false">COUNTIFS(Cleaned!$D$2:$D$125,10,Cleaned!DC$2:DC$125,0)</f>
        <v>0</v>
      </c>
      <c r="C2192" s="13" t="str">
        <f aca="false">IFERROR(B2192/$F2192,"")</f>
        <v/>
      </c>
      <c r="D2192" s="12" t="n">
        <f aca="false">COUNTIFS(Cleaned!$D$2:$D$125,10,Cleaned!DC$2:DC$125,1)</f>
        <v>0</v>
      </c>
      <c r="E2192" s="13" t="str">
        <f aca="false">IFERROR(D2192/$F2192,"")</f>
        <v/>
      </c>
      <c r="F2192" s="12" t="n">
        <f aca="false">B2192+D2192</f>
        <v>0</v>
      </c>
    </row>
    <row r="2193" customFormat="false" ht="15" hidden="false" customHeight="false" outlineLevel="0" collapsed="false">
      <c r="A2193" s="12" t="s">
        <v>714</v>
      </c>
      <c r="B2193" s="12" t="n">
        <f aca="false">COUNTIFS(Cleaned!$D$2:$D$125,11,Cleaned!DC$2:DC$125,0)</f>
        <v>0</v>
      </c>
      <c r="C2193" s="13" t="str">
        <f aca="false">IFERROR(B2193/$F2193,"")</f>
        <v/>
      </c>
      <c r="D2193" s="12" t="n">
        <f aca="false">COUNTIFS(Cleaned!$D$2:$D$125,11,Cleaned!DC$2:DC$125,1)</f>
        <v>0</v>
      </c>
      <c r="E2193" s="13" t="str">
        <f aca="false">IFERROR(D2193/$F2193,"")</f>
        <v/>
      </c>
      <c r="F2193" s="12" t="n">
        <f aca="false">B2193+D2193</f>
        <v>0</v>
      </c>
    </row>
    <row r="2194" customFormat="false" ht="15" hidden="false" customHeight="false" outlineLevel="0" collapsed="false">
      <c r="A2194" s="12" t="s">
        <v>715</v>
      </c>
      <c r="B2194" s="12" t="n">
        <f aca="false">COUNTIFS(Cleaned!$D$2:$D$125,12,Cleaned!DC$2:DC$125,0)</f>
        <v>0</v>
      </c>
      <c r="C2194" s="13" t="str">
        <f aca="false">IFERROR(B2194/$F2194,"")</f>
        <v/>
      </c>
      <c r="D2194" s="12" t="n">
        <f aca="false">COUNTIFS(Cleaned!$D$2:$D$125,12,Cleaned!DC$2:DC$125,1)</f>
        <v>0</v>
      </c>
      <c r="E2194" s="13" t="str">
        <f aca="false">IFERROR(D2194/$F2194,"")</f>
        <v/>
      </c>
      <c r="F2194" s="12" t="n">
        <f aca="false">B2194+D2194</f>
        <v>0</v>
      </c>
    </row>
    <row r="2195" customFormat="false" ht="15" hidden="false" customHeight="false" outlineLevel="0" collapsed="false">
      <c r="A2195" s="11" t="s">
        <v>716</v>
      </c>
      <c r="B2195" s="11" t="n">
        <f aca="false">SUM(B2183:B2194)</f>
        <v>14</v>
      </c>
      <c r="C2195" s="14" t="n">
        <f aca="false">IFERROR(B2195/$F2195,"")</f>
        <v>0.451612903225806</v>
      </c>
      <c r="D2195" s="11" t="n">
        <f aca="false">SUM(D2183:D2194)</f>
        <v>17</v>
      </c>
      <c r="E2195" s="14" t="n">
        <f aca="false">IFERROR(D2195/$F2195,"")</f>
        <v>0.548387096774194</v>
      </c>
      <c r="F2195" s="11" t="n">
        <f aca="false">SUM(F2183:F2194)</f>
        <v>31</v>
      </c>
    </row>
    <row r="2198" customFormat="false" ht="15" hidden="false" customHeight="false" outlineLevel="0" collapsed="false">
      <c r="A2198" s="6" t="s">
        <v>107</v>
      </c>
      <c r="B2198" s="7" t="s">
        <v>831</v>
      </c>
    </row>
    <row r="2199" customFormat="false" ht="15" hidden="false" customHeight="false" outlineLevel="0" collapsed="false">
      <c r="A2199" s="8"/>
      <c r="B2199" s="9" t="s">
        <v>718</v>
      </c>
      <c r="C2199" s="8"/>
      <c r="D2199" s="9" t="s">
        <v>719</v>
      </c>
      <c r="E2199" s="8"/>
      <c r="F2199" s="9" t="s">
        <v>694</v>
      </c>
    </row>
    <row r="2200" customFormat="false" ht="15" hidden="false" customHeight="false" outlineLevel="0" collapsed="false">
      <c r="B2200" s="10" t="s">
        <v>695</v>
      </c>
      <c r="C2200" s="10" t="s">
        <v>696</v>
      </c>
      <c r="D2200" s="10" t="s">
        <v>695</v>
      </c>
      <c r="E2200" s="10" t="s">
        <v>696</v>
      </c>
    </row>
    <row r="2201" customFormat="false" ht="15" hidden="false" customHeight="false" outlineLevel="0" collapsed="false">
      <c r="A2201" s="11" t="s">
        <v>697</v>
      </c>
    </row>
    <row r="2202" customFormat="false" ht="15" hidden="false" customHeight="false" outlineLevel="0" collapsed="false">
      <c r="A2202" s="12" t="s">
        <v>698</v>
      </c>
      <c r="B2202" s="12" t="n">
        <f aca="false">COUNTIFS(Cleaned!$C$2:$C$125,1,Cleaned!DD$2:DD$125,0)</f>
        <v>0</v>
      </c>
      <c r="C2202" s="13" t="n">
        <f aca="false">IFERROR(B2202/$F2202,"")</f>
        <v>0</v>
      </c>
      <c r="D2202" s="12" t="n">
        <f aca="false">COUNTIFS(Cleaned!$C$2:$C$125,1,Cleaned!DD$2:DD$125,1)</f>
        <v>1</v>
      </c>
      <c r="E2202" s="13" t="n">
        <f aca="false">IFERROR(D2202/$F2202,"")</f>
        <v>1</v>
      </c>
      <c r="F2202" s="12" t="n">
        <f aca="false">B2202+D2202</f>
        <v>1</v>
      </c>
    </row>
    <row r="2203" customFormat="false" ht="15" hidden="false" customHeight="false" outlineLevel="0" collapsed="false">
      <c r="A2203" s="12" t="s">
        <v>699</v>
      </c>
      <c r="B2203" s="12" t="n">
        <f aca="false">COUNTIFS(Cleaned!$C$2:$C$125,2,Cleaned!DD$2:DD$125,0)</f>
        <v>0</v>
      </c>
      <c r="C2203" s="13" t="n">
        <f aca="false">IFERROR(B2203/$F2203,"")</f>
        <v>0</v>
      </c>
      <c r="D2203" s="12" t="n">
        <f aca="false">COUNTIFS(Cleaned!$C$2:$C$125,2,Cleaned!DD$2:DD$125,1)</f>
        <v>1</v>
      </c>
      <c r="E2203" s="13" t="n">
        <f aca="false">IFERROR(D2203/$F2203,"")</f>
        <v>1</v>
      </c>
      <c r="F2203" s="12" t="n">
        <f aca="false">B2203+D2203</f>
        <v>1</v>
      </c>
    </row>
    <row r="2204" customFormat="false" ht="15" hidden="false" customHeight="false" outlineLevel="0" collapsed="false">
      <c r="A2204" s="12" t="s">
        <v>700</v>
      </c>
      <c r="B2204" s="12" t="n">
        <f aca="false">COUNTIFS(Cleaned!$C$2:$C$125,3,Cleaned!DD$2:DD$125,0)</f>
        <v>1</v>
      </c>
      <c r="C2204" s="13" t="n">
        <f aca="false">IFERROR(B2204/$F2204,"")</f>
        <v>0.5</v>
      </c>
      <c r="D2204" s="12" t="n">
        <f aca="false">COUNTIFS(Cleaned!$C$2:$C$125,3,Cleaned!DD$2:DD$125,1)</f>
        <v>1</v>
      </c>
      <c r="E2204" s="13" t="n">
        <f aca="false">IFERROR(D2204/$F2204,"")</f>
        <v>0.5</v>
      </c>
      <c r="F2204" s="12" t="n">
        <f aca="false">B2204+D2204</f>
        <v>2</v>
      </c>
    </row>
    <row r="2205" customFormat="false" ht="15" hidden="false" customHeight="false" outlineLevel="0" collapsed="false">
      <c r="A2205" s="12" t="s">
        <v>701</v>
      </c>
      <c r="B2205" s="12" t="n">
        <f aca="false">COUNTIFS(Cleaned!$C$2:$C$125,4,Cleaned!DD$2:DD$125,0)</f>
        <v>2</v>
      </c>
      <c r="C2205" s="13" t="n">
        <f aca="false">IFERROR(B2205/$F2205,"")</f>
        <v>0.285714285714286</v>
      </c>
      <c r="D2205" s="12" t="n">
        <f aca="false">COUNTIFS(Cleaned!$C$2:$C$125,4,Cleaned!DD$2:DD$125,1)</f>
        <v>5</v>
      </c>
      <c r="E2205" s="13" t="n">
        <f aca="false">IFERROR(D2205/$F2205,"")</f>
        <v>0.714285714285714</v>
      </c>
      <c r="F2205" s="12" t="n">
        <f aca="false">B2205+D2205</f>
        <v>7</v>
      </c>
    </row>
    <row r="2206" customFormat="false" ht="15" hidden="false" customHeight="false" outlineLevel="0" collapsed="false">
      <c r="A2206" s="12" t="s">
        <v>702</v>
      </c>
      <c r="B2206" s="12" t="n">
        <f aca="false">COUNTIFS(Cleaned!$C$2:$C$125,5,Cleaned!DD$2:DD$125,0)</f>
        <v>3</v>
      </c>
      <c r="C2206" s="13" t="n">
        <f aca="false">IFERROR(B2206/$F2206,"")</f>
        <v>0.15</v>
      </c>
      <c r="D2206" s="12" t="n">
        <f aca="false">COUNTIFS(Cleaned!$C$2:$C$125,5,Cleaned!DD$2:DD$125,1)</f>
        <v>17</v>
      </c>
      <c r="E2206" s="13" t="n">
        <f aca="false">IFERROR(D2206/$F2206,"")</f>
        <v>0.85</v>
      </c>
      <c r="F2206" s="12" t="n">
        <f aca="false">B2206+D2206</f>
        <v>20</v>
      </c>
    </row>
    <row r="2207" customFormat="false" ht="15" hidden="false" customHeight="false" outlineLevel="0" collapsed="false">
      <c r="A2207" s="11" t="s">
        <v>703</v>
      </c>
      <c r="B2207" s="11" t="n">
        <f aca="false">SUM(B2202:B2206)</f>
        <v>6</v>
      </c>
      <c r="C2207" s="14" t="n">
        <f aca="false">IFERROR(B2207/$F2207,"")</f>
        <v>0.193548387096774</v>
      </c>
      <c r="D2207" s="11" t="n">
        <f aca="false">SUM(D2202:D2206)</f>
        <v>25</v>
      </c>
      <c r="E2207" s="14" t="n">
        <f aca="false">IFERROR(D2207/$F2207,"")</f>
        <v>0.806451612903226</v>
      </c>
      <c r="F2207" s="11" t="n">
        <f aca="false">SUM(F2202:F2206)</f>
        <v>31</v>
      </c>
    </row>
    <row r="2208" customFormat="false" ht="15" hidden="false" customHeight="false" outlineLevel="0" collapsed="false">
      <c r="A2208" s="11" t="s">
        <v>3</v>
      </c>
    </row>
    <row r="2209" customFormat="false" ht="15" hidden="false" customHeight="false" outlineLevel="0" collapsed="false">
      <c r="A2209" s="12" t="s">
        <v>704</v>
      </c>
      <c r="B2209" s="12" t="n">
        <f aca="false">COUNTIFS(Cleaned!$D$2:$D$125,1,Cleaned!DD$2:DD$125,0)</f>
        <v>1</v>
      </c>
      <c r="C2209" s="13" t="n">
        <f aca="false">IFERROR(B2209/$F2209,"")</f>
        <v>0.5</v>
      </c>
      <c r="D2209" s="12" t="n">
        <f aca="false">COUNTIFS(Cleaned!$D$2:$D$125,1,Cleaned!DD$2:DD$125,1)</f>
        <v>1</v>
      </c>
      <c r="E2209" s="13" t="n">
        <f aca="false">IFERROR(D2209/$F2209,"")</f>
        <v>0.5</v>
      </c>
      <c r="F2209" s="12" t="n">
        <f aca="false">B2209+D2209</f>
        <v>2</v>
      </c>
    </row>
    <row r="2210" customFormat="false" ht="15" hidden="false" customHeight="false" outlineLevel="0" collapsed="false">
      <c r="A2210" s="12" t="s">
        <v>705</v>
      </c>
      <c r="B2210" s="12" t="n">
        <f aca="false">COUNTIFS(Cleaned!$D$2:$D$125,2,Cleaned!DD$2:DD$125,0)</f>
        <v>2</v>
      </c>
      <c r="C2210" s="13" t="n">
        <f aca="false">IFERROR(B2210/$F2210,"")</f>
        <v>0.166666666666667</v>
      </c>
      <c r="D2210" s="12" t="n">
        <f aca="false">COUNTIFS(Cleaned!$D$2:$D$125,2,Cleaned!DD$2:DD$125,1)</f>
        <v>10</v>
      </c>
      <c r="E2210" s="13" t="n">
        <f aca="false">IFERROR(D2210/$F2210,"")</f>
        <v>0.833333333333333</v>
      </c>
      <c r="F2210" s="12" t="n">
        <f aca="false">B2210+D2210</f>
        <v>12</v>
      </c>
    </row>
    <row r="2211" customFormat="false" ht="15" hidden="false" customHeight="false" outlineLevel="0" collapsed="false">
      <c r="A2211" s="12" t="s">
        <v>706</v>
      </c>
      <c r="B2211" s="12" t="n">
        <f aca="false">COUNTIFS(Cleaned!$D$2:$D$125,3,Cleaned!DD$2:DD$125,0)</f>
        <v>1</v>
      </c>
      <c r="C2211" s="13" t="n">
        <f aca="false">IFERROR(B2211/$F2211,"")</f>
        <v>0.166666666666667</v>
      </c>
      <c r="D2211" s="12" t="n">
        <f aca="false">COUNTIFS(Cleaned!$D$2:$D$125,3,Cleaned!DD$2:DD$125,1)</f>
        <v>5</v>
      </c>
      <c r="E2211" s="13" t="n">
        <f aca="false">IFERROR(D2211/$F2211,"")</f>
        <v>0.833333333333333</v>
      </c>
      <c r="F2211" s="12" t="n">
        <f aca="false">B2211+D2211</f>
        <v>6</v>
      </c>
    </row>
    <row r="2212" customFormat="false" ht="15" hidden="false" customHeight="false" outlineLevel="0" collapsed="false">
      <c r="A2212" s="12" t="s">
        <v>707</v>
      </c>
      <c r="B2212" s="12" t="n">
        <f aca="false">COUNTIFS(Cleaned!$D$2:$D$125,4,Cleaned!DD$2:DD$125,0)</f>
        <v>1</v>
      </c>
      <c r="C2212" s="13" t="n">
        <f aca="false">IFERROR(B2212/$F2212,"")</f>
        <v>0.333333333333333</v>
      </c>
      <c r="D2212" s="12" t="n">
        <f aca="false">COUNTIFS(Cleaned!$D$2:$D$125,4,Cleaned!DD$2:DD$125,1)</f>
        <v>2</v>
      </c>
      <c r="E2212" s="13" t="n">
        <f aca="false">IFERROR(D2212/$F2212,"")</f>
        <v>0.666666666666667</v>
      </c>
      <c r="F2212" s="12" t="n">
        <f aca="false">B2212+D2212</f>
        <v>3</v>
      </c>
    </row>
    <row r="2213" customFormat="false" ht="15" hidden="false" customHeight="false" outlineLevel="0" collapsed="false">
      <c r="A2213" s="12" t="s">
        <v>708</v>
      </c>
      <c r="B2213" s="12" t="n">
        <f aca="false">COUNTIFS(Cleaned!$D$2:$D$125,5,Cleaned!DD$2:DD$125,0)</f>
        <v>0</v>
      </c>
      <c r="C2213" s="13" t="n">
        <f aca="false">IFERROR(B2213/$F2213,"")</f>
        <v>0</v>
      </c>
      <c r="D2213" s="12" t="n">
        <f aca="false">COUNTIFS(Cleaned!$D$2:$D$125,5,Cleaned!DD$2:DD$125,1)</f>
        <v>1</v>
      </c>
      <c r="E2213" s="13" t="n">
        <f aca="false">IFERROR(D2213/$F2213,"")</f>
        <v>1</v>
      </c>
      <c r="F2213" s="12" t="n">
        <f aca="false">B2213+D2213</f>
        <v>1</v>
      </c>
    </row>
    <row r="2214" customFormat="false" ht="15" hidden="false" customHeight="false" outlineLevel="0" collapsed="false">
      <c r="A2214" s="12" t="s">
        <v>709</v>
      </c>
      <c r="B2214" s="12" t="n">
        <f aca="false">COUNTIFS(Cleaned!$D$2:$D$125,6,Cleaned!DD$2:DD$125,0)</f>
        <v>0</v>
      </c>
      <c r="C2214" s="13" t="n">
        <f aca="false">IFERROR(B2214/$F2214,"")</f>
        <v>0</v>
      </c>
      <c r="D2214" s="12" t="n">
        <f aca="false">COUNTIFS(Cleaned!$D$2:$D$125,6,Cleaned!DD$2:DD$125,1)</f>
        <v>1</v>
      </c>
      <c r="E2214" s="13" t="n">
        <f aca="false">IFERROR(D2214/$F2214,"")</f>
        <v>1</v>
      </c>
      <c r="F2214" s="12" t="n">
        <f aca="false">B2214+D2214</f>
        <v>1</v>
      </c>
    </row>
    <row r="2215" customFormat="false" ht="15" hidden="false" customHeight="false" outlineLevel="0" collapsed="false">
      <c r="A2215" s="12" t="s">
        <v>710</v>
      </c>
      <c r="B2215" s="12" t="n">
        <f aca="false">COUNTIFS(Cleaned!$D$2:$D$125,7,Cleaned!DD$2:DD$125,0)</f>
        <v>1</v>
      </c>
      <c r="C2215" s="13" t="n">
        <f aca="false">IFERROR(B2215/$F2215,"")</f>
        <v>0.25</v>
      </c>
      <c r="D2215" s="12" t="n">
        <f aca="false">COUNTIFS(Cleaned!$D$2:$D$125,7,Cleaned!DD$2:DD$125,1)</f>
        <v>3</v>
      </c>
      <c r="E2215" s="13" t="n">
        <f aca="false">IFERROR(D2215/$F2215,"")</f>
        <v>0.75</v>
      </c>
      <c r="F2215" s="12" t="n">
        <f aca="false">B2215+D2215</f>
        <v>4</v>
      </c>
    </row>
    <row r="2216" customFormat="false" ht="15" hidden="false" customHeight="false" outlineLevel="0" collapsed="false">
      <c r="A2216" s="12" t="s">
        <v>711</v>
      </c>
      <c r="B2216" s="12" t="n">
        <f aca="false">COUNTIFS(Cleaned!$D$2:$D$125,8,Cleaned!DD$2:DD$125,0)</f>
        <v>0</v>
      </c>
      <c r="C2216" s="13" t="n">
        <f aca="false">IFERROR(B2216/$F2216,"")</f>
        <v>0</v>
      </c>
      <c r="D2216" s="12" t="n">
        <f aca="false">COUNTIFS(Cleaned!$D$2:$D$125,8,Cleaned!DD$2:DD$125,1)</f>
        <v>1</v>
      </c>
      <c r="E2216" s="13" t="n">
        <f aca="false">IFERROR(D2216/$F2216,"")</f>
        <v>1</v>
      </c>
      <c r="F2216" s="12" t="n">
        <f aca="false">B2216+D2216</f>
        <v>1</v>
      </c>
    </row>
    <row r="2217" customFormat="false" ht="15" hidden="false" customHeight="false" outlineLevel="0" collapsed="false">
      <c r="A2217" s="12" t="s">
        <v>712</v>
      </c>
      <c r="B2217" s="12" t="n">
        <f aca="false">COUNTIFS(Cleaned!$D$2:$D$125,9,Cleaned!DD$2:DD$125,0)</f>
        <v>0</v>
      </c>
      <c r="C2217" s="13" t="n">
        <f aca="false">IFERROR(B2217/$F2217,"")</f>
        <v>0</v>
      </c>
      <c r="D2217" s="12" t="n">
        <f aca="false">COUNTIFS(Cleaned!$D$2:$D$125,9,Cleaned!DD$2:DD$125,1)</f>
        <v>1</v>
      </c>
      <c r="E2217" s="13" t="n">
        <f aca="false">IFERROR(D2217/$F2217,"")</f>
        <v>1</v>
      </c>
      <c r="F2217" s="12" t="n">
        <f aca="false">B2217+D2217</f>
        <v>1</v>
      </c>
    </row>
    <row r="2218" customFormat="false" ht="15" hidden="false" customHeight="false" outlineLevel="0" collapsed="false">
      <c r="A2218" s="12" t="s">
        <v>713</v>
      </c>
      <c r="B2218" s="12" t="n">
        <f aca="false">COUNTIFS(Cleaned!$D$2:$D$125,10,Cleaned!DD$2:DD$125,0)</f>
        <v>0</v>
      </c>
      <c r="C2218" s="13" t="str">
        <f aca="false">IFERROR(B2218/$F2218,"")</f>
        <v/>
      </c>
      <c r="D2218" s="12" t="n">
        <f aca="false">COUNTIFS(Cleaned!$D$2:$D$125,10,Cleaned!DD$2:DD$125,1)</f>
        <v>0</v>
      </c>
      <c r="E2218" s="13" t="str">
        <f aca="false">IFERROR(D2218/$F2218,"")</f>
        <v/>
      </c>
      <c r="F2218" s="12" t="n">
        <f aca="false">B2218+D2218</f>
        <v>0</v>
      </c>
    </row>
    <row r="2219" customFormat="false" ht="15" hidden="false" customHeight="false" outlineLevel="0" collapsed="false">
      <c r="A2219" s="12" t="s">
        <v>714</v>
      </c>
      <c r="B2219" s="12" t="n">
        <f aca="false">COUNTIFS(Cleaned!$D$2:$D$125,11,Cleaned!DD$2:DD$125,0)</f>
        <v>0</v>
      </c>
      <c r="C2219" s="13" t="str">
        <f aca="false">IFERROR(B2219/$F2219,"")</f>
        <v/>
      </c>
      <c r="D2219" s="12" t="n">
        <f aca="false">COUNTIFS(Cleaned!$D$2:$D$125,11,Cleaned!DD$2:DD$125,1)</f>
        <v>0</v>
      </c>
      <c r="E2219" s="13" t="str">
        <f aca="false">IFERROR(D2219/$F2219,"")</f>
        <v/>
      </c>
      <c r="F2219" s="12" t="n">
        <f aca="false">B2219+D2219</f>
        <v>0</v>
      </c>
    </row>
    <row r="2220" customFormat="false" ht="15" hidden="false" customHeight="false" outlineLevel="0" collapsed="false">
      <c r="A2220" s="12" t="s">
        <v>715</v>
      </c>
      <c r="B2220" s="12" t="n">
        <f aca="false">COUNTIFS(Cleaned!$D$2:$D$125,12,Cleaned!DD$2:DD$125,0)</f>
        <v>0</v>
      </c>
      <c r="C2220" s="13" t="str">
        <f aca="false">IFERROR(B2220/$F2220,"")</f>
        <v/>
      </c>
      <c r="D2220" s="12" t="n">
        <f aca="false">COUNTIFS(Cleaned!$D$2:$D$125,12,Cleaned!DD$2:DD$125,1)</f>
        <v>0</v>
      </c>
      <c r="E2220" s="13" t="str">
        <f aca="false">IFERROR(D2220/$F2220,"")</f>
        <v/>
      </c>
      <c r="F2220" s="12" t="n">
        <f aca="false">B2220+D2220</f>
        <v>0</v>
      </c>
    </row>
    <row r="2221" customFormat="false" ht="15" hidden="false" customHeight="false" outlineLevel="0" collapsed="false">
      <c r="A2221" s="11" t="s">
        <v>716</v>
      </c>
      <c r="B2221" s="11" t="n">
        <f aca="false">SUM(B2209:B2220)</f>
        <v>6</v>
      </c>
      <c r="C2221" s="14" t="n">
        <f aca="false">IFERROR(B2221/$F2221,"")</f>
        <v>0.193548387096774</v>
      </c>
      <c r="D2221" s="11" t="n">
        <f aca="false">SUM(D2209:D2220)</f>
        <v>25</v>
      </c>
      <c r="E2221" s="14" t="n">
        <f aca="false">IFERROR(D2221/$F2221,"")</f>
        <v>0.806451612903226</v>
      </c>
      <c r="F2221" s="11" t="n">
        <f aca="false">SUM(F2209:F2220)</f>
        <v>31</v>
      </c>
    </row>
    <row r="2224" customFormat="false" ht="15" hidden="false" customHeight="false" outlineLevel="0" collapsed="false">
      <c r="A2224" s="6" t="s">
        <v>108</v>
      </c>
      <c r="B2224" s="7" t="s">
        <v>832</v>
      </c>
    </row>
    <row r="2225" customFormat="false" ht="15" hidden="false" customHeight="false" outlineLevel="0" collapsed="false">
      <c r="A2225" s="8"/>
      <c r="B2225" s="9" t="s">
        <v>718</v>
      </c>
      <c r="C2225" s="8"/>
      <c r="D2225" s="9" t="s">
        <v>719</v>
      </c>
      <c r="E2225" s="8"/>
      <c r="F2225" s="9" t="s">
        <v>694</v>
      </c>
    </row>
    <row r="2226" customFormat="false" ht="15" hidden="false" customHeight="false" outlineLevel="0" collapsed="false">
      <c r="B2226" s="10" t="s">
        <v>695</v>
      </c>
      <c r="C2226" s="10" t="s">
        <v>696</v>
      </c>
      <c r="D2226" s="10" t="s">
        <v>695</v>
      </c>
      <c r="E2226" s="10" t="s">
        <v>696</v>
      </c>
    </row>
    <row r="2227" customFormat="false" ht="15" hidden="false" customHeight="false" outlineLevel="0" collapsed="false">
      <c r="A2227" s="11" t="s">
        <v>697</v>
      </c>
    </row>
    <row r="2228" customFormat="false" ht="15" hidden="false" customHeight="false" outlineLevel="0" collapsed="false">
      <c r="A2228" s="12" t="s">
        <v>698</v>
      </c>
      <c r="B2228" s="12" t="n">
        <f aca="false">COUNTIFS(Cleaned!$C$2:$C$125,1,Cleaned!DE$2:DE$125,0)</f>
        <v>1</v>
      </c>
      <c r="C2228" s="13" t="n">
        <f aca="false">IFERROR(B2228/$F2228,"")</f>
        <v>1</v>
      </c>
      <c r="D2228" s="12" t="n">
        <f aca="false">COUNTIFS(Cleaned!$C$2:$C$125,1,Cleaned!DE$2:DE$125,1)</f>
        <v>0</v>
      </c>
      <c r="E2228" s="13" t="n">
        <f aca="false">IFERROR(D2228/$F2228,"")</f>
        <v>0</v>
      </c>
      <c r="F2228" s="12" t="n">
        <f aca="false">B2228+D2228</f>
        <v>1</v>
      </c>
    </row>
    <row r="2229" customFormat="false" ht="15" hidden="false" customHeight="false" outlineLevel="0" collapsed="false">
      <c r="A2229" s="12" t="s">
        <v>699</v>
      </c>
      <c r="B2229" s="12" t="n">
        <f aca="false">COUNTIFS(Cleaned!$C$2:$C$125,2,Cleaned!DE$2:DE$125,0)</f>
        <v>1</v>
      </c>
      <c r="C2229" s="13" t="n">
        <f aca="false">IFERROR(B2229/$F2229,"")</f>
        <v>1</v>
      </c>
      <c r="D2229" s="12" t="n">
        <f aca="false">COUNTIFS(Cleaned!$C$2:$C$125,2,Cleaned!DE$2:DE$125,1)</f>
        <v>0</v>
      </c>
      <c r="E2229" s="13" t="n">
        <f aca="false">IFERROR(D2229/$F2229,"")</f>
        <v>0</v>
      </c>
      <c r="F2229" s="12" t="n">
        <f aca="false">B2229+D2229</f>
        <v>1</v>
      </c>
    </row>
    <row r="2230" customFormat="false" ht="15" hidden="false" customHeight="false" outlineLevel="0" collapsed="false">
      <c r="A2230" s="12" t="s">
        <v>700</v>
      </c>
      <c r="B2230" s="12" t="n">
        <f aca="false">COUNTIFS(Cleaned!$C$2:$C$125,3,Cleaned!DE$2:DE$125,0)</f>
        <v>2</v>
      </c>
      <c r="C2230" s="13" t="n">
        <f aca="false">IFERROR(B2230/$F2230,"")</f>
        <v>1</v>
      </c>
      <c r="D2230" s="12" t="n">
        <f aca="false">COUNTIFS(Cleaned!$C$2:$C$125,3,Cleaned!DE$2:DE$125,1)</f>
        <v>0</v>
      </c>
      <c r="E2230" s="13" t="n">
        <f aca="false">IFERROR(D2230/$F2230,"")</f>
        <v>0</v>
      </c>
      <c r="F2230" s="12" t="n">
        <f aca="false">B2230+D2230</f>
        <v>2</v>
      </c>
    </row>
    <row r="2231" customFormat="false" ht="15" hidden="false" customHeight="false" outlineLevel="0" collapsed="false">
      <c r="A2231" s="12" t="s">
        <v>701</v>
      </c>
      <c r="B2231" s="12" t="n">
        <f aca="false">COUNTIFS(Cleaned!$C$2:$C$125,4,Cleaned!DE$2:DE$125,0)</f>
        <v>5</v>
      </c>
      <c r="C2231" s="13" t="n">
        <f aca="false">IFERROR(B2231/$F2231,"")</f>
        <v>0.714285714285714</v>
      </c>
      <c r="D2231" s="12" t="n">
        <f aca="false">COUNTIFS(Cleaned!$C$2:$C$125,4,Cleaned!DE$2:DE$125,1)</f>
        <v>2</v>
      </c>
      <c r="E2231" s="13" t="n">
        <f aca="false">IFERROR(D2231/$F2231,"")</f>
        <v>0.285714285714286</v>
      </c>
      <c r="F2231" s="12" t="n">
        <f aca="false">B2231+D2231</f>
        <v>7</v>
      </c>
    </row>
    <row r="2232" customFormat="false" ht="15" hidden="false" customHeight="false" outlineLevel="0" collapsed="false">
      <c r="A2232" s="12" t="s">
        <v>702</v>
      </c>
      <c r="B2232" s="12" t="n">
        <f aca="false">COUNTIFS(Cleaned!$C$2:$C$125,5,Cleaned!DE$2:DE$125,0)</f>
        <v>6</v>
      </c>
      <c r="C2232" s="13" t="n">
        <f aca="false">IFERROR(B2232/$F2232,"")</f>
        <v>0.3</v>
      </c>
      <c r="D2232" s="12" t="n">
        <f aca="false">COUNTIFS(Cleaned!$C$2:$C$125,5,Cleaned!DE$2:DE$125,1)</f>
        <v>14</v>
      </c>
      <c r="E2232" s="13" t="n">
        <f aca="false">IFERROR(D2232/$F2232,"")</f>
        <v>0.7</v>
      </c>
      <c r="F2232" s="12" t="n">
        <f aca="false">B2232+D2232</f>
        <v>20</v>
      </c>
    </row>
    <row r="2233" customFormat="false" ht="15" hidden="false" customHeight="false" outlineLevel="0" collapsed="false">
      <c r="A2233" s="11" t="s">
        <v>703</v>
      </c>
      <c r="B2233" s="11" t="n">
        <f aca="false">SUM(B2228:B2232)</f>
        <v>15</v>
      </c>
      <c r="C2233" s="14" t="n">
        <f aca="false">IFERROR(B2233/$F2233,"")</f>
        <v>0.483870967741936</v>
      </c>
      <c r="D2233" s="11" t="n">
        <f aca="false">SUM(D2228:D2232)</f>
        <v>16</v>
      </c>
      <c r="E2233" s="14" t="n">
        <f aca="false">IFERROR(D2233/$F2233,"")</f>
        <v>0.516129032258065</v>
      </c>
      <c r="F2233" s="11" t="n">
        <f aca="false">SUM(F2228:F2232)</f>
        <v>31</v>
      </c>
    </row>
    <row r="2234" customFormat="false" ht="15" hidden="false" customHeight="false" outlineLevel="0" collapsed="false">
      <c r="A2234" s="11" t="s">
        <v>3</v>
      </c>
    </row>
    <row r="2235" customFormat="false" ht="15" hidden="false" customHeight="false" outlineLevel="0" collapsed="false">
      <c r="A2235" s="12" t="s">
        <v>704</v>
      </c>
      <c r="B2235" s="12" t="n">
        <f aca="false">COUNTIFS(Cleaned!$D$2:$D$125,1,Cleaned!DE$2:DE$125,0)</f>
        <v>1</v>
      </c>
      <c r="C2235" s="13" t="n">
        <f aca="false">IFERROR(B2235/$F2235,"")</f>
        <v>0.5</v>
      </c>
      <c r="D2235" s="12" t="n">
        <f aca="false">COUNTIFS(Cleaned!$D$2:$D$125,1,Cleaned!DE$2:DE$125,1)</f>
        <v>1</v>
      </c>
      <c r="E2235" s="13" t="n">
        <f aca="false">IFERROR(D2235/$F2235,"")</f>
        <v>0.5</v>
      </c>
      <c r="F2235" s="12" t="n">
        <f aca="false">B2235+D2235</f>
        <v>2</v>
      </c>
    </row>
    <row r="2236" customFormat="false" ht="15" hidden="false" customHeight="false" outlineLevel="0" collapsed="false">
      <c r="A2236" s="12" t="s">
        <v>705</v>
      </c>
      <c r="B2236" s="12" t="n">
        <f aca="false">COUNTIFS(Cleaned!$D$2:$D$125,2,Cleaned!DE$2:DE$125,0)</f>
        <v>5</v>
      </c>
      <c r="C2236" s="13" t="n">
        <f aca="false">IFERROR(B2236/$F2236,"")</f>
        <v>0.416666666666667</v>
      </c>
      <c r="D2236" s="12" t="n">
        <f aca="false">COUNTIFS(Cleaned!$D$2:$D$125,2,Cleaned!DE$2:DE$125,1)</f>
        <v>7</v>
      </c>
      <c r="E2236" s="13" t="n">
        <f aca="false">IFERROR(D2236/$F2236,"")</f>
        <v>0.583333333333333</v>
      </c>
      <c r="F2236" s="12" t="n">
        <f aca="false">B2236+D2236</f>
        <v>12</v>
      </c>
    </row>
    <row r="2237" customFormat="false" ht="15" hidden="false" customHeight="false" outlineLevel="0" collapsed="false">
      <c r="A2237" s="12" t="s">
        <v>706</v>
      </c>
      <c r="B2237" s="12" t="n">
        <f aca="false">COUNTIFS(Cleaned!$D$2:$D$125,3,Cleaned!DE$2:DE$125,0)</f>
        <v>2</v>
      </c>
      <c r="C2237" s="13" t="n">
        <f aca="false">IFERROR(B2237/$F2237,"")</f>
        <v>0.333333333333333</v>
      </c>
      <c r="D2237" s="12" t="n">
        <f aca="false">COUNTIFS(Cleaned!$D$2:$D$125,3,Cleaned!DE$2:DE$125,1)</f>
        <v>4</v>
      </c>
      <c r="E2237" s="13" t="n">
        <f aca="false">IFERROR(D2237/$F2237,"")</f>
        <v>0.666666666666667</v>
      </c>
      <c r="F2237" s="12" t="n">
        <f aca="false">B2237+D2237</f>
        <v>6</v>
      </c>
    </row>
    <row r="2238" customFormat="false" ht="15" hidden="false" customHeight="false" outlineLevel="0" collapsed="false">
      <c r="A2238" s="12" t="s">
        <v>707</v>
      </c>
      <c r="B2238" s="12" t="n">
        <f aca="false">COUNTIFS(Cleaned!$D$2:$D$125,4,Cleaned!DE$2:DE$125,0)</f>
        <v>2</v>
      </c>
      <c r="C2238" s="13" t="n">
        <f aca="false">IFERROR(B2238/$F2238,"")</f>
        <v>0.666666666666667</v>
      </c>
      <c r="D2238" s="12" t="n">
        <f aca="false">COUNTIFS(Cleaned!$D$2:$D$125,4,Cleaned!DE$2:DE$125,1)</f>
        <v>1</v>
      </c>
      <c r="E2238" s="13" t="n">
        <f aca="false">IFERROR(D2238/$F2238,"")</f>
        <v>0.333333333333333</v>
      </c>
      <c r="F2238" s="12" t="n">
        <f aca="false">B2238+D2238</f>
        <v>3</v>
      </c>
    </row>
    <row r="2239" customFormat="false" ht="15" hidden="false" customHeight="false" outlineLevel="0" collapsed="false">
      <c r="A2239" s="12" t="s">
        <v>708</v>
      </c>
      <c r="B2239" s="12" t="n">
        <f aca="false">COUNTIFS(Cleaned!$D$2:$D$125,5,Cleaned!DE$2:DE$125,0)</f>
        <v>1</v>
      </c>
      <c r="C2239" s="13" t="n">
        <f aca="false">IFERROR(B2239/$F2239,"")</f>
        <v>1</v>
      </c>
      <c r="D2239" s="12" t="n">
        <f aca="false">COUNTIFS(Cleaned!$D$2:$D$125,5,Cleaned!DE$2:DE$125,1)</f>
        <v>0</v>
      </c>
      <c r="E2239" s="13" t="n">
        <f aca="false">IFERROR(D2239/$F2239,"")</f>
        <v>0</v>
      </c>
      <c r="F2239" s="12" t="n">
        <f aca="false">B2239+D2239</f>
        <v>1</v>
      </c>
    </row>
    <row r="2240" customFormat="false" ht="15" hidden="false" customHeight="false" outlineLevel="0" collapsed="false">
      <c r="A2240" s="12" t="s">
        <v>709</v>
      </c>
      <c r="B2240" s="12" t="n">
        <f aca="false">COUNTIFS(Cleaned!$D$2:$D$125,6,Cleaned!DE$2:DE$125,0)</f>
        <v>0</v>
      </c>
      <c r="C2240" s="13" t="n">
        <f aca="false">IFERROR(B2240/$F2240,"")</f>
        <v>0</v>
      </c>
      <c r="D2240" s="12" t="n">
        <f aca="false">COUNTIFS(Cleaned!$D$2:$D$125,6,Cleaned!DE$2:DE$125,1)</f>
        <v>1</v>
      </c>
      <c r="E2240" s="13" t="n">
        <f aca="false">IFERROR(D2240/$F2240,"")</f>
        <v>1</v>
      </c>
      <c r="F2240" s="12" t="n">
        <f aca="false">B2240+D2240</f>
        <v>1</v>
      </c>
    </row>
    <row r="2241" customFormat="false" ht="15" hidden="false" customHeight="false" outlineLevel="0" collapsed="false">
      <c r="A2241" s="12" t="s">
        <v>710</v>
      </c>
      <c r="B2241" s="12" t="n">
        <f aca="false">COUNTIFS(Cleaned!$D$2:$D$125,7,Cleaned!DE$2:DE$125,0)</f>
        <v>3</v>
      </c>
      <c r="C2241" s="13" t="n">
        <f aca="false">IFERROR(B2241/$F2241,"")</f>
        <v>0.75</v>
      </c>
      <c r="D2241" s="12" t="n">
        <f aca="false">COUNTIFS(Cleaned!$D$2:$D$125,7,Cleaned!DE$2:DE$125,1)</f>
        <v>1</v>
      </c>
      <c r="E2241" s="13" t="n">
        <f aca="false">IFERROR(D2241/$F2241,"")</f>
        <v>0.25</v>
      </c>
      <c r="F2241" s="12" t="n">
        <f aca="false">B2241+D2241</f>
        <v>4</v>
      </c>
    </row>
    <row r="2242" customFormat="false" ht="15" hidden="false" customHeight="false" outlineLevel="0" collapsed="false">
      <c r="A2242" s="12" t="s">
        <v>711</v>
      </c>
      <c r="B2242" s="12" t="n">
        <f aca="false">COUNTIFS(Cleaned!$D$2:$D$125,8,Cleaned!DE$2:DE$125,0)</f>
        <v>1</v>
      </c>
      <c r="C2242" s="13" t="n">
        <f aca="false">IFERROR(B2242/$F2242,"")</f>
        <v>1</v>
      </c>
      <c r="D2242" s="12" t="n">
        <f aca="false">COUNTIFS(Cleaned!$D$2:$D$125,8,Cleaned!DE$2:DE$125,1)</f>
        <v>0</v>
      </c>
      <c r="E2242" s="13" t="n">
        <f aca="false">IFERROR(D2242/$F2242,"")</f>
        <v>0</v>
      </c>
      <c r="F2242" s="12" t="n">
        <f aca="false">B2242+D2242</f>
        <v>1</v>
      </c>
    </row>
    <row r="2243" customFormat="false" ht="15" hidden="false" customHeight="false" outlineLevel="0" collapsed="false">
      <c r="A2243" s="12" t="s">
        <v>712</v>
      </c>
      <c r="B2243" s="12" t="n">
        <f aca="false">COUNTIFS(Cleaned!$D$2:$D$125,9,Cleaned!DE$2:DE$125,0)</f>
        <v>0</v>
      </c>
      <c r="C2243" s="13" t="n">
        <f aca="false">IFERROR(B2243/$F2243,"")</f>
        <v>0</v>
      </c>
      <c r="D2243" s="12" t="n">
        <f aca="false">COUNTIFS(Cleaned!$D$2:$D$125,9,Cleaned!DE$2:DE$125,1)</f>
        <v>1</v>
      </c>
      <c r="E2243" s="13" t="n">
        <f aca="false">IFERROR(D2243/$F2243,"")</f>
        <v>1</v>
      </c>
      <c r="F2243" s="12" t="n">
        <f aca="false">B2243+D2243</f>
        <v>1</v>
      </c>
    </row>
    <row r="2244" customFormat="false" ht="15" hidden="false" customHeight="false" outlineLevel="0" collapsed="false">
      <c r="A2244" s="12" t="s">
        <v>713</v>
      </c>
      <c r="B2244" s="12" t="n">
        <f aca="false">COUNTIFS(Cleaned!$D$2:$D$125,10,Cleaned!DE$2:DE$125,0)</f>
        <v>0</v>
      </c>
      <c r="C2244" s="13" t="str">
        <f aca="false">IFERROR(B2244/$F2244,"")</f>
        <v/>
      </c>
      <c r="D2244" s="12" t="n">
        <f aca="false">COUNTIFS(Cleaned!$D$2:$D$125,10,Cleaned!DE$2:DE$125,1)</f>
        <v>0</v>
      </c>
      <c r="E2244" s="13" t="str">
        <f aca="false">IFERROR(D2244/$F2244,"")</f>
        <v/>
      </c>
      <c r="F2244" s="12" t="n">
        <f aca="false">B2244+D2244</f>
        <v>0</v>
      </c>
    </row>
    <row r="2245" customFormat="false" ht="15" hidden="false" customHeight="false" outlineLevel="0" collapsed="false">
      <c r="A2245" s="12" t="s">
        <v>714</v>
      </c>
      <c r="B2245" s="12" t="n">
        <f aca="false">COUNTIFS(Cleaned!$D$2:$D$125,11,Cleaned!DE$2:DE$125,0)</f>
        <v>0</v>
      </c>
      <c r="C2245" s="13" t="str">
        <f aca="false">IFERROR(B2245/$F2245,"")</f>
        <v/>
      </c>
      <c r="D2245" s="12" t="n">
        <f aca="false">COUNTIFS(Cleaned!$D$2:$D$125,11,Cleaned!DE$2:DE$125,1)</f>
        <v>0</v>
      </c>
      <c r="E2245" s="13" t="str">
        <f aca="false">IFERROR(D2245/$F2245,"")</f>
        <v/>
      </c>
      <c r="F2245" s="12" t="n">
        <f aca="false">B2245+D2245</f>
        <v>0</v>
      </c>
    </row>
    <row r="2246" customFormat="false" ht="15" hidden="false" customHeight="false" outlineLevel="0" collapsed="false">
      <c r="A2246" s="12" t="s">
        <v>715</v>
      </c>
      <c r="B2246" s="12" t="n">
        <f aca="false">COUNTIFS(Cleaned!$D$2:$D$125,12,Cleaned!DE$2:DE$125,0)</f>
        <v>0</v>
      </c>
      <c r="C2246" s="13" t="str">
        <f aca="false">IFERROR(B2246/$F2246,"")</f>
        <v/>
      </c>
      <c r="D2246" s="12" t="n">
        <f aca="false">COUNTIFS(Cleaned!$D$2:$D$125,12,Cleaned!DE$2:DE$125,1)</f>
        <v>0</v>
      </c>
      <c r="E2246" s="13" t="str">
        <f aca="false">IFERROR(D2246/$F2246,"")</f>
        <v/>
      </c>
      <c r="F2246" s="12" t="n">
        <f aca="false">B2246+D2246</f>
        <v>0</v>
      </c>
    </row>
    <row r="2247" customFormat="false" ht="15" hidden="false" customHeight="false" outlineLevel="0" collapsed="false">
      <c r="A2247" s="11" t="s">
        <v>716</v>
      </c>
      <c r="B2247" s="11" t="n">
        <f aca="false">SUM(B2235:B2246)</f>
        <v>15</v>
      </c>
      <c r="C2247" s="14" t="n">
        <f aca="false">IFERROR(B2247/$F2247,"")</f>
        <v>0.483870967741936</v>
      </c>
      <c r="D2247" s="11" t="n">
        <f aca="false">SUM(D2235:D2246)</f>
        <v>16</v>
      </c>
      <c r="E2247" s="14" t="n">
        <f aca="false">IFERROR(D2247/$F2247,"")</f>
        <v>0.516129032258065</v>
      </c>
      <c r="F2247" s="11" t="n">
        <f aca="false">SUM(F2235:F2246)</f>
        <v>31</v>
      </c>
    </row>
    <row r="2250" customFormat="false" ht="15" hidden="false" customHeight="false" outlineLevel="0" collapsed="false">
      <c r="A2250" s="6" t="s">
        <v>109</v>
      </c>
      <c r="B2250" s="7" t="s">
        <v>833</v>
      </c>
    </row>
    <row r="2251" customFormat="false" ht="15" hidden="false" customHeight="false" outlineLevel="0" collapsed="false">
      <c r="A2251" s="8"/>
      <c r="B2251" s="9" t="s">
        <v>718</v>
      </c>
      <c r="C2251" s="8"/>
      <c r="D2251" s="9" t="s">
        <v>719</v>
      </c>
      <c r="E2251" s="8"/>
      <c r="F2251" s="9" t="s">
        <v>694</v>
      </c>
    </row>
    <row r="2252" customFormat="false" ht="15" hidden="false" customHeight="false" outlineLevel="0" collapsed="false">
      <c r="B2252" s="10" t="s">
        <v>695</v>
      </c>
      <c r="C2252" s="10" t="s">
        <v>696</v>
      </c>
      <c r="D2252" s="10" t="s">
        <v>695</v>
      </c>
      <c r="E2252" s="10" t="s">
        <v>696</v>
      </c>
    </row>
    <row r="2253" customFormat="false" ht="15" hidden="false" customHeight="false" outlineLevel="0" collapsed="false">
      <c r="A2253" s="11" t="s">
        <v>697</v>
      </c>
    </row>
    <row r="2254" customFormat="false" ht="15" hidden="false" customHeight="false" outlineLevel="0" collapsed="false">
      <c r="A2254" s="12" t="s">
        <v>698</v>
      </c>
      <c r="B2254" s="12" t="n">
        <f aca="false">COUNTIFS(Cleaned!$C$2:$C$125,1,Cleaned!DF$2:DF$125,0)</f>
        <v>1</v>
      </c>
      <c r="C2254" s="13" t="n">
        <f aca="false">IFERROR(B2254/$F2254,"")</f>
        <v>1</v>
      </c>
      <c r="D2254" s="12" t="n">
        <f aca="false">COUNTIFS(Cleaned!$C$2:$C$125,1,Cleaned!DF$2:DF$125,1)</f>
        <v>0</v>
      </c>
      <c r="E2254" s="13" t="n">
        <f aca="false">IFERROR(D2254/$F2254,"")</f>
        <v>0</v>
      </c>
      <c r="F2254" s="12" t="n">
        <f aca="false">B2254+D2254</f>
        <v>1</v>
      </c>
    </row>
    <row r="2255" customFormat="false" ht="15" hidden="false" customHeight="false" outlineLevel="0" collapsed="false">
      <c r="A2255" s="12" t="s">
        <v>699</v>
      </c>
      <c r="B2255" s="12" t="n">
        <f aca="false">COUNTIFS(Cleaned!$C$2:$C$125,2,Cleaned!DF$2:DF$125,0)</f>
        <v>1</v>
      </c>
      <c r="C2255" s="13" t="n">
        <f aca="false">IFERROR(B2255/$F2255,"")</f>
        <v>1</v>
      </c>
      <c r="D2255" s="12" t="n">
        <f aca="false">COUNTIFS(Cleaned!$C$2:$C$125,2,Cleaned!DF$2:DF$125,1)</f>
        <v>0</v>
      </c>
      <c r="E2255" s="13" t="n">
        <f aca="false">IFERROR(D2255/$F2255,"")</f>
        <v>0</v>
      </c>
      <c r="F2255" s="12" t="n">
        <f aca="false">B2255+D2255</f>
        <v>1</v>
      </c>
    </row>
    <row r="2256" customFormat="false" ht="15" hidden="false" customHeight="false" outlineLevel="0" collapsed="false">
      <c r="A2256" s="12" t="s">
        <v>700</v>
      </c>
      <c r="B2256" s="12" t="n">
        <f aca="false">COUNTIFS(Cleaned!$C$2:$C$125,3,Cleaned!DF$2:DF$125,0)</f>
        <v>2</v>
      </c>
      <c r="C2256" s="13" t="n">
        <f aca="false">IFERROR(B2256/$F2256,"")</f>
        <v>1</v>
      </c>
      <c r="D2256" s="12" t="n">
        <f aca="false">COUNTIFS(Cleaned!$C$2:$C$125,3,Cleaned!DF$2:DF$125,1)</f>
        <v>0</v>
      </c>
      <c r="E2256" s="13" t="n">
        <f aca="false">IFERROR(D2256/$F2256,"")</f>
        <v>0</v>
      </c>
      <c r="F2256" s="12" t="n">
        <f aca="false">B2256+D2256</f>
        <v>2</v>
      </c>
    </row>
    <row r="2257" customFormat="false" ht="15" hidden="false" customHeight="false" outlineLevel="0" collapsed="false">
      <c r="A2257" s="12" t="s">
        <v>701</v>
      </c>
      <c r="B2257" s="12" t="n">
        <f aca="false">COUNTIFS(Cleaned!$C$2:$C$125,4,Cleaned!DF$2:DF$125,0)</f>
        <v>6</v>
      </c>
      <c r="C2257" s="13" t="n">
        <f aca="false">IFERROR(B2257/$F2257,"")</f>
        <v>0.857142857142857</v>
      </c>
      <c r="D2257" s="12" t="n">
        <f aca="false">COUNTIFS(Cleaned!$C$2:$C$125,4,Cleaned!DF$2:DF$125,1)</f>
        <v>1</v>
      </c>
      <c r="E2257" s="13" t="n">
        <f aca="false">IFERROR(D2257/$F2257,"")</f>
        <v>0.142857142857143</v>
      </c>
      <c r="F2257" s="12" t="n">
        <f aca="false">B2257+D2257</f>
        <v>7</v>
      </c>
    </row>
    <row r="2258" customFormat="false" ht="15" hidden="false" customHeight="false" outlineLevel="0" collapsed="false">
      <c r="A2258" s="12" t="s">
        <v>702</v>
      </c>
      <c r="B2258" s="12" t="n">
        <f aca="false">COUNTIFS(Cleaned!$C$2:$C$125,5,Cleaned!DF$2:DF$125,0)</f>
        <v>15</v>
      </c>
      <c r="C2258" s="13" t="n">
        <f aca="false">IFERROR(B2258/$F2258,"")</f>
        <v>0.75</v>
      </c>
      <c r="D2258" s="12" t="n">
        <f aca="false">COUNTIFS(Cleaned!$C$2:$C$125,5,Cleaned!DF$2:DF$125,1)</f>
        <v>5</v>
      </c>
      <c r="E2258" s="13" t="n">
        <f aca="false">IFERROR(D2258/$F2258,"")</f>
        <v>0.25</v>
      </c>
      <c r="F2258" s="12" t="n">
        <f aca="false">B2258+D2258</f>
        <v>20</v>
      </c>
    </row>
    <row r="2259" customFormat="false" ht="15" hidden="false" customHeight="false" outlineLevel="0" collapsed="false">
      <c r="A2259" s="11" t="s">
        <v>703</v>
      </c>
      <c r="B2259" s="11" t="n">
        <f aca="false">SUM(B2254:B2258)</f>
        <v>25</v>
      </c>
      <c r="C2259" s="14" t="n">
        <f aca="false">IFERROR(B2259/$F2259,"")</f>
        <v>0.806451612903226</v>
      </c>
      <c r="D2259" s="11" t="n">
        <f aca="false">SUM(D2254:D2258)</f>
        <v>6</v>
      </c>
      <c r="E2259" s="14" t="n">
        <f aca="false">IFERROR(D2259/$F2259,"")</f>
        <v>0.193548387096774</v>
      </c>
      <c r="F2259" s="11" t="n">
        <f aca="false">SUM(F2254:F2258)</f>
        <v>31</v>
      </c>
    </row>
    <row r="2260" customFormat="false" ht="15" hidden="false" customHeight="false" outlineLevel="0" collapsed="false">
      <c r="A2260" s="11" t="s">
        <v>3</v>
      </c>
    </row>
    <row r="2261" customFormat="false" ht="15" hidden="false" customHeight="false" outlineLevel="0" collapsed="false">
      <c r="A2261" s="12" t="s">
        <v>704</v>
      </c>
      <c r="B2261" s="12" t="n">
        <f aca="false">COUNTIFS(Cleaned!$D$2:$D$125,1,Cleaned!DF$2:DF$125,0)</f>
        <v>2</v>
      </c>
      <c r="C2261" s="13" t="n">
        <f aca="false">IFERROR(B2261/$F2261,"")</f>
        <v>1</v>
      </c>
      <c r="D2261" s="12" t="n">
        <f aca="false">COUNTIFS(Cleaned!$D$2:$D$125,1,Cleaned!DF$2:DF$125,1)</f>
        <v>0</v>
      </c>
      <c r="E2261" s="13" t="n">
        <f aca="false">IFERROR(D2261/$F2261,"")</f>
        <v>0</v>
      </c>
      <c r="F2261" s="12" t="n">
        <f aca="false">B2261+D2261</f>
        <v>2</v>
      </c>
    </row>
    <row r="2262" customFormat="false" ht="15" hidden="false" customHeight="false" outlineLevel="0" collapsed="false">
      <c r="A2262" s="12" t="s">
        <v>705</v>
      </c>
      <c r="B2262" s="12" t="n">
        <f aca="false">COUNTIFS(Cleaned!$D$2:$D$125,2,Cleaned!DF$2:DF$125,0)</f>
        <v>7</v>
      </c>
      <c r="C2262" s="13" t="n">
        <f aca="false">IFERROR(B2262/$F2262,"")</f>
        <v>0.583333333333333</v>
      </c>
      <c r="D2262" s="12" t="n">
        <f aca="false">COUNTIFS(Cleaned!$D$2:$D$125,2,Cleaned!DF$2:DF$125,1)</f>
        <v>5</v>
      </c>
      <c r="E2262" s="13" t="n">
        <f aca="false">IFERROR(D2262/$F2262,"")</f>
        <v>0.416666666666667</v>
      </c>
      <c r="F2262" s="12" t="n">
        <f aca="false">B2262+D2262</f>
        <v>12</v>
      </c>
    </row>
    <row r="2263" customFormat="false" ht="15" hidden="false" customHeight="false" outlineLevel="0" collapsed="false">
      <c r="A2263" s="12" t="s">
        <v>706</v>
      </c>
      <c r="B2263" s="12" t="n">
        <f aca="false">COUNTIFS(Cleaned!$D$2:$D$125,3,Cleaned!DF$2:DF$125,0)</f>
        <v>5</v>
      </c>
      <c r="C2263" s="13" t="n">
        <f aca="false">IFERROR(B2263/$F2263,"")</f>
        <v>0.833333333333333</v>
      </c>
      <c r="D2263" s="12" t="n">
        <f aca="false">COUNTIFS(Cleaned!$D$2:$D$125,3,Cleaned!DF$2:DF$125,1)</f>
        <v>1</v>
      </c>
      <c r="E2263" s="13" t="n">
        <f aca="false">IFERROR(D2263/$F2263,"")</f>
        <v>0.166666666666667</v>
      </c>
      <c r="F2263" s="12" t="n">
        <f aca="false">B2263+D2263</f>
        <v>6</v>
      </c>
    </row>
    <row r="2264" customFormat="false" ht="15" hidden="false" customHeight="false" outlineLevel="0" collapsed="false">
      <c r="A2264" s="12" t="s">
        <v>707</v>
      </c>
      <c r="B2264" s="12" t="n">
        <f aca="false">COUNTIFS(Cleaned!$D$2:$D$125,4,Cleaned!DF$2:DF$125,0)</f>
        <v>3</v>
      </c>
      <c r="C2264" s="13" t="n">
        <f aca="false">IFERROR(B2264/$F2264,"")</f>
        <v>1</v>
      </c>
      <c r="D2264" s="12" t="n">
        <f aca="false">COUNTIFS(Cleaned!$D$2:$D$125,4,Cleaned!DF$2:DF$125,1)</f>
        <v>0</v>
      </c>
      <c r="E2264" s="13" t="n">
        <f aca="false">IFERROR(D2264/$F2264,"")</f>
        <v>0</v>
      </c>
      <c r="F2264" s="12" t="n">
        <f aca="false">B2264+D2264</f>
        <v>3</v>
      </c>
    </row>
    <row r="2265" customFormat="false" ht="15" hidden="false" customHeight="false" outlineLevel="0" collapsed="false">
      <c r="A2265" s="12" t="s">
        <v>708</v>
      </c>
      <c r="B2265" s="12" t="n">
        <f aca="false">COUNTIFS(Cleaned!$D$2:$D$125,5,Cleaned!DF$2:DF$125,0)</f>
        <v>1</v>
      </c>
      <c r="C2265" s="13" t="n">
        <f aca="false">IFERROR(B2265/$F2265,"")</f>
        <v>1</v>
      </c>
      <c r="D2265" s="12" t="n">
        <f aca="false">COUNTIFS(Cleaned!$D$2:$D$125,5,Cleaned!DF$2:DF$125,1)</f>
        <v>0</v>
      </c>
      <c r="E2265" s="13" t="n">
        <f aca="false">IFERROR(D2265/$F2265,"")</f>
        <v>0</v>
      </c>
      <c r="F2265" s="12" t="n">
        <f aca="false">B2265+D2265</f>
        <v>1</v>
      </c>
    </row>
    <row r="2266" customFormat="false" ht="15" hidden="false" customHeight="false" outlineLevel="0" collapsed="false">
      <c r="A2266" s="12" t="s">
        <v>709</v>
      </c>
      <c r="B2266" s="12" t="n">
        <f aca="false">COUNTIFS(Cleaned!$D$2:$D$125,6,Cleaned!DF$2:DF$125,0)</f>
        <v>1</v>
      </c>
      <c r="C2266" s="13" t="n">
        <f aca="false">IFERROR(B2266/$F2266,"")</f>
        <v>1</v>
      </c>
      <c r="D2266" s="12" t="n">
        <f aca="false">COUNTIFS(Cleaned!$D$2:$D$125,6,Cleaned!DF$2:DF$125,1)</f>
        <v>0</v>
      </c>
      <c r="E2266" s="13" t="n">
        <f aca="false">IFERROR(D2266/$F2266,"")</f>
        <v>0</v>
      </c>
      <c r="F2266" s="12" t="n">
        <f aca="false">B2266+D2266</f>
        <v>1</v>
      </c>
    </row>
    <row r="2267" customFormat="false" ht="15" hidden="false" customHeight="false" outlineLevel="0" collapsed="false">
      <c r="A2267" s="12" t="s">
        <v>710</v>
      </c>
      <c r="B2267" s="12" t="n">
        <f aca="false">COUNTIFS(Cleaned!$D$2:$D$125,7,Cleaned!DF$2:DF$125,0)</f>
        <v>4</v>
      </c>
      <c r="C2267" s="13" t="n">
        <f aca="false">IFERROR(B2267/$F2267,"")</f>
        <v>1</v>
      </c>
      <c r="D2267" s="12" t="n">
        <f aca="false">COUNTIFS(Cleaned!$D$2:$D$125,7,Cleaned!DF$2:DF$125,1)</f>
        <v>0</v>
      </c>
      <c r="E2267" s="13" t="n">
        <f aca="false">IFERROR(D2267/$F2267,"")</f>
        <v>0</v>
      </c>
      <c r="F2267" s="12" t="n">
        <f aca="false">B2267+D2267</f>
        <v>4</v>
      </c>
    </row>
    <row r="2268" customFormat="false" ht="15" hidden="false" customHeight="false" outlineLevel="0" collapsed="false">
      <c r="A2268" s="12" t="s">
        <v>711</v>
      </c>
      <c r="B2268" s="12" t="n">
        <f aca="false">COUNTIFS(Cleaned!$D$2:$D$125,8,Cleaned!DF$2:DF$125,0)</f>
        <v>1</v>
      </c>
      <c r="C2268" s="13" t="n">
        <f aca="false">IFERROR(B2268/$F2268,"")</f>
        <v>1</v>
      </c>
      <c r="D2268" s="12" t="n">
        <f aca="false">COUNTIFS(Cleaned!$D$2:$D$125,8,Cleaned!DF$2:DF$125,1)</f>
        <v>0</v>
      </c>
      <c r="E2268" s="13" t="n">
        <f aca="false">IFERROR(D2268/$F2268,"")</f>
        <v>0</v>
      </c>
      <c r="F2268" s="12" t="n">
        <f aca="false">B2268+D2268</f>
        <v>1</v>
      </c>
    </row>
    <row r="2269" customFormat="false" ht="15" hidden="false" customHeight="false" outlineLevel="0" collapsed="false">
      <c r="A2269" s="12" t="s">
        <v>712</v>
      </c>
      <c r="B2269" s="12" t="n">
        <f aca="false">COUNTIFS(Cleaned!$D$2:$D$125,9,Cleaned!DF$2:DF$125,0)</f>
        <v>1</v>
      </c>
      <c r="C2269" s="13" t="n">
        <f aca="false">IFERROR(B2269/$F2269,"")</f>
        <v>1</v>
      </c>
      <c r="D2269" s="12" t="n">
        <f aca="false">COUNTIFS(Cleaned!$D$2:$D$125,9,Cleaned!DF$2:DF$125,1)</f>
        <v>0</v>
      </c>
      <c r="E2269" s="13" t="n">
        <f aca="false">IFERROR(D2269/$F2269,"")</f>
        <v>0</v>
      </c>
      <c r="F2269" s="12" t="n">
        <f aca="false">B2269+D2269</f>
        <v>1</v>
      </c>
    </row>
    <row r="2270" customFormat="false" ht="15" hidden="false" customHeight="false" outlineLevel="0" collapsed="false">
      <c r="A2270" s="12" t="s">
        <v>713</v>
      </c>
      <c r="B2270" s="12" t="n">
        <f aca="false">COUNTIFS(Cleaned!$D$2:$D$125,10,Cleaned!DF$2:DF$125,0)</f>
        <v>0</v>
      </c>
      <c r="C2270" s="13" t="str">
        <f aca="false">IFERROR(B2270/$F2270,"")</f>
        <v/>
      </c>
      <c r="D2270" s="12" t="n">
        <f aca="false">COUNTIFS(Cleaned!$D$2:$D$125,10,Cleaned!DF$2:DF$125,1)</f>
        <v>0</v>
      </c>
      <c r="E2270" s="13" t="str">
        <f aca="false">IFERROR(D2270/$F2270,"")</f>
        <v/>
      </c>
      <c r="F2270" s="12" t="n">
        <f aca="false">B2270+D2270</f>
        <v>0</v>
      </c>
    </row>
    <row r="2271" customFormat="false" ht="15" hidden="false" customHeight="false" outlineLevel="0" collapsed="false">
      <c r="A2271" s="12" t="s">
        <v>714</v>
      </c>
      <c r="B2271" s="12" t="n">
        <f aca="false">COUNTIFS(Cleaned!$D$2:$D$125,11,Cleaned!DF$2:DF$125,0)</f>
        <v>0</v>
      </c>
      <c r="C2271" s="13" t="str">
        <f aca="false">IFERROR(B2271/$F2271,"")</f>
        <v/>
      </c>
      <c r="D2271" s="12" t="n">
        <f aca="false">COUNTIFS(Cleaned!$D$2:$D$125,11,Cleaned!DF$2:DF$125,1)</f>
        <v>0</v>
      </c>
      <c r="E2271" s="13" t="str">
        <f aca="false">IFERROR(D2271/$F2271,"")</f>
        <v/>
      </c>
      <c r="F2271" s="12" t="n">
        <f aca="false">B2271+D2271</f>
        <v>0</v>
      </c>
    </row>
    <row r="2272" customFormat="false" ht="15" hidden="false" customHeight="false" outlineLevel="0" collapsed="false">
      <c r="A2272" s="12" t="s">
        <v>715</v>
      </c>
      <c r="B2272" s="12" t="n">
        <f aca="false">COUNTIFS(Cleaned!$D$2:$D$125,12,Cleaned!DF$2:DF$125,0)</f>
        <v>0</v>
      </c>
      <c r="C2272" s="13" t="str">
        <f aca="false">IFERROR(B2272/$F2272,"")</f>
        <v/>
      </c>
      <c r="D2272" s="12" t="n">
        <f aca="false">COUNTIFS(Cleaned!$D$2:$D$125,12,Cleaned!DF$2:DF$125,1)</f>
        <v>0</v>
      </c>
      <c r="E2272" s="13" t="str">
        <f aca="false">IFERROR(D2272/$F2272,"")</f>
        <v/>
      </c>
      <c r="F2272" s="12" t="n">
        <f aca="false">B2272+D2272</f>
        <v>0</v>
      </c>
    </row>
    <row r="2273" customFormat="false" ht="15" hidden="false" customHeight="false" outlineLevel="0" collapsed="false">
      <c r="A2273" s="11" t="s">
        <v>716</v>
      </c>
      <c r="B2273" s="11" t="n">
        <f aca="false">SUM(B2261:B2272)</f>
        <v>25</v>
      </c>
      <c r="C2273" s="14" t="n">
        <f aca="false">IFERROR(B2273/$F2273,"")</f>
        <v>0.806451612903226</v>
      </c>
      <c r="D2273" s="11" t="n">
        <f aca="false">SUM(D2261:D2272)</f>
        <v>6</v>
      </c>
      <c r="E2273" s="14" t="n">
        <f aca="false">IFERROR(D2273/$F2273,"")</f>
        <v>0.193548387096774</v>
      </c>
      <c r="F2273" s="11" t="n">
        <f aca="false">SUM(F2261:F2272)</f>
        <v>31</v>
      </c>
    </row>
    <row r="2276" customFormat="false" ht="15" hidden="false" customHeight="false" outlineLevel="0" collapsed="false">
      <c r="A2276" s="6" t="s">
        <v>110</v>
      </c>
      <c r="B2276" s="7" t="s">
        <v>834</v>
      </c>
    </row>
    <row r="2277" customFormat="false" ht="15" hidden="false" customHeight="false" outlineLevel="0" collapsed="false">
      <c r="A2277" s="8"/>
      <c r="B2277" s="9" t="s">
        <v>718</v>
      </c>
      <c r="C2277" s="8"/>
      <c r="D2277" s="9" t="s">
        <v>719</v>
      </c>
      <c r="E2277" s="8"/>
      <c r="F2277" s="9" t="s">
        <v>694</v>
      </c>
    </row>
    <row r="2278" customFormat="false" ht="15" hidden="false" customHeight="false" outlineLevel="0" collapsed="false">
      <c r="B2278" s="10" t="s">
        <v>695</v>
      </c>
      <c r="C2278" s="10" t="s">
        <v>696</v>
      </c>
      <c r="D2278" s="10" t="s">
        <v>695</v>
      </c>
      <c r="E2278" s="10" t="s">
        <v>696</v>
      </c>
    </row>
    <row r="2279" customFormat="false" ht="15" hidden="false" customHeight="false" outlineLevel="0" collapsed="false">
      <c r="A2279" s="11" t="s">
        <v>697</v>
      </c>
    </row>
    <row r="2280" customFormat="false" ht="15" hidden="false" customHeight="false" outlineLevel="0" collapsed="false">
      <c r="A2280" s="12" t="s">
        <v>698</v>
      </c>
      <c r="B2280" s="12" t="n">
        <f aca="false">COUNTIFS(Cleaned!$C$2:$C$125,1,Cleaned!DG$2:DG$125,0)</f>
        <v>1</v>
      </c>
      <c r="C2280" s="13" t="n">
        <f aca="false">IFERROR(B2280/$F2280,"")</f>
        <v>1</v>
      </c>
      <c r="D2280" s="12" t="n">
        <f aca="false">COUNTIFS(Cleaned!$C$2:$C$125,1,Cleaned!DG$2:DG$125,1)</f>
        <v>0</v>
      </c>
      <c r="E2280" s="13" t="n">
        <f aca="false">IFERROR(D2280/$F2280,"")</f>
        <v>0</v>
      </c>
      <c r="F2280" s="12" t="n">
        <f aca="false">B2280+D2280</f>
        <v>1</v>
      </c>
    </row>
    <row r="2281" customFormat="false" ht="15" hidden="false" customHeight="false" outlineLevel="0" collapsed="false">
      <c r="A2281" s="12" t="s">
        <v>699</v>
      </c>
      <c r="B2281" s="12" t="n">
        <f aca="false">COUNTIFS(Cleaned!$C$2:$C$125,2,Cleaned!DG$2:DG$125,0)</f>
        <v>1</v>
      </c>
      <c r="C2281" s="13" t="n">
        <f aca="false">IFERROR(B2281/$F2281,"")</f>
        <v>1</v>
      </c>
      <c r="D2281" s="12" t="n">
        <f aca="false">COUNTIFS(Cleaned!$C$2:$C$125,2,Cleaned!DG$2:DG$125,1)</f>
        <v>0</v>
      </c>
      <c r="E2281" s="13" t="n">
        <f aca="false">IFERROR(D2281/$F2281,"")</f>
        <v>0</v>
      </c>
      <c r="F2281" s="12" t="n">
        <f aca="false">B2281+D2281</f>
        <v>1</v>
      </c>
    </row>
    <row r="2282" customFormat="false" ht="15" hidden="false" customHeight="false" outlineLevel="0" collapsed="false">
      <c r="A2282" s="12" t="s">
        <v>700</v>
      </c>
      <c r="B2282" s="12" t="n">
        <f aca="false">COUNTIFS(Cleaned!$C$2:$C$125,3,Cleaned!DG$2:DG$125,0)</f>
        <v>2</v>
      </c>
      <c r="C2282" s="13" t="n">
        <f aca="false">IFERROR(B2282/$F2282,"")</f>
        <v>1</v>
      </c>
      <c r="D2282" s="12" t="n">
        <f aca="false">COUNTIFS(Cleaned!$C$2:$C$125,3,Cleaned!DG$2:DG$125,1)</f>
        <v>0</v>
      </c>
      <c r="E2282" s="13" t="n">
        <f aca="false">IFERROR(D2282/$F2282,"")</f>
        <v>0</v>
      </c>
      <c r="F2282" s="12" t="n">
        <f aca="false">B2282+D2282</f>
        <v>2</v>
      </c>
    </row>
    <row r="2283" customFormat="false" ht="15" hidden="false" customHeight="false" outlineLevel="0" collapsed="false">
      <c r="A2283" s="12" t="s">
        <v>701</v>
      </c>
      <c r="B2283" s="12" t="n">
        <f aca="false">COUNTIFS(Cleaned!$C$2:$C$125,4,Cleaned!DG$2:DG$125,0)</f>
        <v>7</v>
      </c>
      <c r="C2283" s="13" t="n">
        <f aca="false">IFERROR(B2283/$F2283,"")</f>
        <v>1</v>
      </c>
      <c r="D2283" s="12" t="n">
        <f aca="false">COUNTIFS(Cleaned!$C$2:$C$125,4,Cleaned!DG$2:DG$125,1)</f>
        <v>0</v>
      </c>
      <c r="E2283" s="13" t="n">
        <f aca="false">IFERROR(D2283/$F2283,"")</f>
        <v>0</v>
      </c>
      <c r="F2283" s="12" t="n">
        <f aca="false">B2283+D2283</f>
        <v>7</v>
      </c>
    </row>
    <row r="2284" customFormat="false" ht="15" hidden="false" customHeight="false" outlineLevel="0" collapsed="false">
      <c r="A2284" s="12" t="s">
        <v>702</v>
      </c>
      <c r="B2284" s="12" t="n">
        <f aca="false">COUNTIFS(Cleaned!$C$2:$C$125,5,Cleaned!DG$2:DG$125,0)</f>
        <v>15</v>
      </c>
      <c r="C2284" s="13" t="n">
        <f aca="false">IFERROR(B2284/$F2284,"")</f>
        <v>0.75</v>
      </c>
      <c r="D2284" s="12" t="n">
        <f aca="false">COUNTIFS(Cleaned!$C$2:$C$125,5,Cleaned!DG$2:DG$125,1)</f>
        <v>5</v>
      </c>
      <c r="E2284" s="13" t="n">
        <f aca="false">IFERROR(D2284/$F2284,"")</f>
        <v>0.25</v>
      </c>
      <c r="F2284" s="12" t="n">
        <f aca="false">B2284+D2284</f>
        <v>20</v>
      </c>
    </row>
    <row r="2285" customFormat="false" ht="15" hidden="false" customHeight="false" outlineLevel="0" collapsed="false">
      <c r="A2285" s="11" t="s">
        <v>703</v>
      </c>
      <c r="B2285" s="11" t="n">
        <f aca="false">SUM(B2280:B2284)</f>
        <v>26</v>
      </c>
      <c r="C2285" s="14" t="n">
        <f aca="false">IFERROR(B2285/$F2285,"")</f>
        <v>0.838709677419355</v>
      </c>
      <c r="D2285" s="11" t="n">
        <f aca="false">SUM(D2280:D2284)</f>
        <v>5</v>
      </c>
      <c r="E2285" s="14" t="n">
        <f aca="false">IFERROR(D2285/$F2285,"")</f>
        <v>0.161290322580645</v>
      </c>
      <c r="F2285" s="11" t="n">
        <f aca="false">SUM(F2280:F2284)</f>
        <v>31</v>
      </c>
    </row>
    <row r="2286" customFormat="false" ht="15" hidden="false" customHeight="false" outlineLevel="0" collapsed="false">
      <c r="A2286" s="11" t="s">
        <v>3</v>
      </c>
    </row>
    <row r="2287" customFormat="false" ht="15" hidden="false" customHeight="false" outlineLevel="0" collapsed="false">
      <c r="A2287" s="12" t="s">
        <v>704</v>
      </c>
      <c r="B2287" s="12" t="n">
        <f aca="false">COUNTIFS(Cleaned!$D$2:$D$125,1,Cleaned!DG$2:DG$125,0)</f>
        <v>2</v>
      </c>
      <c r="C2287" s="13" t="n">
        <f aca="false">IFERROR(B2287/$F2287,"")</f>
        <v>1</v>
      </c>
      <c r="D2287" s="12" t="n">
        <f aca="false">COUNTIFS(Cleaned!$D$2:$D$125,1,Cleaned!DG$2:DG$125,1)</f>
        <v>0</v>
      </c>
      <c r="E2287" s="13" t="n">
        <f aca="false">IFERROR(D2287/$F2287,"")</f>
        <v>0</v>
      </c>
      <c r="F2287" s="12" t="n">
        <f aca="false">B2287+D2287</f>
        <v>2</v>
      </c>
    </row>
    <row r="2288" customFormat="false" ht="15" hidden="false" customHeight="false" outlineLevel="0" collapsed="false">
      <c r="A2288" s="12" t="s">
        <v>705</v>
      </c>
      <c r="B2288" s="12" t="n">
        <f aca="false">COUNTIFS(Cleaned!$D$2:$D$125,2,Cleaned!DG$2:DG$125,0)</f>
        <v>11</v>
      </c>
      <c r="C2288" s="13" t="n">
        <f aca="false">IFERROR(B2288/$F2288,"")</f>
        <v>0.916666666666667</v>
      </c>
      <c r="D2288" s="12" t="n">
        <f aca="false">COUNTIFS(Cleaned!$D$2:$D$125,2,Cleaned!DG$2:DG$125,1)</f>
        <v>1</v>
      </c>
      <c r="E2288" s="13" t="n">
        <f aca="false">IFERROR(D2288/$F2288,"")</f>
        <v>0.0833333333333333</v>
      </c>
      <c r="F2288" s="12" t="n">
        <f aca="false">B2288+D2288</f>
        <v>12</v>
      </c>
    </row>
    <row r="2289" customFormat="false" ht="15" hidden="false" customHeight="false" outlineLevel="0" collapsed="false">
      <c r="A2289" s="12" t="s">
        <v>706</v>
      </c>
      <c r="B2289" s="12" t="n">
        <f aca="false">COUNTIFS(Cleaned!$D$2:$D$125,3,Cleaned!DG$2:DG$125,0)</f>
        <v>3</v>
      </c>
      <c r="C2289" s="13" t="n">
        <f aca="false">IFERROR(B2289/$F2289,"")</f>
        <v>0.5</v>
      </c>
      <c r="D2289" s="12" t="n">
        <f aca="false">COUNTIFS(Cleaned!$D$2:$D$125,3,Cleaned!DG$2:DG$125,1)</f>
        <v>3</v>
      </c>
      <c r="E2289" s="13" t="n">
        <f aca="false">IFERROR(D2289/$F2289,"")</f>
        <v>0.5</v>
      </c>
      <c r="F2289" s="12" t="n">
        <f aca="false">B2289+D2289</f>
        <v>6</v>
      </c>
    </row>
    <row r="2290" customFormat="false" ht="15" hidden="false" customHeight="false" outlineLevel="0" collapsed="false">
      <c r="A2290" s="12" t="s">
        <v>707</v>
      </c>
      <c r="B2290" s="12" t="n">
        <f aca="false">COUNTIFS(Cleaned!$D$2:$D$125,4,Cleaned!DG$2:DG$125,0)</f>
        <v>3</v>
      </c>
      <c r="C2290" s="13" t="n">
        <f aca="false">IFERROR(B2290/$F2290,"")</f>
        <v>1</v>
      </c>
      <c r="D2290" s="12" t="n">
        <f aca="false">COUNTIFS(Cleaned!$D$2:$D$125,4,Cleaned!DG$2:DG$125,1)</f>
        <v>0</v>
      </c>
      <c r="E2290" s="13" t="n">
        <f aca="false">IFERROR(D2290/$F2290,"")</f>
        <v>0</v>
      </c>
      <c r="F2290" s="12" t="n">
        <f aca="false">B2290+D2290</f>
        <v>3</v>
      </c>
    </row>
    <row r="2291" customFormat="false" ht="15" hidden="false" customHeight="false" outlineLevel="0" collapsed="false">
      <c r="A2291" s="12" t="s">
        <v>708</v>
      </c>
      <c r="B2291" s="12" t="n">
        <f aca="false">COUNTIFS(Cleaned!$D$2:$D$125,5,Cleaned!DG$2:DG$125,0)</f>
        <v>1</v>
      </c>
      <c r="C2291" s="13" t="n">
        <f aca="false">IFERROR(B2291/$F2291,"")</f>
        <v>1</v>
      </c>
      <c r="D2291" s="12" t="n">
        <f aca="false">COUNTIFS(Cleaned!$D$2:$D$125,5,Cleaned!DG$2:DG$125,1)</f>
        <v>0</v>
      </c>
      <c r="E2291" s="13" t="n">
        <f aca="false">IFERROR(D2291/$F2291,"")</f>
        <v>0</v>
      </c>
      <c r="F2291" s="12" t="n">
        <f aca="false">B2291+D2291</f>
        <v>1</v>
      </c>
    </row>
    <row r="2292" customFormat="false" ht="15" hidden="false" customHeight="false" outlineLevel="0" collapsed="false">
      <c r="A2292" s="12" t="s">
        <v>709</v>
      </c>
      <c r="B2292" s="12" t="n">
        <f aca="false">COUNTIFS(Cleaned!$D$2:$D$125,6,Cleaned!DG$2:DG$125,0)</f>
        <v>1</v>
      </c>
      <c r="C2292" s="13" t="n">
        <f aca="false">IFERROR(B2292/$F2292,"")</f>
        <v>1</v>
      </c>
      <c r="D2292" s="12" t="n">
        <f aca="false">COUNTIFS(Cleaned!$D$2:$D$125,6,Cleaned!DG$2:DG$125,1)</f>
        <v>0</v>
      </c>
      <c r="E2292" s="13" t="n">
        <f aca="false">IFERROR(D2292/$F2292,"")</f>
        <v>0</v>
      </c>
      <c r="F2292" s="12" t="n">
        <f aca="false">B2292+D2292</f>
        <v>1</v>
      </c>
    </row>
    <row r="2293" customFormat="false" ht="15" hidden="false" customHeight="false" outlineLevel="0" collapsed="false">
      <c r="A2293" s="12" t="s">
        <v>710</v>
      </c>
      <c r="B2293" s="12" t="n">
        <f aca="false">COUNTIFS(Cleaned!$D$2:$D$125,7,Cleaned!DG$2:DG$125,0)</f>
        <v>3</v>
      </c>
      <c r="C2293" s="13" t="n">
        <f aca="false">IFERROR(B2293/$F2293,"")</f>
        <v>0.75</v>
      </c>
      <c r="D2293" s="12" t="n">
        <f aca="false">COUNTIFS(Cleaned!$D$2:$D$125,7,Cleaned!DG$2:DG$125,1)</f>
        <v>1</v>
      </c>
      <c r="E2293" s="13" t="n">
        <f aca="false">IFERROR(D2293/$F2293,"")</f>
        <v>0.25</v>
      </c>
      <c r="F2293" s="12" t="n">
        <f aca="false">B2293+D2293</f>
        <v>4</v>
      </c>
    </row>
    <row r="2294" customFormat="false" ht="15" hidden="false" customHeight="false" outlineLevel="0" collapsed="false">
      <c r="A2294" s="12" t="s">
        <v>711</v>
      </c>
      <c r="B2294" s="12" t="n">
        <f aca="false">COUNTIFS(Cleaned!$D$2:$D$125,8,Cleaned!DG$2:DG$125,0)</f>
        <v>1</v>
      </c>
      <c r="C2294" s="13" t="n">
        <f aca="false">IFERROR(B2294/$F2294,"")</f>
        <v>1</v>
      </c>
      <c r="D2294" s="12" t="n">
        <f aca="false">COUNTIFS(Cleaned!$D$2:$D$125,8,Cleaned!DG$2:DG$125,1)</f>
        <v>0</v>
      </c>
      <c r="E2294" s="13" t="n">
        <f aca="false">IFERROR(D2294/$F2294,"")</f>
        <v>0</v>
      </c>
      <c r="F2294" s="12" t="n">
        <f aca="false">B2294+D2294</f>
        <v>1</v>
      </c>
    </row>
    <row r="2295" customFormat="false" ht="15" hidden="false" customHeight="false" outlineLevel="0" collapsed="false">
      <c r="A2295" s="12" t="s">
        <v>712</v>
      </c>
      <c r="B2295" s="12" t="n">
        <f aca="false">COUNTIFS(Cleaned!$D$2:$D$125,9,Cleaned!DG$2:DG$125,0)</f>
        <v>1</v>
      </c>
      <c r="C2295" s="13" t="n">
        <f aca="false">IFERROR(B2295/$F2295,"")</f>
        <v>1</v>
      </c>
      <c r="D2295" s="12" t="n">
        <f aca="false">COUNTIFS(Cleaned!$D$2:$D$125,9,Cleaned!DG$2:DG$125,1)</f>
        <v>0</v>
      </c>
      <c r="E2295" s="13" t="n">
        <f aca="false">IFERROR(D2295/$F2295,"")</f>
        <v>0</v>
      </c>
      <c r="F2295" s="12" t="n">
        <f aca="false">B2295+D2295</f>
        <v>1</v>
      </c>
    </row>
    <row r="2296" customFormat="false" ht="15" hidden="false" customHeight="false" outlineLevel="0" collapsed="false">
      <c r="A2296" s="12" t="s">
        <v>713</v>
      </c>
      <c r="B2296" s="12" t="n">
        <f aca="false">COUNTIFS(Cleaned!$D$2:$D$125,10,Cleaned!DG$2:DG$125,0)</f>
        <v>0</v>
      </c>
      <c r="C2296" s="13" t="str">
        <f aca="false">IFERROR(B2296/$F2296,"")</f>
        <v/>
      </c>
      <c r="D2296" s="12" t="n">
        <f aca="false">COUNTIFS(Cleaned!$D$2:$D$125,10,Cleaned!DG$2:DG$125,1)</f>
        <v>0</v>
      </c>
      <c r="E2296" s="13" t="str">
        <f aca="false">IFERROR(D2296/$F2296,"")</f>
        <v/>
      </c>
      <c r="F2296" s="12" t="n">
        <f aca="false">B2296+D2296</f>
        <v>0</v>
      </c>
    </row>
    <row r="2297" customFormat="false" ht="15" hidden="false" customHeight="false" outlineLevel="0" collapsed="false">
      <c r="A2297" s="12" t="s">
        <v>714</v>
      </c>
      <c r="B2297" s="12" t="n">
        <f aca="false">COUNTIFS(Cleaned!$D$2:$D$125,11,Cleaned!DG$2:DG$125,0)</f>
        <v>0</v>
      </c>
      <c r="C2297" s="13" t="str">
        <f aca="false">IFERROR(B2297/$F2297,"")</f>
        <v/>
      </c>
      <c r="D2297" s="12" t="n">
        <f aca="false">COUNTIFS(Cleaned!$D$2:$D$125,11,Cleaned!DG$2:DG$125,1)</f>
        <v>0</v>
      </c>
      <c r="E2297" s="13" t="str">
        <f aca="false">IFERROR(D2297/$F2297,"")</f>
        <v/>
      </c>
      <c r="F2297" s="12" t="n">
        <f aca="false">B2297+D2297</f>
        <v>0</v>
      </c>
    </row>
    <row r="2298" customFormat="false" ht="15" hidden="false" customHeight="false" outlineLevel="0" collapsed="false">
      <c r="A2298" s="12" t="s">
        <v>715</v>
      </c>
      <c r="B2298" s="12" t="n">
        <f aca="false">COUNTIFS(Cleaned!$D$2:$D$125,12,Cleaned!DG$2:DG$125,0)</f>
        <v>0</v>
      </c>
      <c r="C2298" s="13" t="str">
        <f aca="false">IFERROR(B2298/$F2298,"")</f>
        <v/>
      </c>
      <c r="D2298" s="12" t="n">
        <f aca="false">COUNTIFS(Cleaned!$D$2:$D$125,12,Cleaned!DG$2:DG$125,1)</f>
        <v>0</v>
      </c>
      <c r="E2298" s="13" t="str">
        <f aca="false">IFERROR(D2298/$F2298,"")</f>
        <v/>
      </c>
      <c r="F2298" s="12" t="n">
        <f aca="false">B2298+D2298</f>
        <v>0</v>
      </c>
    </row>
    <row r="2299" customFormat="false" ht="15" hidden="false" customHeight="false" outlineLevel="0" collapsed="false">
      <c r="A2299" s="11" t="s">
        <v>716</v>
      </c>
      <c r="B2299" s="11" t="n">
        <f aca="false">SUM(B2287:B2298)</f>
        <v>26</v>
      </c>
      <c r="C2299" s="14" t="n">
        <f aca="false">IFERROR(B2299/$F2299,"")</f>
        <v>0.838709677419355</v>
      </c>
      <c r="D2299" s="11" t="n">
        <f aca="false">SUM(D2287:D2298)</f>
        <v>5</v>
      </c>
      <c r="E2299" s="14" t="n">
        <f aca="false">IFERROR(D2299/$F2299,"")</f>
        <v>0.161290322580645</v>
      </c>
      <c r="F2299" s="11" t="n">
        <f aca="false">SUM(F2287:F2298)</f>
        <v>31</v>
      </c>
    </row>
    <row r="2302" customFormat="false" ht="15" hidden="false" customHeight="false" outlineLevel="0" collapsed="false">
      <c r="A2302" s="6" t="s">
        <v>111</v>
      </c>
      <c r="B2302" s="7" t="s">
        <v>835</v>
      </c>
    </row>
    <row r="2303" customFormat="false" ht="15" hidden="false" customHeight="false" outlineLevel="0" collapsed="false">
      <c r="A2303" s="8"/>
      <c r="B2303" s="9" t="s">
        <v>718</v>
      </c>
      <c r="C2303" s="8"/>
      <c r="D2303" s="9" t="s">
        <v>719</v>
      </c>
      <c r="E2303" s="8"/>
      <c r="F2303" s="9" t="s">
        <v>694</v>
      </c>
    </row>
    <row r="2304" customFormat="false" ht="15" hidden="false" customHeight="false" outlineLevel="0" collapsed="false">
      <c r="B2304" s="10" t="s">
        <v>695</v>
      </c>
      <c r="C2304" s="10" t="s">
        <v>696</v>
      </c>
      <c r="D2304" s="10" t="s">
        <v>695</v>
      </c>
      <c r="E2304" s="10" t="s">
        <v>696</v>
      </c>
    </row>
    <row r="2305" customFormat="false" ht="15" hidden="false" customHeight="false" outlineLevel="0" collapsed="false">
      <c r="A2305" s="11" t="s">
        <v>697</v>
      </c>
    </row>
    <row r="2306" customFormat="false" ht="15" hidden="false" customHeight="false" outlineLevel="0" collapsed="false">
      <c r="A2306" s="12" t="s">
        <v>698</v>
      </c>
      <c r="B2306" s="12" t="n">
        <f aca="false">COUNTIFS(Cleaned!$C$2:$C$125,1,Cleaned!DH$2:DH$125,0)</f>
        <v>1</v>
      </c>
      <c r="C2306" s="13" t="n">
        <f aca="false">IFERROR(B2306/$F2306,"")</f>
        <v>1</v>
      </c>
      <c r="D2306" s="12" t="n">
        <f aca="false">COUNTIFS(Cleaned!$C$2:$C$125,1,Cleaned!DH$2:DH$125,1)</f>
        <v>0</v>
      </c>
      <c r="E2306" s="13" t="n">
        <f aca="false">IFERROR(D2306/$F2306,"")</f>
        <v>0</v>
      </c>
      <c r="F2306" s="12" t="n">
        <f aca="false">B2306+D2306</f>
        <v>1</v>
      </c>
    </row>
    <row r="2307" customFormat="false" ht="15" hidden="false" customHeight="false" outlineLevel="0" collapsed="false">
      <c r="A2307" s="12" t="s">
        <v>699</v>
      </c>
      <c r="B2307" s="12" t="n">
        <f aca="false">COUNTIFS(Cleaned!$C$2:$C$125,2,Cleaned!DH$2:DH$125,0)</f>
        <v>1</v>
      </c>
      <c r="C2307" s="13" t="n">
        <f aca="false">IFERROR(B2307/$F2307,"")</f>
        <v>1</v>
      </c>
      <c r="D2307" s="12" t="n">
        <f aca="false">COUNTIFS(Cleaned!$C$2:$C$125,2,Cleaned!DH$2:DH$125,1)</f>
        <v>0</v>
      </c>
      <c r="E2307" s="13" t="n">
        <f aca="false">IFERROR(D2307/$F2307,"")</f>
        <v>0</v>
      </c>
      <c r="F2307" s="12" t="n">
        <f aca="false">B2307+D2307</f>
        <v>1</v>
      </c>
    </row>
    <row r="2308" customFormat="false" ht="15" hidden="false" customHeight="false" outlineLevel="0" collapsed="false">
      <c r="A2308" s="12" t="s">
        <v>700</v>
      </c>
      <c r="B2308" s="12" t="n">
        <f aca="false">COUNTIFS(Cleaned!$C$2:$C$125,3,Cleaned!DH$2:DH$125,0)</f>
        <v>2</v>
      </c>
      <c r="C2308" s="13" t="n">
        <f aca="false">IFERROR(B2308/$F2308,"")</f>
        <v>1</v>
      </c>
      <c r="D2308" s="12" t="n">
        <f aca="false">COUNTIFS(Cleaned!$C$2:$C$125,3,Cleaned!DH$2:DH$125,1)</f>
        <v>0</v>
      </c>
      <c r="E2308" s="13" t="n">
        <f aca="false">IFERROR(D2308/$F2308,"")</f>
        <v>0</v>
      </c>
      <c r="F2308" s="12" t="n">
        <f aca="false">B2308+D2308</f>
        <v>2</v>
      </c>
    </row>
    <row r="2309" customFormat="false" ht="15" hidden="false" customHeight="false" outlineLevel="0" collapsed="false">
      <c r="A2309" s="12" t="s">
        <v>701</v>
      </c>
      <c r="B2309" s="12" t="n">
        <f aca="false">COUNTIFS(Cleaned!$C$2:$C$125,4,Cleaned!DH$2:DH$125,0)</f>
        <v>6</v>
      </c>
      <c r="C2309" s="13" t="n">
        <f aca="false">IFERROR(B2309/$F2309,"")</f>
        <v>0.857142857142857</v>
      </c>
      <c r="D2309" s="12" t="n">
        <f aca="false">COUNTIFS(Cleaned!$C$2:$C$125,4,Cleaned!DH$2:DH$125,1)</f>
        <v>1</v>
      </c>
      <c r="E2309" s="13" t="n">
        <f aca="false">IFERROR(D2309/$F2309,"")</f>
        <v>0.142857142857143</v>
      </c>
      <c r="F2309" s="12" t="n">
        <f aca="false">B2309+D2309</f>
        <v>7</v>
      </c>
    </row>
    <row r="2310" customFormat="false" ht="15" hidden="false" customHeight="false" outlineLevel="0" collapsed="false">
      <c r="A2310" s="12" t="s">
        <v>702</v>
      </c>
      <c r="B2310" s="12" t="n">
        <f aca="false">COUNTIFS(Cleaned!$C$2:$C$125,5,Cleaned!DH$2:DH$125,0)</f>
        <v>13</v>
      </c>
      <c r="C2310" s="13" t="n">
        <f aca="false">IFERROR(B2310/$F2310,"")</f>
        <v>0.65</v>
      </c>
      <c r="D2310" s="12" t="n">
        <f aca="false">COUNTIFS(Cleaned!$C$2:$C$125,5,Cleaned!DH$2:DH$125,1)</f>
        <v>7</v>
      </c>
      <c r="E2310" s="13" t="n">
        <f aca="false">IFERROR(D2310/$F2310,"")</f>
        <v>0.35</v>
      </c>
      <c r="F2310" s="12" t="n">
        <f aca="false">B2310+D2310</f>
        <v>20</v>
      </c>
    </row>
    <row r="2311" customFormat="false" ht="15" hidden="false" customHeight="false" outlineLevel="0" collapsed="false">
      <c r="A2311" s="11" t="s">
        <v>703</v>
      </c>
      <c r="B2311" s="11" t="n">
        <f aca="false">SUM(B2306:B2310)</f>
        <v>23</v>
      </c>
      <c r="C2311" s="14" t="n">
        <f aca="false">IFERROR(B2311/$F2311,"")</f>
        <v>0.741935483870968</v>
      </c>
      <c r="D2311" s="11" t="n">
        <f aca="false">SUM(D2306:D2310)</f>
        <v>8</v>
      </c>
      <c r="E2311" s="14" t="n">
        <f aca="false">IFERROR(D2311/$F2311,"")</f>
        <v>0.258064516129032</v>
      </c>
      <c r="F2311" s="11" t="n">
        <f aca="false">SUM(F2306:F2310)</f>
        <v>31</v>
      </c>
    </row>
    <row r="2312" customFormat="false" ht="15" hidden="false" customHeight="false" outlineLevel="0" collapsed="false">
      <c r="A2312" s="11" t="s">
        <v>3</v>
      </c>
    </row>
    <row r="2313" customFormat="false" ht="15" hidden="false" customHeight="false" outlineLevel="0" collapsed="false">
      <c r="A2313" s="12" t="s">
        <v>704</v>
      </c>
      <c r="B2313" s="12" t="n">
        <f aca="false">COUNTIFS(Cleaned!$D$2:$D$125,1,Cleaned!DH$2:DH$125,0)</f>
        <v>1</v>
      </c>
      <c r="C2313" s="13" t="n">
        <f aca="false">IFERROR(B2313/$F2313,"")</f>
        <v>0.5</v>
      </c>
      <c r="D2313" s="12" t="n">
        <f aca="false">COUNTIFS(Cleaned!$D$2:$D$125,1,Cleaned!DH$2:DH$125,1)</f>
        <v>1</v>
      </c>
      <c r="E2313" s="13" t="n">
        <f aca="false">IFERROR(D2313/$F2313,"")</f>
        <v>0.5</v>
      </c>
      <c r="F2313" s="12" t="n">
        <f aca="false">B2313+D2313</f>
        <v>2</v>
      </c>
    </row>
    <row r="2314" customFormat="false" ht="15" hidden="false" customHeight="false" outlineLevel="0" collapsed="false">
      <c r="A2314" s="12" t="s">
        <v>705</v>
      </c>
      <c r="B2314" s="12" t="n">
        <f aca="false">COUNTIFS(Cleaned!$D$2:$D$125,2,Cleaned!DH$2:DH$125,0)</f>
        <v>9</v>
      </c>
      <c r="C2314" s="13" t="n">
        <f aca="false">IFERROR(B2314/$F2314,"")</f>
        <v>0.75</v>
      </c>
      <c r="D2314" s="12" t="n">
        <f aca="false">COUNTIFS(Cleaned!$D$2:$D$125,2,Cleaned!DH$2:DH$125,1)</f>
        <v>3</v>
      </c>
      <c r="E2314" s="13" t="n">
        <f aca="false">IFERROR(D2314/$F2314,"")</f>
        <v>0.25</v>
      </c>
      <c r="F2314" s="12" t="n">
        <f aca="false">B2314+D2314</f>
        <v>12</v>
      </c>
    </row>
    <row r="2315" customFormat="false" ht="15" hidden="false" customHeight="false" outlineLevel="0" collapsed="false">
      <c r="A2315" s="12" t="s">
        <v>706</v>
      </c>
      <c r="B2315" s="12" t="n">
        <f aca="false">COUNTIFS(Cleaned!$D$2:$D$125,3,Cleaned!DH$2:DH$125,0)</f>
        <v>5</v>
      </c>
      <c r="C2315" s="13" t="n">
        <f aca="false">IFERROR(B2315/$F2315,"")</f>
        <v>0.833333333333333</v>
      </c>
      <c r="D2315" s="12" t="n">
        <f aca="false">COUNTIFS(Cleaned!$D$2:$D$125,3,Cleaned!DH$2:DH$125,1)</f>
        <v>1</v>
      </c>
      <c r="E2315" s="13" t="n">
        <f aca="false">IFERROR(D2315/$F2315,"")</f>
        <v>0.166666666666667</v>
      </c>
      <c r="F2315" s="12" t="n">
        <f aca="false">B2315+D2315</f>
        <v>6</v>
      </c>
    </row>
    <row r="2316" customFormat="false" ht="15" hidden="false" customHeight="false" outlineLevel="0" collapsed="false">
      <c r="A2316" s="12" t="s">
        <v>707</v>
      </c>
      <c r="B2316" s="12" t="n">
        <f aca="false">COUNTIFS(Cleaned!$D$2:$D$125,4,Cleaned!DH$2:DH$125,0)</f>
        <v>2</v>
      </c>
      <c r="C2316" s="13" t="n">
        <f aca="false">IFERROR(B2316/$F2316,"")</f>
        <v>0.666666666666667</v>
      </c>
      <c r="D2316" s="12" t="n">
        <f aca="false">COUNTIFS(Cleaned!$D$2:$D$125,4,Cleaned!DH$2:DH$125,1)</f>
        <v>1</v>
      </c>
      <c r="E2316" s="13" t="n">
        <f aca="false">IFERROR(D2316/$F2316,"")</f>
        <v>0.333333333333333</v>
      </c>
      <c r="F2316" s="12" t="n">
        <f aca="false">B2316+D2316</f>
        <v>3</v>
      </c>
    </row>
    <row r="2317" customFormat="false" ht="15" hidden="false" customHeight="false" outlineLevel="0" collapsed="false">
      <c r="A2317" s="12" t="s">
        <v>708</v>
      </c>
      <c r="B2317" s="12" t="n">
        <f aca="false">COUNTIFS(Cleaned!$D$2:$D$125,5,Cleaned!DH$2:DH$125,0)</f>
        <v>1</v>
      </c>
      <c r="C2317" s="13" t="n">
        <f aca="false">IFERROR(B2317/$F2317,"")</f>
        <v>1</v>
      </c>
      <c r="D2317" s="12" t="n">
        <f aca="false">COUNTIFS(Cleaned!$D$2:$D$125,5,Cleaned!DH$2:DH$125,1)</f>
        <v>0</v>
      </c>
      <c r="E2317" s="13" t="n">
        <f aca="false">IFERROR(D2317/$F2317,"")</f>
        <v>0</v>
      </c>
      <c r="F2317" s="12" t="n">
        <f aca="false">B2317+D2317</f>
        <v>1</v>
      </c>
    </row>
    <row r="2318" customFormat="false" ht="15" hidden="false" customHeight="false" outlineLevel="0" collapsed="false">
      <c r="A2318" s="12" t="s">
        <v>709</v>
      </c>
      <c r="B2318" s="12" t="n">
        <f aca="false">COUNTIFS(Cleaned!$D$2:$D$125,6,Cleaned!DH$2:DH$125,0)</f>
        <v>1</v>
      </c>
      <c r="C2318" s="13" t="n">
        <f aca="false">IFERROR(B2318/$F2318,"")</f>
        <v>1</v>
      </c>
      <c r="D2318" s="12" t="n">
        <f aca="false">COUNTIFS(Cleaned!$D$2:$D$125,6,Cleaned!DH$2:DH$125,1)</f>
        <v>0</v>
      </c>
      <c r="E2318" s="13" t="n">
        <f aca="false">IFERROR(D2318/$F2318,"")</f>
        <v>0</v>
      </c>
      <c r="F2318" s="12" t="n">
        <f aca="false">B2318+D2318</f>
        <v>1</v>
      </c>
    </row>
    <row r="2319" customFormat="false" ht="15" hidden="false" customHeight="false" outlineLevel="0" collapsed="false">
      <c r="A2319" s="12" t="s">
        <v>710</v>
      </c>
      <c r="B2319" s="12" t="n">
        <f aca="false">COUNTIFS(Cleaned!$D$2:$D$125,7,Cleaned!DH$2:DH$125,0)</f>
        <v>3</v>
      </c>
      <c r="C2319" s="13" t="n">
        <f aca="false">IFERROR(B2319/$F2319,"")</f>
        <v>0.75</v>
      </c>
      <c r="D2319" s="12" t="n">
        <f aca="false">COUNTIFS(Cleaned!$D$2:$D$125,7,Cleaned!DH$2:DH$125,1)</f>
        <v>1</v>
      </c>
      <c r="E2319" s="13" t="n">
        <f aca="false">IFERROR(D2319/$F2319,"")</f>
        <v>0.25</v>
      </c>
      <c r="F2319" s="12" t="n">
        <f aca="false">B2319+D2319</f>
        <v>4</v>
      </c>
    </row>
    <row r="2320" customFormat="false" ht="15" hidden="false" customHeight="false" outlineLevel="0" collapsed="false">
      <c r="A2320" s="12" t="s">
        <v>711</v>
      </c>
      <c r="B2320" s="12" t="n">
        <f aca="false">COUNTIFS(Cleaned!$D$2:$D$125,8,Cleaned!DH$2:DH$125,0)</f>
        <v>1</v>
      </c>
      <c r="C2320" s="13" t="n">
        <f aca="false">IFERROR(B2320/$F2320,"")</f>
        <v>1</v>
      </c>
      <c r="D2320" s="12" t="n">
        <f aca="false">COUNTIFS(Cleaned!$D$2:$D$125,8,Cleaned!DH$2:DH$125,1)</f>
        <v>0</v>
      </c>
      <c r="E2320" s="13" t="n">
        <f aca="false">IFERROR(D2320/$F2320,"")</f>
        <v>0</v>
      </c>
      <c r="F2320" s="12" t="n">
        <f aca="false">B2320+D2320</f>
        <v>1</v>
      </c>
    </row>
    <row r="2321" customFormat="false" ht="15" hidden="false" customHeight="false" outlineLevel="0" collapsed="false">
      <c r="A2321" s="12" t="s">
        <v>712</v>
      </c>
      <c r="B2321" s="12" t="n">
        <f aca="false">COUNTIFS(Cleaned!$D$2:$D$125,9,Cleaned!DH$2:DH$125,0)</f>
        <v>0</v>
      </c>
      <c r="C2321" s="13" t="n">
        <f aca="false">IFERROR(B2321/$F2321,"")</f>
        <v>0</v>
      </c>
      <c r="D2321" s="12" t="n">
        <f aca="false">COUNTIFS(Cleaned!$D$2:$D$125,9,Cleaned!DH$2:DH$125,1)</f>
        <v>1</v>
      </c>
      <c r="E2321" s="13" t="n">
        <f aca="false">IFERROR(D2321/$F2321,"")</f>
        <v>1</v>
      </c>
      <c r="F2321" s="12" t="n">
        <f aca="false">B2321+D2321</f>
        <v>1</v>
      </c>
    </row>
    <row r="2322" customFormat="false" ht="15" hidden="false" customHeight="false" outlineLevel="0" collapsed="false">
      <c r="A2322" s="12" t="s">
        <v>713</v>
      </c>
      <c r="B2322" s="12" t="n">
        <f aca="false">COUNTIFS(Cleaned!$D$2:$D$125,10,Cleaned!DH$2:DH$125,0)</f>
        <v>0</v>
      </c>
      <c r="C2322" s="13" t="str">
        <f aca="false">IFERROR(B2322/$F2322,"")</f>
        <v/>
      </c>
      <c r="D2322" s="12" t="n">
        <f aca="false">COUNTIFS(Cleaned!$D$2:$D$125,10,Cleaned!DH$2:DH$125,1)</f>
        <v>0</v>
      </c>
      <c r="E2322" s="13" t="str">
        <f aca="false">IFERROR(D2322/$F2322,"")</f>
        <v/>
      </c>
      <c r="F2322" s="12" t="n">
        <f aca="false">B2322+D2322</f>
        <v>0</v>
      </c>
    </row>
    <row r="2323" customFormat="false" ht="15" hidden="false" customHeight="false" outlineLevel="0" collapsed="false">
      <c r="A2323" s="12" t="s">
        <v>714</v>
      </c>
      <c r="B2323" s="12" t="n">
        <f aca="false">COUNTIFS(Cleaned!$D$2:$D$125,11,Cleaned!DH$2:DH$125,0)</f>
        <v>0</v>
      </c>
      <c r="C2323" s="13" t="str">
        <f aca="false">IFERROR(B2323/$F2323,"")</f>
        <v/>
      </c>
      <c r="D2323" s="12" t="n">
        <f aca="false">COUNTIFS(Cleaned!$D$2:$D$125,11,Cleaned!DH$2:DH$125,1)</f>
        <v>0</v>
      </c>
      <c r="E2323" s="13" t="str">
        <f aca="false">IFERROR(D2323/$F2323,"")</f>
        <v/>
      </c>
      <c r="F2323" s="12" t="n">
        <f aca="false">B2323+D2323</f>
        <v>0</v>
      </c>
    </row>
    <row r="2324" customFormat="false" ht="15" hidden="false" customHeight="false" outlineLevel="0" collapsed="false">
      <c r="A2324" s="12" t="s">
        <v>715</v>
      </c>
      <c r="B2324" s="12" t="n">
        <f aca="false">COUNTIFS(Cleaned!$D$2:$D$125,12,Cleaned!DH$2:DH$125,0)</f>
        <v>0</v>
      </c>
      <c r="C2324" s="13" t="str">
        <f aca="false">IFERROR(B2324/$F2324,"")</f>
        <v/>
      </c>
      <c r="D2324" s="12" t="n">
        <f aca="false">COUNTIFS(Cleaned!$D$2:$D$125,12,Cleaned!DH$2:DH$125,1)</f>
        <v>0</v>
      </c>
      <c r="E2324" s="13" t="str">
        <f aca="false">IFERROR(D2324/$F2324,"")</f>
        <v/>
      </c>
      <c r="F2324" s="12" t="n">
        <f aca="false">B2324+D2324</f>
        <v>0</v>
      </c>
    </row>
    <row r="2325" customFormat="false" ht="15" hidden="false" customHeight="false" outlineLevel="0" collapsed="false">
      <c r="A2325" s="11" t="s">
        <v>716</v>
      </c>
      <c r="B2325" s="11" t="n">
        <f aca="false">SUM(B2313:B2324)</f>
        <v>23</v>
      </c>
      <c r="C2325" s="14" t="n">
        <f aca="false">IFERROR(B2325/$F2325,"")</f>
        <v>0.741935483870968</v>
      </c>
      <c r="D2325" s="11" t="n">
        <f aca="false">SUM(D2313:D2324)</f>
        <v>8</v>
      </c>
      <c r="E2325" s="14" t="n">
        <f aca="false">IFERROR(D2325/$F2325,"")</f>
        <v>0.258064516129032</v>
      </c>
      <c r="F2325" s="11" t="n">
        <f aca="false">SUM(F2313:F2324)</f>
        <v>31</v>
      </c>
    </row>
    <row r="2328" customFormat="false" ht="15" hidden="false" customHeight="false" outlineLevel="0" collapsed="false">
      <c r="A2328" s="6" t="s">
        <v>113</v>
      </c>
      <c r="B2328" s="7" t="s">
        <v>836</v>
      </c>
    </row>
    <row r="2329" customFormat="false" ht="15" hidden="false" customHeight="false" outlineLevel="0" collapsed="false">
      <c r="A2329" s="8"/>
      <c r="B2329" s="9" t="s">
        <v>837</v>
      </c>
      <c r="C2329" s="8"/>
      <c r="D2329" s="9" t="s">
        <v>693</v>
      </c>
      <c r="E2329" s="8"/>
      <c r="F2329" s="9" t="s">
        <v>694</v>
      </c>
    </row>
    <row r="2330" customFormat="false" ht="15" hidden="false" customHeight="false" outlineLevel="0" collapsed="false">
      <c r="B2330" s="10" t="s">
        <v>695</v>
      </c>
      <c r="C2330" s="10" t="s">
        <v>696</v>
      </c>
      <c r="D2330" s="10" t="s">
        <v>695</v>
      </c>
      <c r="E2330" s="10" t="s">
        <v>696</v>
      </c>
    </row>
    <row r="2331" customFormat="false" ht="15" hidden="false" customHeight="false" outlineLevel="0" collapsed="false">
      <c r="A2331" s="11" t="s">
        <v>697</v>
      </c>
    </row>
    <row r="2332" customFormat="false" ht="15" hidden="false" customHeight="false" outlineLevel="0" collapsed="false">
      <c r="A2332" s="12" t="s">
        <v>698</v>
      </c>
      <c r="B2332" s="12" t="n">
        <f aca="false">COUNTIFS(Cleaned!$C$2:$C$125,1,Cleaned!DJ$2:DJ$125,1)</f>
        <v>1</v>
      </c>
      <c r="C2332" s="13" t="n">
        <f aca="false">IFERROR(B2332/$F2332,"")</f>
        <v>1</v>
      </c>
      <c r="D2332" s="12" t="n">
        <f aca="false">COUNTIFS(Cleaned!$C$2:$C$125,1,Cleaned!DJ$2:DJ$125,2)</f>
        <v>0</v>
      </c>
      <c r="E2332" s="13" t="n">
        <f aca="false">IFERROR(D2332/$F2332,"")</f>
        <v>0</v>
      </c>
      <c r="F2332" s="12" t="n">
        <f aca="false">B2332+D2332</f>
        <v>1</v>
      </c>
    </row>
    <row r="2333" customFormat="false" ht="15" hidden="false" customHeight="false" outlineLevel="0" collapsed="false">
      <c r="A2333" s="12" t="s">
        <v>699</v>
      </c>
      <c r="B2333" s="12" t="n">
        <f aca="false">COUNTIFS(Cleaned!$C$2:$C$125,2,Cleaned!DJ$2:DJ$125,1)</f>
        <v>2</v>
      </c>
      <c r="C2333" s="13" t="n">
        <f aca="false">IFERROR(B2333/$F2333,"")</f>
        <v>1</v>
      </c>
      <c r="D2333" s="12" t="n">
        <f aca="false">COUNTIFS(Cleaned!$C$2:$C$125,2,Cleaned!DJ$2:DJ$125,2)</f>
        <v>0</v>
      </c>
      <c r="E2333" s="13" t="n">
        <f aca="false">IFERROR(D2333/$F2333,"")</f>
        <v>0</v>
      </c>
      <c r="F2333" s="12" t="n">
        <f aca="false">B2333+D2333</f>
        <v>2</v>
      </c>
    </row>
    <row r="2334" customFormat="false" ht="15" hidden="false" customHeight="false" outlineLevel="0" collapsed="false">
      <c r="A2334" s="12" t="s">
        <v>700</v>
      </c>
      <c r="B2334" s="12" t="n">
        <f aca="false">COUNTIFS(Cleaned!$C$2:$C$125,3,Cleaned!DJ$2:DJ$125,1)</f>
        <v>1</v>
      </c>
      <c r="C2334" s="13" t="n">
        <f aca="false">IFERROR(B2334/$F2334,"")</f>
        <v>0.5</v>
      </c>
      <c r="D2334" s="12" t="n">
        <f aca="false">COUNTIFS(Cleaned!$C$2:$C$125,3,Cleaned!DJ$2:DJ$125,2)</f>
        <v>1</v>
      </c>
      <c r="E2334" s="13" t="n">
        <f aca="false">IFERROR(D2334/$F2334,"")</f>
        <v>0.5</v>
      </c>
      <c r="F2334" s="12" t="n">
        <f aca="false">B2334+D2334</f>
        <v>2</v>
      </c>
    </row>
    <row r="2335" customFormat="false" ht="15" hidden="false" customHeight="false" outlineLevel="0" collapsed="false">
      <c r="A2335" s="12" t="s">
        <v>701</v>
      </c>
      <c r="B2335" s="12" t="n">
        <f aca="false">COUNTIFS(Cleaned!$C$2:$C$125,4,Cleaned!DJ$2:DJ$125,1)</f>
        <v>7</v>
      </c>
      <c r="C2335" s="13" t="n">
        <f aca="false">IFERROR(B2335/$F2335,"")</f>
        <v>1</v>
      </c>
      <c r="D2335" s="12" t="n">
        <f aca="false">COUNTIFS(Cleaned!$C$2:$C$125,4,Cleaned!DJ$2:DJ$125,2)</f>
        <v>0</v>
      </c>
      <c r="E2335" s="13" t="n">
        <f aca="false">IFERROR(D2335/$F2335,"")</f>
        <v>0</v>
      </c>
      <c r="F2335" s="12" t="n">
        <f aca="false">B2335+D2335</f>
        <v>7</v>
      </c>
    </row>
    <row r="2336" customFormat="false" ht="15" hidden="false" customHeight="false" outlineLevel="0" collapsed="false">
      <c r="A2336" s="12" t="s">
        <v>702</v>
      </c>
      <c r="B2336" s="12" t="n">
        <f aca="false">COUNTIFS(Cleaned!$C$2:$C$125,5,Cleaned!DJ$2:DJ$125,1)</f>
        <v>19</v>
      </c>
      <c r="C2336" s="13" t="n">
        <f aca="false">IFERROR(B2336/$F2336,"")</f>
        <v>0.95</v>
      </c>
      <c r="D2336" s="12" t="n">
        <f aca="false">COUNTIFS(Cleaned!$C$2:$C$125,5,Cleaned!DJ$2:DJ$125,2)</f>
        <v>1</v>
      </c>
      <c r="E2336" s="13" t="n">
        <f aca="false">IFERROR(D2336/$F2336,"")</f>
        <v>0.05</v>
      </c>
      <c r="F2336" s="12" t="n">
        <f aca="false">B2336+D2336</f>
        <v>20</v>
      </c>
    </row>
    <row r="2337" customFormat="false" ht="15" hidden="false" customHeight="false" outlineLevel="0" collapsed="false">
      <c r="A2337" s="11" t="s">
        <v>703</v>
      </c>
      <c r="B2337" s="11" t="n">
        <f aca="false">SUM(B2332:B2336)</f>
        <v>30</v>
      </c>
      <c r="C2337" s="14" t="n">
        <f aca="false">IFERROR(B2337/$F2337,"")</f>
        <v>0.9375</v>
      </c>
      <c r="D2337" s="11" t="n">
        <f aca="false">SUM(D2332:D2336)</f>
        <v>2</v>
      </c>
      <c r="E2337" s="14" t="n">
        <f aca="false">IFERROR(D2337/$F2337,"")</f>
        <v>0.0625</v>
      </c>
      <c r="F2337" s="11" t="n">
        <f aca="false">SUM(F2332:F2336)</f>
        <v>32</v>
      </c>
    </row>
    <row r="2338" customFormat="false" ht="15" hidden="false" customHeight="false" outlineLevel="0" collapsed="false">
      <c r="A2338" s="11" t="s">
        <v>3</v>
      </c>
    </row>
    <row r="2339" customFormat="false" ht="15" hidden="false" customHeight="false" outlineLevel="0" collapsed="false">
      <c r="A2339" s="12" t="s">
        <v>704</v>
      </c>
      <c r="B2339" s="12" t="n">
        <f aca="false">COUNTIFS(Cleaned!$D$2:$D$125,1,Cleaned!DJ$2:DJ$125,1)</f>
        <v>1</v>
      </c>
      <c r="C2339" s="13" t="n">
        <f aca="false">IFERROR(B2339/$F2339,"")</f>
        <v>0.5</v>
      </c>
      <c r="D2339" s="12" t="n">
        <f aca="false">COUNTIFS(Cleaned!$D$2:$D$125,1,Cleaned!DJ$2:DJ$125,2)</f>
        <v>1</v>
      </c>
      <c r="E2339" s="13" t="n">
        <f aca="false">IFERROR(D2339/$F2339,"")</f>
        <v>0.5</v>
      </c>
      <c r="F2339" s="12" t="n">
        <f aca="false">B2339+D2339</f>
        <v>2</v>
      </c>
    </row>
    <row r="2340" customFormat="false" ht="15" hidden="false" customHeight="false" outlineLevel="0" collapsed="false">
      <c r="A2340" s="12" t="s">
        <v>705</v>
      </c>
      <c r="B2340" s="12" t="n">
        <f aca="false">COUNTIFS(Cleaned!$D$2:$D$125,2,Cleaned!DJ$2:DJ$125,1)</f>
        <v>12</v>
      </c>
      <c r="C2340" s="13" t="n">
        <f aca="false">IFERROR(B2340/$F2340,"")</f>
        <v>1</v>
      </c>
      <c r="D2340" s="12" t="n">
        <f aca="false">COUNTIFS(Cleaned!$D$2:$D$125,2,Cleaned!DJ$2:DJ$125,2)</f>
        <v>0</v>
      </c>
      <c r="E2340" s="13" t="n">
        <f aca="false">IFERROR(D2340/$F2340,"")</f>
        <v>0</v>
      </c>
      <c r="F2340" s="12" t="n">
        <f aca="false">B2340+D2340</f>
        <v>12</v>
      </c>
    </row>
    <row r="2341" customFormat="false" ht="15" hidden="false" customHeight="false" outlineLevel="0" collapsed="false">
      <c r="A2341" s="12" t="s">
        <v>706</v>
      </c>
      <c r="B2341" s="12" t="n">
        <f aca="false">COUNTIFS(Cleaned!$D$2:$D$125,3,Cleaned!DJ$2:DJ$125,1)</f>
        <v>6</v>
      </c>
      <c r="C2341" s="13" t="n">
        <f aca="false">IFERROR(B2341/$F2341,"")</f>
        <v>1</v>
      </c>
      <c r="D2341" s="12" t="n">
        <f aca="false">COUNTIFS(Cleaned!$D$2:$D$125,3,Cleaned!DJ$2:DJ$125,2)</f>
        <v>0</v>
      </c>
      <c r="E2341" s="13" t="n">
        <f aca="false">IFERROR(D2341/$F2341,"")</f>
        <v>0</v>
      </c>
      <c r="F2341" s="12" t="n">
        <f aca="false">B2341+D2341</f>
        <v>6</v>
      </c>
    </row>
    <row r="2342" customFormat="false" ht="15" hidden="false" customHeight="false" outlineLevel="0" collapsed="false">
      <c r="A2342" s="12" t="s">
        <v>707</v>
      </c>
      <c r="B2342" s="12" t="n">
        <f aca="false">COUNTIFS(Cleaned!$D$2:$D$125,4,Cleaned!DJ$2:DJ$125,1)</f>
        <v>4</v>
      </c>
      <c r="C2342" s="13" t="n">
        <f aca="false">IFERROR(B2342/$F2342,"")</f>
        <v>1</v>
      </c>
      <c r="D2342" s="12" t="n">
        <f aca="false">COUNTIFS(Cleaned!$D$2:$D$125,4,Cleaned!DJ$2:DJ$125,2)</f>
        <v>0</v>
      </c>
      <c r="E2342" s="13" t="n">
        <f aca="false">IFERROR(D2342/$F2342,"")</f>
        <v>0</v>
      </c>
      <c r="F2342" s="12" t="n">
        <f aca="false">B2342+D2342</f>
        <v>4</v>
      </c>
    </row>
    <row r="2343" customFormat="false" ht="15" hidden="false" customHeight="false" outlineLevel="0" collapsed="false">
      <c r="A2343" s="12" t="s">
        <v>708</v>
      </c>
      <c r="B2343" s="12" t="n">
        <f aca="false">COUNTIFS(Cleaned!$D$2:$D$125,5,Cleaned!DJ$2:DJ$125,1)</f>
        <v>1</v>
      </c>
      <c r="C2343" s="13" t="n">
        <f aca="false">IFERROR(B2343/$F2343,"")</f>
        <v>1</v>
      </c>
      <c r="D2343" s="12" t="n">
        <f aca="false">COUNTIFS(Cleaned!$D$2:$D$125,5,Cleaned!DJ$2:DJ$125,2)</f>
        <v>0</v>
      </c>
      <c r="E2343" s="13" t="n">
        <f aca="false">IFERROR(D2343/$F2343,"")</f>
        <v>0</v>
      </c>
      <c r="F2343" s="12" t="n">
        <f aca="false">B2343+D2343</f>
        <v>1</v>
      </c>
    </row>
    <row r="2344" customFormat="false" ht="15" hidden="false" customHeight="false" outlineLevel="0" collapsed="false">
      <c r="A2344" s="12" t="s">
        <v>709</v>
      </c>
      <c r="B2344" s="12" t="n">
        <f aca="false">COUNTIFS(Cleaned!$D$2:$D$125,6,Cleaned!DJ$2:DJ$125,1)</f>
        <v>1</v>
      </c>
      <c r="C2344" s="13" t="n">
        <f aca="false">IFERROR(B2344/$F2344,"")</f>
        <v>1</v>
      </c>
      <c r="D2344" s="12" t="n">
        <f aca="false">COUNTIFS(Cleaned!$D$2:$D$125,6,Cleaned!DJ$2:DJ$125,2)</f>
        <v>0</v>
      </c>
      <c r="E2344" s="13" t="n">
        <f aca="false">IFERROR(D2344/$F2344,"")</f>
        <v>0</v>
      </c>
      <c r="F2344" s="12" t="n">
        <f aca="false">B2344+D2344</f>
        <v>1</v>
      </c>
    </row>
    <row r="2345" customFormat="false" ht="15" hidden="false" customHeight="false" outlineLevel="0" collapsed="false">
      <c r="A2345" s="12" t="s">
        <v>710</v>
      </c>
      <c r="B2345" s="12" t="n">
        <f aca="false">COUNTIFS(Cleaned!$D$2:$D$125,7,Cleaned!DJ$2:DJ$125,1)</f>
        <v>3</v>
      </c>
      <c r="C2345" s="13" t="n">
        <f aca="false">IFERROR(B2345/$F2345,"")</f>
        <v>0.75</v>
      </c>
      <c r="D2345" s="12" t="n">
        <f aca="false">COUNTIFS(Cleaned!$D$2:$D$125,7,Cleaned!DJ$2:DJ$125,2)</f>
        <v>1</v>
      </c>
      <c r="E2345" s="13" t="n">
        <f aca="false">IFERROR(D2345/$F2345,"")</f>
        <v>0.25</v>
      </c>
      <c r="F2345" s="12" t="n">
        <f aca="false">B2345+D2345</f>
        <v>4</v>
      </c>
    </row>
    <row r="2346" customFormat="false" ht="15" hidden="false" customHeight="false" outlineLevel="0" collapsed="false">
      <c r="A2346" s="12" t="s">
        <v>711</v>
      </c>
      <c r="B2346" s="12" t="n">
        <f aca="false">COUNTIFS(Cleaned!$D$2:$D$125,8,Cleaned!DJ$2:DJ$125,1)</f>
        <v>1</v>
      </c>
      <c r="C2346" s="13" t="n">
        <f aca="false">IFERROR(B2346/$F2346,"")</f>
        <v>1</v>
      </c>
      <c r="D2346" s="12" t="n">
        <f aca="false">COUNTIFS(Cleaned!$D$2:$D$125,8,Cleaned!DJ$2:DJ$125,2)</f>
        <v>0</v>
      </c>
      <c r="E2346" s="13" t="n">
        <f aca="false">IFERROR(D2346/$F2346,"")</f>
        <v>0</v>
      </c>
      <c r="F2346" s="12" t="n">
        <f aca="false">B2346+D2346</f>
        <v>1</v>
      </c>
    </row>
    <row r="2347" customFormat="false" ht="15" hidden="false" customHeight="false" outlineLevel="0" collapsed="false">
      <c r="A2347" s="12" t="s">
        <v>712</v>
      </c>
      <c r="B2347" s="12" t="n">
        <f aca="false">COUNTIFS(Cleaned!$D$2:$D$125,9,Cleaned!DJ$2:DJ$125,1)</f>
        <v>1</v>
      </c>
      <c r="C2347" s="13" t="n">
        <f aca="false">IFERROR(B2347/$F2347,"")</f>
        <v>1</v>
      </c>
      <c r="D2347" s="12" t="n">
        <f aca="false">COUNTIFS(Cleaned!$D$2:$D$125,9,Cleaned!DJ$2:DJ$125,2)</f>
        <v>0</v>
      </c>
      <c r="E2347" s="13" t="n">
        <f aca="false">IFERROR(D2347/$F2347,"")</f>
        <v>0</v>
      </c>
      <c r="F2347" s="12" t="n">
        <f aca="false">B2347+D2347</f>
        <v>1</v>
      </c>
    </row>
    <row r="2348" customFormat="false" ht="15" hidden="false" customHeight="false" outlineLevel="0" collapsed="false">
      <c r="A2348" s="12" t="s">
        <v>713</v>
      </c>
      <c r="B2348" s="12" t="n">
        <f aca="false">COUNTIFS(Cleaned!$D$2:$D$125,10,Cleaned!DJ$2:DJ$125,1)</f>
        <v>0</v>
      </c>
      <c r="C2348" s="13" t="str">
        <f aca="false">IFERROR(B2348/$F2348,"")</f>
        <v/>
      </c>
      <c r="D2348" s="12" t="n">
        <f aca="false">COUNTIFS(Cleaned!$D$2:$D$125,10,Cleaned!DJ$2:DJ$125,2)</f>
        <v>0</v>
      </c>
      <c r="E2348" s="13" t="str">
        <f aca="false">IFERROR(D2348/$F2348,"")</f>
        <v/>
      </c>
      <c r="F2348" s="12" t="n">
        <f aca="false">B2348+D2348</f>
        <v>0</v>
      </c>
    </row>
    <row r="2349" customFormat="false" ht="15" hidden="false" customHeight="false" outlineLevel="0" collapsed="false">
      <c r="A2349" s="12" t="s">
        <v>714</v>
      </c>
      <c r="B2349" s="12" t="n">
        <f aca="false">COUNTIFS(Cleaned!$D$2:$D$125,11,Cleaned!DJ$2:DJ$125,1)</f>
        <v>0</v>
      </c>
      <c r="C2349" s="13" t="str">
        <f aca="false">IFERROR(B2349/$F2349,"")</f>
        <v/>
      </c>
      <c r="D2349" s="12" t="n">
        <f aca="false">COUNTIFS(Cleaned!$D$2:$D$125,11,Cleaned!DJ$2:DJ$125,2)</f>
        <v>0</v>
      </c>
      <c r="E2349" s="13" t="str">
        <f aca="false">IFERROR(D2349/$F2349,"")</f>
        <v/>
      </c>
      <c r="F2349" s="12" t="n">
        <f aca="false">B2349+D2349</f>
        <v>0</v>
      </c>
    </row>
    <row r="2350" customFormat="false" ht="15" hidden="false" customHeight="false" outlineLevel="0" collapsed="false">
      <c r="A2350" s="12" t="s">
        <v>715</v>
      </c>
      <c r="B2350" s="12" t="n">
        <f aca="false">COUNTIFS(Cleaned!$D$2:$D$125,12,Cleaned!DJ$2:DJ$125,1)</f>
        <v>0</v>
      </c>
      <c r="C2350" s="13" t="str">
        <f aca="false">IFERROR(B2350/$F2350,"")</f>
        <v/>
      </c>
      <c r="D2350" s="12" t="n">
        <f aca="false">COUNTIFS(Cleaned!$D$2:$D$125,12,Cleaned!DJ$2:DJ$125,2)</f>
        <v>0</v>
      </c>
      <c r="E2350" s="13" t="str">
        <f aca="false">IFERROR(D2350/$F2350,"")</f>
        <v/>
      </c>
      <c r="F2350" s="12" t="n">
        <f aca="false">B2350+D2350</f>
        <v>0</v>
      </c>
    </row>
    <row r="2351" customFormat="false" ht="15" hidden="false" customHeight="false" outlineLevel="0" collapsed="false">
      <c r="A2351" s="11" t="s">
        <v>716</v>
      </c>
      <c r="B2351" s="11" t="n">
        <f aca="false">SUM(B2339:B2350)</f>
        <v>30</v>
      </c>
      <c r="C2351" s="14" t="n">
        <f aca="false">IFERROR(B2351/$F2351,"")</f>
        <v>0.9375</v>
      </c>
      <c r="D2351" s="11" t="n">
        <f aca="false">SUM(D2339:D2350)</f>
        <v>2</v>
      </c>
      <c r="E2351" s="14" t="n">
        <f aca="false">IFERROR(D2351/$F2351,"")</f>
        <v>0.0625</v>
      </c>
      <c r="F2351" s="11" t="n">
        <f aca="false">SUM(F2339:F2350)</f>
        <v>32</v>
      </c>
    </row>
    <row r="2354" customFormat="false" ht="15" hidden="false" customHeight="false" outlineLevel="0" collapsed="false">
      <c r="A2354" s="6" t="s">
        <v>115</v>
      </c>
      <c r="B2354" s="7" t="s">
        <v>838</v>
      </c>
    </row>
    <row r="2355" customFormat="false" ht="15" hidden="false" customHeight="false" outlineLevel="0" collapsed="false">
      <c r="A2355" s="8"/>
      <c r="B2355" s="9" t="s">
        <v>726</v>
      </c>
      <c r="C2355" s="8"/>
      <c r="D2355" s="9" t="s">
        <v>362</v>
      </c>
      <c r="E2355" s="8"/>
      <c r="F2355" s="9" t="s">
        <v>694</v>
      </c>
    </row>
    <row r="2356" customFormat="false" ht="15" hidden="false" customHeight="false" outlineLevel="0" collapsed="false">
      <c r="B2356" s="10" t="s">
        <v>695</v>
      </c>
      <c r="C2356" s="10" t="s">
        <v>696</v>
      </c>
      <c r="D2356" s="10" t="s">
        <v>695</v>
      </c>
      <c r="E2356" s="10" t="s">
        <v>696</v>
      </c>
    </row>
    <row r="2357" customFormat="false" ht="15" hidden="false" customHeight="false" outlineLevel="0" collapsed="false">
      <c r="A2357" s="11" t="s">
        <v>697</v>
      </c>
    </row>
    <row r="2358" customFormat="false" ht="15" hidden="false" customHeight="false" outlineLevel="0" collapsed="false">
      <c r="A2358" s="12" t="s">
        <v>698</v>
      </c>
      <c r="B2358" s="12" t="n">
        <f aca="false">COUNTIFS(Cleaned!$C$2:$C$125,1,Cleaned!DL$2:DL$125,1)</f>
        <v>0</v>
      </c>
      <c r="C2358" s="13" t="n">
        <f aca="false">IFERROR(B2358/$F2358,"")</f>
        <v>0</v>
      </c>
      <c r="D2358" s="12" t="n">
        <f aca="false">COUNTIFS(Cleaned!$C$2:$C$125,1,Cleaned!DL$2:DL$125,2)</f>
        <v>1</v>
      </c>
      <c r="E2358" s="13" t="n">
        <f aca="false">IFERROR(D2358/$F2358,"")</f>
        <v>1</v>
      </c>
      <c r="F2358" s="12" t="n">
        <f aca="false">B2358+D2358</f>
        <v>1</v>
      </c>
    </row>
    <row r="2359" customFormat="false" ht="15" hidden="false" customHeight="false" outlineLevel="0" collapsed="false">
      <c r="A2359" s="12" t="s">
        <v>699</v>
      </c>
      <c r="B2359" s="12" t="n">
        <f aca="false">COUNTIFS(Cleaned!$C$2:$C$125,2,Cleaned!DL$2:DL$125,1)</f>
        <v>0</v>
      </c>
      <c r="C2359" s="13" t="n">
        <f aca="false">IFERROR(B2359/$F2359,"")</f>
        <v>0</v>
      </c>
      <c r="D2359" s="12" t="n">
        <f aca="false">COUNTIFS(Cleaned!$C$2:$C$125,2,Cleaned!DL$2:DL$125,2)</f>
        <v>2</v>
      </c>
      <c r="E2359" s="13" t="n">
        <f aca="false">IFERROR(D2359/$F2359,"")</f>
        <v>1</v>
      </c>
      <c r="F2359" s="12" t="n">
        <f aca="false">B2359+D2359</f>
        <v>2</v>
      </c>
    </row>
    <row r="2360" customFormat="false" ht="15" hidden="false" customHeight="false" outlineLevel="0" collapsed="false">
      <c r="A2360" s="12" t="s">
        <v>700</v>
      </c>
      <c r="B2360" s="12" t="n">
        <f aca="false">COUNTIFS(Cleaned!$C$2:$C$125,3,Cleaned!DL$2:DL$125,1)</f>
        <v>0</v>
      </c>
      <c r="C2360" s="13" t="n">
        <f aca="false">IFERROR(B2360/$F2360,"")</f>
        <v>0</v>
      </c>
      <c r="D2360" s="12" t="n">
        <f aca="false">COUNTIFS(Cleaned!$C$2:$C$125,3,Cleaned!DL$2:DL$125,2)</f>
        <v>2</v>
      </c>
      <c r="E2360" s="13" t="n">
        <f aca="false">IFERROR(D2360/$F2360,"")</f>
        <v>1</v>
      </c>
      <c r="F2360" s="12" t="n">
        <f aca="false">B2360+D2360</f>
        <v>2</v>
      </c>
    </row>
    <row r="2361" customFormat="false" ht="15" hidden="false" customHeight="false" outlineLevel="0" collapsed="false">
      <c r="A2361" s="12" t="s">
        <v>701</v>
      </c>
      <c r="B2361" s="12" t="n">
        <f aca="false">COUNTIFS(Cleaned!$C$2:$C$125,4,Cleaned!DL$2:DL$125,1)</f>
        <v>1</v>
      </c>
      <c r="C2361" s="13" t="n">
        <f aca="false">IFERROR(B2361/$F2361,"")</f>
        <v>0.142857142857143</v>
      </c>
      <c r="D2361" s="12" t="n">
        <f aca="false">COUNTIFS(Cleaned!$C$2:$C$125,4,Cleaned!DL$2:DL$125,2)</f>
        <v>6</v>
      </c>
      <c r="E2361" s="13" t="n">
        <f aca="false">IFERROR(D2361/$F2361,"")</f>
        <v>0.857142857142857</v>
      </c>
      <c r="F2361" s="12" t="n">
        <f aca="false">B2361+D2361</f>
        <v>7</v>
      </c>
    </row>
    <row r="2362" customFormat="false" ht="15" hidden="false" customHeight="false" outlineLevel="0" collapsed="false">
      <c r="A2362" s="12" t="s">
        <v>702</v>
      </c>
      <c r="B2362" s="12" t="n">
        <f aca="false">COUNTIFS(Cleaned!$C$2:$C$125,5,Cleaned!DL$2:DL$125,1)</f>
        <v>16</v>
      </c>
      <c r="C2362" s="13" t="n">
        <f aca="false">IFERROR(B2362/$F2362,"")</f>
        <v>0.761904761904762</v>
      </c>
      <c r="D2362" s="12" t="n">
        <f aca="false">COUNTIFS(Cleaned!$C$2:$C$125,5,Cleaned!DL$2:DL$125,2)</f>
        <v>5</v>
      </c>
      <c r="E2362" s="13" t="n">
        <f aca="false">IFERROR(D2362/$F2362,"")</f>
        <v>0.238095238095238</v>
      </c>
      <c r="F2362" s="12" t="n">
        <f aca="false">B2362+D2362</f>
        <v>21</v>
      </c>
    </row>
    <row r="2363" customFormat="false" ht="15" hidden="false" customHeight="false" outlineLevel="0" collapsed="false">
      <c r="A2363" s="11" t="s">
        <v>703</v>
      </c>
      <c r="B2363" s="11" t="n">
        <f aca="false">SUM(B2358:B2362)</f>
        <v>17</v>
      </c>
      <c r="C2363" s="14" t="n">
        <f aca="false">IFERROR(B2363/$F2363,"")</f>
        <v>0.515151515151515</v>
      </c>
      <c r="D2363" s="11" t="n">
        <f aca="false">SUM(D2358:D2362)</f>
        <v>16</v>
      </c>
      <c r="E2363" s="14" t="n">
        <f aca="false">IFERROR(D2363/$F2363,"")</f>
        <v>0.484848484848485</v>
      </c>
      <c r="F2363" s="11" t="n">
        <f aca="false">SUM(F2358:F2362)</f>
        <v>33</v>
      </c>
    </row>
    <row r="2364" customFormat="false" ht="15" hidden="false" customHeight="false" outlineLevel="0" collapsed="false">
      <c r="A2364" s="11" t="s">
        <v>3</v>
      </c>
    </row>
    <row r="2365" customFormat="false" ht="15" hidden="false" customHeight="false" outlineLevel="0" collapsed="false">
      <c r="A2365" s="12" t="s">
        <v>704</v>
      </c>
      <c r="B2365" s="12" t="n">
        <f aca="false">COUNTIFS(Cleaned!$D$2:$D$125,1,Cleaned!DL$2:DL$125,1)</f>
        <v>1</v>
      </c>
      <c r="C2365" s="13" t="n">
        <f aca="false">IFERROR(B2365/$F2365,"")</f>
        <v>0.333333333333333</v>
      </c>
      <c r="D2365" s="12" t="n">
        <f aca="false">COUNTIFS(Cleaned!$D$2:$D$125,1,Cleaned!DL$2:DL$125,2)</f>
        <v>2</v>
      </c>
      <c r="E2365" s="13" t="n">
        <f aca="false">IFERROR(D2365/$F2365,"")</f>
        <v>0.666666666666667</v>
      </c>
      <c r="F2365" s="12" t="n">
        <f aca="false">B2365+D2365</f>
        <v>3</v>
      </c>
    </row>
    <row r="2366" customFormat="false" ht="15" hidden="false" customHeight="false" outlineLevel="0" collapsed="false">
      <c r="A2366" s="12" t="s">
        <v>705</v>
      </c>
      <c r="B2366" s="12" t="n">
        <f aca="false">COUNTIFS(Cleaned!$D$2:$D$125,2,Cleaned!DL$2:DL$125,1)</f>
        <v>11</v>
      </c>
      <c r="C2366" s="13" t="n">
        <f aca="false">IFERROR(B2366/$F2366,"")</f>
        <v>0.916666666666667</v>
      </c>
      <c r="D2366" s="12" t="n">
        <f aca="false">COUNTIFS(Cleaned!$D$2:$D$125,2,Cleaned!DL$2:DL$125,2)</f>
        <v>1</v>
      </c>
      <c r="E2366" s="13" t="n">
        <f aca="false">IFERROR(D2366/$F2366,"")</f>
        <v>0.0833333333333333</v>
      </c>
      <c r="F2366" s="12" t="n">
        <f aca="false">B2366+D2366</f>
        <v>12</v>
      </c>
    </row>
    <row r="2367" customFormat="false" ht="15" hidden="false" customHeight="false" outlineLevel="0" collapsed="false">
      <c r="A2367" s="12" t="s">
        <v>706</v>
      </c>
      <c r="B2367" s="12" t="n">
        <f aca="false">COUNTIFS(Cleaned!$D$2:$D$125,3,Cleaned!DL$2:DL$125,1)</f>
        <v>2</v>
      </c>
      <c r="C2367" s="13" t="n">
        <f aca="false">IFERROR(B2367/$F2367,"")</f>
        <v>0.333333333333333</v>
      </c>
      <c r="D2367" s="12" t="n">
        <f aca="false">COUNTIFS(Cleaned!$D$2:$D$125,3,Cleaned!DL$2:DL$125,2)</f>
        <v>4</v>
      </c>
      <c r="E2367" s="13" t="n">
        <f aca="false">IFERROR(D2367/$F2367,"")</f>
        <v>0.666666666666667</v>
      </c>
      <c r="F2367" s="12" t="n">
        <f aca="false">B2367+D2367</f>
        <v>6</v>
      </c>
    </row>
    <row r="2368" customFormat="false" ht="15" hidden="false" customHeight="false" outlineLevel="0" collapsed="false">
      <c r="A2368" s="12" t="s">
        <v>707</v>
      </c>
      <c r="B2368" s="12" t="n">
        <f aca="false">COUNTIFS(Cleaned!$D$2:$D$125,4,Cleaned!DL$2:DL$125,1)</f>
        <v>0</v>
      </c>
      <c r="C2368" s="13" t="n">
        <f aca="false">IFERROR(B2368/$F2368,"")</f>
        <v>0</v>
      </c>
      <c r="D2368" s="12" t="n">
        <f aca="false">COUNTIFS(Cleaned!$D$2:$D$125,4,Cleaned!DL$2:DL$125,2)</f>
        <v>4</v>
      </c>
      <c r="E2368" s="13" t="n">
        <f aca="false">IFERROR(D2368/$F2368,"")</f>
        <v>1</v>
      </c>
      <c r="F2368" s="12" t="n">
        <f aca="false">B2368+D2368</f>
        <v>4</v>
      </c>
    </row>
    <row r="2369" customFormat="false" ht="15" hidden="false" customHeight="false" outlineLevel="0" collapsed="false">
      <c r="A2369" s="12" t="s">
        <v>708</v>
      </c>
      <c r="B2369" s="12" t="n">
        <f aca="false">COUNTIFS(Cleaned!$D$2:$D$125,5,Cleaned!DL$2:DL$125,1)</f>
        <v>0</v>
      </c>
      <c r="C2369" s="13" t="n">
        <f aca="false">IFERROR(B2369/$F2369,"")</f>
        <v>0</v>
      </c>
      <c r="D2369" s="12" t="n">
        <f aca="false">COUNTIFS(Cleaned!$D$2:$D$125,5,Cleaned!DL$2:DL$125,2)</f>
        <v>1</v>
      </c>
      <c r="E2369" s="13" t="n">
        <f aca="false">IFERROR(D2369/$F2369,"")</f>
        <v>1</v>
      </c>
      <c r="F2369" s="12" t="n">
        <f aca="false">B2369+D2369</f>
        <v>1</v>
      </c>
    </row>
    <row r="2370" customFormat="false" ht="15" hidden="false" customHeight="false" outlineLevel="0" collapsed="false">
      <c r="A2370" s="12" t="s">
        <v>709</v>
      </c>
      <c r="B2370" s="12" t="n">
        <f aca="false">COUNTIFS(Cleaned!$D$2:$D$125,6,Cleaned!DL$2:DL$125,1)</f>
        <v>0</v>
      </c>
      <c r="C2370" s="13" t="n">
        <f aca="false">IFERROR(B2370/$F2370,"")</f>
        <v>0</v>
      </c>
      <c r="D2370" s="12" t="n">
        <f aca="false">COUNTIFS(Cleaned!$D$2:$D$125,6,Cleaned!DL$2:DL$125,2)</f>
        <v>1</v>
      </c>
      <c r="E2370" s="13" t="n">
        <f aca="false">IFERROR(D2370/$F2370,"")</f>
        <v>1</v>
      </c>
      <c r="F2370" s="12" t="n">
        <f aca="false">B2370+D2370</f>
        <v>1</v>
      </c>
    </row>
    <row r="2371" customFormat="false" ht="15" hidden="false" customHeight="false" outlineLevel="0" collapsed="false">
      <c r="A2371" s="12" t="s">
        <v>710</v>
      </c>
      <c r="B2371" s="12" t="n">
        <f aca="false">COUNTIFS(Cleaned!$D$2:$D$125,7,Cleaned!DL$2:DL$125,1)</f>
        <v>3</v>
      </c>
      <c r="C2371" s="13" t="n">
        <f aca="false">IFERROR(B2371/$F2371,"")</f>
        <v>0.75</v>
      </c>
      <c r="D2371" s="12" t="n">
        <f aca="false">COUNTIFS(Cleaned!$D$2:$D$125,7,Cleaned!DL$2:DL$125,2)</f>
        <v>1</v>
      </c>
      <c r="E2371" s="13" t="n">
        <f aca="false">IFERROR(D2371/$F2371,"")</f>
        <v>0.25</v>
      </c>
      <c r="F2371" s="12" t="n">
        <f aca="false">B2371+D2371</f>
        <v>4</v>
      </c>
    </row>
    <row r="2372" customFormat="false" ht="15" hidden="false" customHeight="false" outlineLevel="0" collapsed="false">
      <c r="A2372" s="12" t="s">
        <v>711</v>
      </c>
      <c r="B2372" s="12" t="n">
        <f aca="false">COUNTIFS(Cleaned!$D$2:$D$125,8,Cleaned!DL$2:DL$125,1)</f>
        <v>0</v>
      </c>
      <c r="C2372" s="13" t="n">
        <f aca="false">IFERROR(B2372/$F2372,"")</f>
        <v>0</v>
      </c>
      <c r="D2372" s="12" t="n">
        <f aca="false">COUNTIFS(Cleaned!$D$2:$D$125,8,Cleaned!DL$2:DL$125,2)</f>
        <v>1</v>
      </c>
      <c r="E2372" s="13" t="n">
        <f aca="false">IFERROR(D2372/$F2372,"")</f>
        <v>1</v>
      </c>
      <c r="F2372" s="12" t="n">
        <f aca="false">B2372+D2372</f>
        <v>1</v>
      </c>
    </row>
    <row r="2373" customFormat="false" ht="15" hidden="false" customHeight="false" outlineLevel="0" collapsed="false">
      <c r="A2373" s="12" t="s">
        <v>712</v>
      </c>
      <c r="B2373" s="12" t="n">
        <f aca="false">COUNTIFS(Cleaned!$D$2:$D$125,9,Cleaned!DL$2:DL$125,1)</f>
        <v>0</v>
      </c>
      <c r="C2373" s="13" t="n">
        <f aca="false">IFERROR(B2373/$F2373,"")</f>
        <v>0</v>
      </c>
      <c r="D2373" s="12" t="n">
        <f aca="false">COUNTIFS(Cleaned!$D$2:$D$125,9,Cleaned!DL$2:DL$125,2)</f>
        <v>1</v>
      </c>
      <c r="E2373" s="13" t="n">
        <f aca="false">IFERROR(D2373/$F2373,"")</f>
        <v>1</v>
      </c>
      <c r="F2373" s="12" t="n">
        <f aca="false">B2373+D2373</f>
        <v>1</v>
      </c>
    </row>
    <row r="2374" customFormat="false" ht="15" hidden="false" customHeight="false" outlineLevel="0" collapsed="false">
      <c r="A2374" s="12" t="s">
        <v>713</v>
      </c>
      <c r="B2374" s="12" t="n">
        <f aca="false">COUNTIFS(Cleaned!$D$2:$D$125,10,Cleaned!DL$2:DL$125,1)</f>
        <v>0</v>
      </c>
      <c r="C2374" s="13" t="str">
        <f aca="false">IFERROR(B2374/$F2374,"")</f>
        <v/>
      </c>
      <c r="D2374" s="12" t="n">
        <f aca="false">COUNTIFS(Cleaned!$D$2:$D$125,10,Cleaned!DL$2:DL$125,2)</f>
        <v>0</v>
      </c>
      <c r="E2374" s="13" t="str">
        <f aca="false">IFERROR(D2374/$F2374,"")</f>
        <v/>
      </c>
      <c r="F2374" s="12" t="n">
        <f aca="false">B2374+D2374</f>
        <v>0</v>
      </c>
    </row>
    <row r="2375" customFormat="false" ht="15" hidden="false" customHeight="false" outlineLevel="0" collapsed="false">
      <c r="A2375" s="12" t="s">
        <v>714</v>
      </c>
      <c r="B2375" s="12" t="n">
        <f aca="false">COUNTIFS(Cleaned!$D$2:$D$125,11,Cleaned!DL$2:DL$125,1)</f>
        <v>0</v>
      </c>
      <c r="C2375" s="13" t="str">
        <f aca="false">IFERROR(B2375/$F2375,"")</f>
        <v/>
      </c>
      <c r="D2375" s="12" t="n">
        <f aca="false">COUNTIFS(Cleaned!$D$2:$D$125,11,Cleaned!DL$2:DL$125,2)</f>
        <v>0</v>
      </c>
      <c r="E2375" s="13" t="str">
        <f aca="false">IFERROR(D2375/$F2375,"")</f>
        <v/>
      </c>
      <c r="F2375" s="12" t="n">
        <f aca="false">B2375+D2375</f>
        <v>0</v>
      </c>
    </row>
    <row r="2376" customFormat="false" ht="15" hidden="false" customHeight="false" outlineLevel="0" collapsed="false">
      <c r="A2376" s="12" t="s">
        <v>715</v>
      </c>
      <c r="B2376" s="12" t="n">
        <f aca="false">COUNTIFS(Cleaned!$D$2:$D$125,12,Cleaned!DL$2:DL$125,1)</f>
        <v>0</v>
      </c>
      <c r="C2376" s="13" t="str">
        <f aca="false">IFERROR(B2376/$F2376,"")</f>
        <v/>
      </c>
      <c r="D2376" s="12" t="n">
        <f aca="false">COUNTIFS(Cleaned!$D$2:$D$125,12,Cleaned!DL$2:DL$125,2)</f>
        <v>0</v>
      </c>
      <c r="E2376" s="13" t="str">
        <f aca="false">IFERROR(D2376/$F2376,"")</f>
        <v/>
      </c>
      <c r="F2376" s="12" t="n">
        <f aca="false">B2376+D2376</f>
        <v>0</v>
      </c>
    </row>
    <row r="2377" customFormat="false" ht="15" hidden="false" customHeight="false" outlineLevel="0" collapsed="false">
      <c r="A2377" s="11" t="s">
        <v>716</v>
      </c>
      <c r="B2377" s="11" t="n">
        <f aca="false">SUM(B2365:B2376)</f>
        <v>17</v>
      </c>
      <c r="C2377" s="14" t="n">
        <f aca="false">IFERROR(B2377/$F2377,"")</f>
        <v>0.515151515151515</v>
      </c>
      <c r="D2377" s="11" t="n">
        <f aca="false">SUM(D2365:D2376)</f>
        <v>16</v>
      </c>
      <c r="E2377" s="14" t="n">
        <f aca="false">IFERROR(D2377/$F2377,"")</f>
        <v>0.484848484848485</v>
      </c>
      <c r="F2377" s="11" t="n">
        <f aca="false">SUM(F2365:F2376)</f>
        <v>33</v>
      </c>
    </row>
    <row r="2380" customFormat="false" ht="15" hidden="false" customHeight="false" outlineLevel="0" collapsed="false">
      <c r="A2380" s="6" t="s">
        <v>117</v>
      </c>
      <c r="B2380" s="7" t="s">
        <v>839</v>
      </c>
    </row>
    <row r="2381" customFormat="false" ht="15" hidden="false" customHeight="false" outlineLevel="0" collapsed="false">
      <c r="A2381" s="11" t="s">
        <v>734</v>
      </c>
      <c r="B2381" s="9" t="s">
        <v>694</v>
      </c>
      <c r="C2381" s="9" t="s">
        <v>735</v>
      </c>
      <c r="D2381" s="9" t="s">
        <v>736</v>
      </c>
      <c r="E2381" s="9" t="s">
        <v>737</v>
      </c>
      <c r="F2381" s="9" t="s">
        <v>738</v>
      </c>
    </row>
    <row r="2382" customFormat="false" ht="15" hidden="false" customHeight="false" outlineLevel="0" collapsed="false">
      <c r="B2382" s="12" t="n">
        <f aca="false">COUNT(Cleaned!$DN$2:$DN$125)</f>
        <v>28</v>
      </c>
      <c r="C2382" s="12" t="n">
        <f aca="false">IFERROR(AVERAGE(Cleaned!$DN$2:$DN$125),"")</f>
        <v>11.9475</v>
      </c>
      <c r="D2382" s="12" t="n">
        <f aca="false">IFERROR(MEDIAN(Cleaned!$DN$2:$DN$125),"")</f>
        <v>12.025</v>
      </c>
      <c r="E2382" s="12" t="n">
        <f aca="false">IFERROR(MIN(Cleaned!$DN$2:$DN$125),"")</f>
        <v>2</v>
      </c>
      <c r="F2382" s="12" t="n">
        <f aca="false">IFERROR(MAX(Cleaned!$DN$2:$DN$125),"")</f>
        <v>23.11</v>
      </c>
    </row>
    <row r="2383" customFormat="false" ht="15" hidden="false" customHeight="false" outlineLevel="0" collapsed="false">
      <c r="A2383" s="11" t="s">
        <v>697</v>
      </c>
      <c r="B2383" s="9" t="s">
        <v>739</v>
      </c>
      <c r="C2383" s="9" t="s">
        <v>735</v>
      </c>
    </row>
    <row r="2384" customFormat="false" ht="15" hidden="false" customHeight="false" outlineLevel="0" collapsed="false">
      <c r="A2384" s="12" t="s">
        <v>698</v>
      </c>
      <c r="B2384" s="12" t="n">
        <f aca="false">COUNTIFS(Cleaned!$C$2:$C$125,1,Cleaned!DN$2:DN$125,"&lt;&gt;")</f>
        <v>1</v>
      </c>
      <c r="C2384" s="15" t="n">
        <f aca="false">IF(B2384=0,"",AVERAGEIF(Cleaned!$C$2:$C$125,1,Cleaned!DN$2:DN$125))</f>
        <v>5</v>
      </c>
    </row>
    <row r="2385" customFormat="false" ht="15" hidden="false" customHeight="false" outlineLevel="0" collapsed="false">
      <c r="A2385" s="12" t="s">
        <v>699</v>
      </c>
      <c r="B2385" s="12" t="n">
        <f aca="false">COUNTIFS(Cleaned!$C$2:$C$125,2,Cleaned!DN$2:DN$125,"&lt;&gt;")</f>
        <v>2</v>
      </c>
      <c r="C2385" s="15" t="n">
        <f aca="false">IF(B2385=0,"",AVERAGEIF(Cleaned!$C$2:$C$125,2,Cleaned!DN$2:DN$125))</f>
        <v>2.5</v>
      </c>
    </row>
    <row r="2386" customFormat="false" ht="15" hidden="false" customHeight="false" outlineLevel="0" collapsed="false">
      <c r="A2386" s="12" t="s">
        <v>700</v>
      </c>
      <c r="B2386" s="12" t="n">
        <f aca="false">COUNTIFS(Cleaned!$C$2:$C$125,3,Cleaned!DN$2:DN$125,"&lt;&gt;")</f>
        <v>1</v>
      </c>
      <c r="C2386" s="15" t="n">
        <f aca="false">IF(B2386=0,"",AVERAGEIF(Cleaned!$C$2:$C$125,3,Cleaned!DN$2:DN$125))</f>
        <v>6.66</v>
      </c>
    </row>
    <row r="2387" customFormat="false" ht="15" hidden="false" customHeight="false" outlineLevel="0" collapsed="false">
      <c r="A2387" s="12" t="s">
        <v>701</v>
      </c>
      <c r="B2387" s="12" t="n">
        <f aca="false">COUNTIFS(Cleaned!$C$2:$C$125,4,Cleaned!DN$2:DN$125,"&lt;&gt;")</f>
        <v>6</v>
      </c>
      <c r="C2387" s="15" t="n">
        <f aca="false">IF(B2387=0,"",AVERAGEIF(Cleaned!$C$2:$C$125,4,Cleaned!DN$2:DN$125))</f>
        <v>7.83</v>
      </c>
    </row>
    <row r="2388" customFormat="false" ht="15" hidden="false" customHeight="false" outlineLevel="0" collapsed="false">
      <c r="A2388" s="12" t="s">
        <v>702</v>
      </c>
      <c r="B2388" s="12" t="n">
        <f aca="false">COUNTIFS(Cleaned!$C$2:$C$125,5,Cleaned!DN$2:DN$125,"&lt;&gt;")</f>
        <v>18</v>
      </c>
      <c r="C2388" s="15" t="n">
        <f aca="false">IF(B2388=0,"",AVERAGEIF(Cleaned!$C$2:$C$125,5,Cleaned!DN$2:DN$125))</f>
        <v>15.0494444444444</v>
      </c>
    </row>
    <row r="2389" customFormat="false" ht="15" hidden="false" customHeight="false" outlineLevel="0" collapsed="false">
      <c r="A2389" s="11" t="s">
        <v>3</v>
      </c>
      <c r="B2389" s="9" t="s">
        <v>739</v>
      </c>
      <c r="C2389" s="9" t="s">
        <v>735</v>
      </c>
    </row>
    <row r="2390" customFormat="false" ht="15" hidden="false" customHeight="false" outlineLevel="0" collapsed="false">
      <c r="A2390" s="12" t="s">
        <v>704</v>
      </c>
      <c r="B2390" s="12" t="n">
        <f aca="false">COUNTIFS(Cleaned!$D$2:$D$125,1,Cleaned!DN$2:DN$125,"&lt;&gt;")</f>
        <v>2</v>
      </c>
      <c r="C2390" s="15" t="n">
        <f aca="false">IF(B2390=0,"",AVERAGEIF(Cleaned!$D$2:$D$125,1,Cleaned!DN$2:DN$125))</f>
        <v>12.43</v>
      </c>
    </row>
    <row r="2391" customFormat="false" ht="15" hidden="false" customHeight="false" outlineLevel="0" collapsed="false">
      <c r="A2391" s="12" t="s">
        <v>705</v>
      </c>
      <c r="B2391" s="12" t="n">
        <f aca="false">COUNTIFS(Cleaned!$D$2:$D$125,2,Cleaned!DN$2:DN$125,"&lt;&gt;")</f>
        <v>10</v>
      </c>
      <c r="C2391" s="15" t="n">
        <f aca="false">IF(B2391=0,"",AVERAGEIF(Cleaned!$D$2:$D$125,2,Cleaned!DN$2:DN$125))</f>
        <v>15.607</v>
      </c>
    </row>
    <row r="2392" customFormat="false" ht="15" hidden="false" customHeight="false" outlineLevel="0" collapsed="false">
      <c r="A2392" s="12" t="s">
        <v>706</v>
      </c>
      <c r="B2392" s="12" t="n">
        <f aca="false">COUNTIFS(Cleaned!$D$2:$D$125,3,Cleaned!DN$2:DN$125,"&lt;&gt;")</f>
        <v>6</v>
      </c>
      <c r="C2392" s="15" t="n">
        <f aca="false">IF(B2392=0,"",AVERAGEIF(Cleaned!$D$2:$D$125,3,Cleaned!DN$2:DN$125))</f>
        <v>15.05</v>
      </c>
    </row>
    <row r="2393" customFormat="false" ht="15" hidden="false" customHeight="false" outlineLevel="0" collapsed="false">
      <c r="A2393" s="12" t="s">
        <v>707</v>
      </c>
      <c r="B2393" s="12" t="n">
        <f aca="false">COUNTIFS(Cleaned!$D$2:$D$125,4,Cleaned!DN$2:DN$125,"&lt;&gt;")</f>
        <v>4</v>
      </c>
      <c r="C2393" s="15" t="n">
        <f aca="false">IF(B2393=0,"",AVERAGEIF(Cleaned!$D$2:$D$125,4,Cleaned!DN$2:DN$125))</f>
        <v>4.075</v>
      </c>
    </row>
    <row r="2394" customFormat="false" ht="15" hidden="false" customHeight="false" outlineLevel="0" collapsed="false">
      <c r="A2394" s="12" t="s">
        <v>708</v>
      </c>
      <c r="B2394" s="12" t="n">
        <f aca="false">COUNTIFS(Cleaned!$D$2:$D$125,5,Cleaned!DN$2:DN$125,"&lt;&gt;")</f>
        <v>0</v>
      </c>
      <c r="C2394" s="15" t="str">
        <f aca="false">IF(B2394=0,"",AVERAGEIF(Cleaned!$D$2:$D$125,5,Cleaned!DN$2:DN$125))</f>
        <v/>
      </c>
    </row>
    <row r="2395" customFormat="false" ht="15" hidden="false" customHeight="false" outlineLevel="0" collapsed="false">
      <c r="A2395" s="12" t="s">
        <v>709</v>
      </c>
      <c r="B2395" s="12" t="n">
        <f aca="false">COUNTIFS(Cleaned!$D$2:$D$125,6,Cleaned!DN$2:DN$125,"&lt;&gt;")</f>
        <v>1</v>
      </c>
      <c r="C2395" s="15" t="n">
        <f aca="false">IF(B2395=0,"",AVERAGEIF(Cleaned!$D$2:$D$125,6,Cleaned!DN$2:DN$125))</f>
        <v>3</v>
      </c>
    </row>
    <row r="2396" customFormat="false" ht="15" hidden="false" customHeight="false" outlineLevel="0" collapsed="false">
      <c r="A2396" s="12" t="s">
        <v>710</v>
      </c>
      <c r="B2396" s="12" t="n">
        <f aca="false">COUNTIFS(Cleaned!$D$2:$D$125,7,Cleaned!DN$2:DN$125,"&lt;&gt;")</f>
        <v>3</v>
      </c>
      <c r="C2396" s="15" t="n">
        <f aca="false">IF(B2396=0,"",AVERAGEIF(Cleaned!$D$2:$D$125,7,Cleaned!DN$2:DN$125))</f>
        <v>7.98</v>
      </c>
    </row>
    <row r="2397" customFormat="false" ht="15" hidden="false" customHeight="false" outlineLevel="0" collapsed="false">
      <c r="A2397" s="12" t="s">
        <v>711</v>
      </c>
      <c r="B2397" s="12" t="n">
        <f aca="false">COUNTIFS(Cleaned!$D$2:$D$125,8,Cleaned!DN$2:DN$125,"&lt;&gt;")</f>
        <v>1</v>
      </c>
      <c r="C2397" s="15" t="n">
        <f aca="false">IF(B2397=0,"",AVERAGEIF(Cleaned!$D$2:$D$125,8,Cleaned!DN$2:DN$125))</f>
        <v>11.03</v>
      </c>
    </row>
    <row r="2398" customFormat="false" ht="15" hidden="false" customHeight="false" outlineLevel="0" collapsed="false">
      <c r="A2398" s="12" t="s">
        <v>712</v>
      </c>
      <c r="B2398" s="12" t="n">
        <f aca="false">COUNTIFS(Cleaned!$D$2:$D$125,9,Cleaned!DN$2:DN$125,"&lt;&gt;")</f>
        <v>1</v>
      </c>
      <c r="C2398" s="15" t="n">
        <f aca="false">IF(B2398=0,"",AVERAGEIF(Cleaned!$D$2:$D$125,9,Cleaned!DN$2:DN$125))</f>
        <v>9.03</v>
      </c>
    </row>
    <row r="2399" customFormat="false" ht="15" hidden="false" customHeight="false" outlineLevel="0" collapsed="false">
      <c r="A2399" s="12" t="s">
        <v>713</v>
      </c>
      <c r="B2399" s="12" t="n">
        <f aca="false">COUNTIFS(Cleaned!$D$2:$D$125,10,Cleaned!DN$2:DN$125,"&lt;&gt;")</f>
        <v>0</v>
      </c>
      <c r="C2399" s="15" t="str">
        <f aca="false">IF(B2399=0,"",AVERAGEIF(Cleaned!$D$2:$D$125,10,Cleaned!DN$2:DN$125))</f>
        <v/>
      </c>
    </row>
    <row r="2400" customFormat="false" ht="15" hidden="false" customHeight="false" outlineLevel="0" collapsed="false">
      <c r="A2400" s="12" t="s">
        <v>714</v>
      </c>
      <c r="B2400" s="12" t="n">
        <f aca="false">COUNTIFS(Cleaned!$D$2:$D$125,11,Cleaned!DN$2:DN$125,"&lt;&gt;")</f>
        <v>0</v>
      </c>
      <c r="C2400" s="15" t="str">
        <f aca="false">IF(B2400=0,"",AVERAGEIF(Cleaned!$D$2:$D$125,11,Cleaned!DN$2:DN$125))</f>
        <v/>
      </c>
    </row>
    <row r="2401" customFormat="false" ht="15" hidden="false" customHeight="false" outlineLevel="0" collapsed="false">
      <c r="A2401" s="12" t="s">
        <v>715</v>
      </c>
      <c r="B2401" s="12" t="n">
        <f aca="false">COUNTIFS(Cleaned!$D$2:$D$125,12,Cleaned!DN$2:DN$125,"&lt;&gt;")</f>
        <v>0</v>
      </c>
      <c r="C2401" s="15" t="str">
        <f aca="false">IF(B2401=0,"",AVERAGEIF(Cleaned!$D$2:$D$125,12,Cleaned!DN$2:DN$125))</f>
        <v/>
      </c>
    </row>
    <row r="2404" customFormat="false" ht="15" hidden="false" customHeight="false" outlineLevel="0" collapsed="false">
      <c r="A2404" s="6" t="s">
        <v>118</v>
      </c>
      <c r="B2404" s="7" t="s">
        <v>840</v>
      </c>
    </row>
    <row r="2405" customFormat="false" ht="15" hidden="false" customHeight="false" outlineLevel="0" collapsed="false">
      <c r="A2405" s="8"/>
      <c r="B2405" s="9" t="s">
        <v>726</v>
      </c>
      <c r="C2405" s="8"/>
      <c r="D2405" s="9" t="s">
        <v>362</v>
      </c>
      <c r="E2405" s="8"/>
      <c r="F2405" s="9" t="s">
        <v>694</v>
      </c>
    </row>
    <row r="2406" customFormat="false" ht="15" hidden="false" customHeight="false" outlineLevel="0" collapsed="false">
      <c r="B2406" s="10" t="s">
        <v>695</v>
      </c>
      <c r="C2406" s="10" t="s">
        <v>696</v>
      </c>
      <c r="D2406" s="10" t="s">
        <v>695</v>
      </c>
      <c r="E2406" s="10" t="s">
        <v>696</v>
      </c>
    </row>
    <row r="2407" customFormat="false" ht="15" hidden="false" customHeight="false" outlineLevel="0" collapsed="false">
      <c r="A2407" s="11" t="s">
        <v>697</v>
      </c>
    </row>
    <row r="2408" customFormat="false" ht="15" hidden="false" customHeight="false" outlineLevel="0" collapsed="false">
      <c r="A2408" s="12" t="s">
        <v>698</v>
      </c>
      <c r="B2408" s="12" t="n">
        <f aca="false">COUNTIFS(Cleaned!$C$2:$C$125,1,Cleaned!DO$2:DO$125,1)</f>
        <v>10</v>
      </c>
      <c r="C2408" s="13" t="n">
        <f aca="false">IFERROR(B2408/$F2408,"")</f>
        <v>0.833333333333333</v>
      </c>
      <c r="D2408" s="12" t="n">
        <f aca="false">COUNTIFS(Cleaned!$C$2:$C$125,1,Cleaned!DO$2:DO$125,2)</f>
        <v>2</v>
      </c>
      <c r="E2408" s="13" t="n">
        <f aca="false">IFERROR(D2408/$F2408,"")</f>
        <v>0.166666666666667</v>
      </c>
      <c r="F2408" s="12" t="n">
        <f aca="false">B2408+D2408</f>
        <v>12</v>
      </c>
    </row>
    <row r="2409" customFormat="false" ht="15" hidden="false" customHeight="false" outlineLevel="0" collapsed="false">
      <c r="A2409" s="12" t="s">
        <v>699</v>
      </c>
      <c r="B2409" s="12" t="n">
        <f aca="false">COUNTIFS(Cleaned!$C$2:$C$125,2,Cleaned!DO$2:DO$125,1)</f>
        <v>9</v>
      </c>
      <c r="C2409" s="13" t="n">
        <f aca="false">IFERROR(B2409/$F2409,"")</f>
        <v>1</v>
      </c>
      <c r="D2409" s="12" t="n">
        <f aca="false">COUNTIFS(Cleaned!$C$2:$C$125,2,Cleaned!DO$2:DO$125,2)</f>
        <v>0</v>
      </c>
      <c r="E2409" s="13" t="n">
        <f aca="false">IFERROR(D2409/$F2409,"")</f>
        <v>0</v>
      </c>
      <c r="F2409" s="12" t="n">
        <f aca="false">B2409+D2409</f>
        <v>9</v>
      </c>
    </row>
    <row r="2410" customFormat="false" ht="15" hidden="false" customHeight="false" outlineLevel="0" collapsed="false">
      <c r="A2410" s="12" t="s">
        <v>700</v>
      </c>
      <c r="B2410" s="12" t="n">
        <f aca="false">COUNTIFS(Cleaned!$C$2:$C$125,3,Cleaned!DO$2:DO$125,1)</f>
        <v>12</v>
      </c>
      <c r="C2410" s="13" t="n">
        <f aca="false">IFERROR(B2410/$F2410,"")</f>
        <v>0.923076923076923</v>
      </c>
      <c r="D2410" s="12" t="n">
        <f aca="false">COUNTIFS(Cleaned!$C$2:$C$125,3,Cleaned!DO$2:DO$125,2)</f>
        <v>1</v>
      </c>
      <c r="E2410" s="13" t="n">
        <f aca="false">IFERROR(D2410/$F2410,"")</f>
        <v>0.0769230769230769</v>
      </c>
      <c r="F2410" s="12" t="n">
        <f aca="false">B2410+D2410</f>
        <v>13</v>
      </c>
    </row>
    <row r="2411" customFormat="false" ht="15" hidden="false" customHeight="false" outlineLevel="0" collapsed="false">
      <c r="A2411" s="12" t="s">
        <v>701</v>
      </c>
      <c r="B2411" s="12" t="n">
        <f aca="false">COUNTIFS(Cleaned!$C$2:$C$125,4,Cleaned!DO$2:DO$125,1)</f>
        <v>10</v>
      </c>
      <c r="C2411" s="13" t="n">
        <f aca="false">IFERROR(B2411/$F2411,"")</f>
        <v>0.909090909090909</v>
      </c>
      <c r="D2411" s="12" t="n">
        <f aca="false">COUNTIFS(Cleaned!$C$2:$C$125,4,Cleaned!DO$2:DO$125,2)</f>
        <v>1</v>
      </c>
      <c r="E2411" s="13" t="n">
        <f aca="false">IFERROR(D2411/$F2411,"")</f>
        <v>0.0909090909090909</v>
      </c>
      <c r="F2411" s="12" t="n">
        <f aca="false">B2411+D2411</f>
        <v>11</v>
      </c>
    </row>
    <row r="2412" customFormat="false" ht="15" hidden="false" customHeight="false" outlineLevel="0" collapsed="false">
      <c r="A2412" s="12" t="s">
        <v>702</v>
      </c>
      <c r="B2412" s="12" t="n">
        <f aca="false">COUNTIFS(Cleaned!$C$2:$C$125,5,Cleaned!DO$2:DO$125,1)</f>
        <v>21</v>
      </c>
      <c r="C2412" s="13" t="n">
        <f aca="false">IFERROR(B2412/$F2412,"")</f>
        <v>0.954545454545455</v>
      </c>
      <c r="D2412" s="12" t="n">
        <f aca="false">COUNTIFS(Cleaned!$C$2:$C$125,5,Cleaned!DO$2:DO$125,2)</f>
        <v>1</v>
      </c>
      <c r="E2412" s="13" t="n">
        <f aca="false">IFERROR(D2412/$F2412,"")</f>
        <v>0.0454545454545455</v>
      </c>
      <c r="F2412" s="12" t="n">
        <f aca="false">B2412+D2412</f>
        <v>22</v>
      </c>
    </row>
    <row r="2413" customFormat="false" ht="15" hidden="false" customHeight="false" outlineLevel="0" collapsed="false">
      <c r="A2413" s="11" t="s">
        <v>703</v>
      </c>
      <c r="B2413" s="11" t="n">
        <f aca="false">SUM(B2408:B2412)</f>
        <v>62</v>
      </c>
      <c r="C2413" s="14" t="n">
        <f aca="false">IFERROR(B2413/$F2413,"")</f>
        <v>0.925373134328358</v>
      </c>
      <c r="D2413" s="11" t="n">
        <f aca="false">SUM(D2408:D2412)</f>
        <v>5</v>
      </c>
      <c r="E2413" s="14" t="n">
        <f aca="false">IFERROR(D2413/$F2413,"")</f>
        <v>0.0746268656716418</v>
      </c>
      <c r="F2413" s="11" t="n">
        <f aca="false">SUM(F2408:F2412)</f>
        <v>67</v>
      </c>
    </row>
    <row r="2414" customFormat="false" ht="15" hidden="false" customHeight="false" outlineLevel="0" collapsed="false">
      <c r="A2414" s="11" t="s">
        <v>3</v>
      </c>
    </row>
    <row r="2415" customFormat="false" ht="15" hidden="false" customHeight="false" outlineLevel="0" collapsed="false">
      <c r="A2415" s="12" t="s">
        <v>704</v>
      </c>
      <c r="B2415" s="12" t="n">
        <f aca="false">COUNTIFS(Cleaned!$D$2:$D$125,1,Cleaned!DO$2:DO$125,1)</f>
        <v>8</v>
      </c>
      <c r="C2415" s="13" t="n">
        <f aca="false">IFERROR(B2415/$F2415,"")</f>
        <v>0.8</v>
      </c>
      <c r="D2415" s="12" t="n">
        <f aca="false">COUNTIFS(Cleaned!$D$2:$D$125,1,Cleaned!DO$2:DO$125,2)</f>
        <v>2</v>
      </c>
      <c r="E2415" s="13" t="n">
        <f aca="false">IFERROR(D2415/$F2415,"")</f>
        <v>0.2</v>
      </c>
      <c r="F2415" s="12" t="n">
        <f aca="false">B2415+D2415</f>
        <v>10</v>
      </c>
    </row>
    <row r="2416" customFormat="false" ht="15" hidden="false" customHeight="false" outlineLevel="0" collapsed="false">
      <c r="A2416" s="12" t="s">
        <v>705</v>
      </c>
      <c r="B2416" s="12" t="n">
        <f aca="false">COUNTIFS(Cleaned!$D$2:$D$125,2,Cleaned!DO$2:DO$125,1)</f>
        <v>13</v>
      </c>
      <c r="C2416" s="13" t="n">
        <f aca="false">IFERROR(B2416/$F2416,"")</f>
        <v>0.928571428571429</v>
      </c>
      <c r="D2416" s="12" t="n">
        <f aca="false">COUNTIFS(Cleaned!$D$2:$D$125,2,Cleaned!DO$2:DO$125,2)</f>
        <v>1</v>
      </c>
      <c r="E2416" s="13" t="n">
        <f aca="false">IFERROR(D2416/$F2416,"")</f>
        <v>0.0714285714285714</v>
      </c>
      <c r="F2416" s="12" t="n">
        <f aca="false">B2416+D2416</f>
        <v>14</v>
      </c>
    </row>
    <row r="2417" customFormat="false" ht="15" hidden="false" customHeight="false" outlineLevel="0" collapsed="false">
      <c r="A2417" s="12" t="s">
        <v>706</v>
      </c>
      <c r="B2417" s="12" t="n">
        <f aca="false">COUNTIFS(Cleaned!$D$2:$D$125,3,Cleaned!DO$2:DO$125,1)</f>
        <v>9</v>
      </c>
      <c r="C2417" s="13" t="n">
        <f aca="false">IFERROR(B2417/$F2417,"")</f>
        <v>1</v>
      </c>
      <c r="D2417" s="12" t="n">
        <f aca="false">COUNTIFS(Cleaned!$D$2:$D$125,3,Cleaned!DO$2:DO$125,2)</f>
        <v>0</v>
      </c>
      <c r="E2417" s="13" t="n">
        <f aca="false">IFERROR(D2417/$F2417,"")</f>
        <v>0</v>
      </c>
      <c r="F2417" s="12" t="n">
        <f aca="false">B2417+D2417</f>
        <v>9</v>
      </c>
    </row>
    <row r="2418" customFormat="false" ht="15" hidden="false" customHeight="false" outlineLevel="0" collapsed="false">
      <c r="A2418" s="12" t="s">
        <v>707</v>
      </c>
      <c r="B2418" s="12" t="n">
        <f aca="false">COUNTIFS(Cleaned!$D$2:$D$125,4,Cleaned!DO$2:DO$125,1)</f>
        <v>6</v>
      </c>
      <c r="C2418" s="13" t="n">
        <f aca="false">IFERROR(B2418/$F2418,"")</f>
        <v>1</v>
      </c>
      <c r="D2418" s="12" t="n">
        <f aca="false">COUNTIFS(Cleaned!$D$2:$D$125,4,Cleaned!DO$2:DO$125,2)</f>
        <v>0</v>
      </c>
      <c r="E2418" s="13" t="n">
        <f aca="false">IFERROR(D2418/$F2418,"")</f>
        <v>0</v>
      </c>
      <c r="F2418" s="12" t="n">
        <f aca="false">B2418+D2418</f>
        <v>6</v>
      </c>
    </row>
    <row r="2419" customFormat="false" ht="15" hidden="false" customHeight="false" outlineLevel="0" collapsed="false">
      <c r="A2419" s="12" t="s">
        <v>708</v>
      </c>
      <c r="B2419" s="12" t="n">
        <f aca="false">COUNTIFS(Cleaned!$D$2:$D$125,5,Cleaned!DO$2:DO$125,1)</f>
        <v>1</v>
      </c>
      <c r="C2419" s="13" t="n">
        <f aca="false">IFERROR(B2419/$F2419,"")</f>
        <v>1</v>
      </c>
      <c r="D2419" s="12" t="n">
        <f aca="false">COUNTIFS(Cleaned!$D$2:$D$125,5,Cleaned!DO$2:DO$125,2)</f>
        <v>0</v>
      </c>
      <c r="E2419" s="13" t="n">
        <f aca="false">IFERROR(D2419/$F2419,"")</f>
        <v>0</v>
      </c>
      <c r="F2419" s="12" t="n">
        <f aca="false">B2419+D2419</f>
        <v>1</v>
      </c>
    </row>
    <row r="2420" customFormat="false" ht="15" hidden="false" customHeight="false" outlineLevel="0" collapsed="false">
      <c r="A2420" s="12" t="s">
        <v>709</v>
      </c>
      <c r="B2420" s="12" t="n">
        <f aca="false">COUNTIFS(Cleaned!$D$2:$D$125,6,Cleaned!DO$2:DO$125,1)</f>
        <v>2</v>
      </c>
      <c r="C2420" s="13" t="n">
        <f aca="false">IFERROR(B2420/$F2420,"")</f>
        <v>1</v>
      </c>
      <c r="D2420" s="12" t="n">
        <f aca="false">COUNTIFS(Cleaned!$D$2:$D$125,6,Cleaned!DO$2:DO$125,2)</f>
        <v>0</v>
      </c>
      <c r="E2420" s="13" t="n">
        <f aca="false">IFERROR(D2420/$F2420,"")</f>
        <v>0</v>
      </c>
      <c r="F2420" s="12" t="n">
        <f aca="false">B2420+D2420</f>
        <v>2</v>
      </c>
    </row>
    <row r="2421" customFormat="false" ht="15" hidden="false" customHeight="false" outlineLevel="0" collapsed="false">
      <c r="A2421" s="12" t="s">
        <v>710</v>
      </c>
      <c r="B2421" s="12" t="n">
        <f aca="false">COUNTIFS(Cleaned!$D$2:$D$125,7,Cleaned!DO$2:DO$125,1)</f>
        <v>8</v>
      </c>
      <c r="C2421" s="13" t="n">
        <f aca="false">IFERROR(B2421/$F2421,"")</f>
        <v>1</v>
      </c>
      <c r="D2421" s="12" t="n">
        <f aca="false">COUNTIFS(Cleaned!$D$2:$D$125,7,Cleaned!DO$2:DO$125,2)</f>
        <v>0</v>
      </c>
      <c r="E2421" s="13" t="n">
        <f aca="false">IFERROR(D2421/$F2421,"")</f>
        <v>0</v>
      </c>
      <c r="F2421" s="12" t="n">
        <f aca="false">B2421+D2421</f>
        <v>8</v>
      </c>
    </row>
    <row r="2422" customFormat="false" ht="15" hidden="false" customHeight="false" outlineLevel="0" collapsed="false">
      <c r="A2422" s="12" t="s">
        <v>711</v>
      </c>
      <c r="B2422" s="12" t="n">
        <f aca="false">COUNTIFS(Cleaned!$D$2:$D$125,8,Cleaned!DO$2:DO$125,1)</f>
        <v>3</v>
      </c>
      <c r="C2422" s="13" t="n">
        <f aca="false">IFERROR(B2422/$F2422,"")</f>
        <v>0.75</v>
      </c>
      <c r="D2422" s="12" t="n">
        <f aca="false">COUNTIFS(Cleaned!$D$2:$D$125,8,Cleaned!DO$2:DO$125,2)</f>
        <v>1</v>
      </c>
      <c r="E2422" s="13" t="n">
        <f aca="false">IFERROR(D2422/$F2422,"")</f>
        <v>0.25</v>
      </c>
      <c r="F2422" s="12" t="n">
        <f aca="false">B2422+D2422</f>
        <v>4</v>
      </c>
    </row>
    <row r="2423" customFormat="false" ht="15" hidden="false" customHeight="false" outlineLevel="0" collapsed="false">
      <c r="A2423" s="12" t="s">
        <v>712</v>
      </c>
      <c r="B2423" s="12" t="n">
        <f aca="false">COUNTIFS(Cleaned!$D$2:$D$125,9,Cleaned!DO$2:DO$125,1)</f>
        <v>2</v>
      </c>
      <c r="C2423" s="13" t="n">
        <f aca="false">IFERROR(B2423/$F2423,"")</f>
        <v>1</v>
      </c>
      <c r="D2423" s="12" t="n">
        <f aca="false">COUNTIFS(Cleaned!$D$2:$D$125,9,Cleaned!DO$2:DO$125,2)</f>
        <v>0</v>
      </c>
      <c r="E2423" s="13" t="n">
        <f aca="false">IFERROR(D2423/$F2423,"")</f>
        <v>0</v>
      </c>
      <c r="F2423" s="12" t="n">
        <f aca="false">B2423+D2423</f>
        <v>2</v>
      </c>
    </row>
    <row r="2424" customFormat="false" ht="15" hidden="false" customHeight="false" outlineLevel="0" collapsed="false">
      <c r="A2424" s="12" t="s">
        <v>713</v>
      </c>
      <c r="B2424" s="12" t="n">
        <f aca="false">COUNTIFS(Cleaned!$D$2:$D$125,10,Cleaned!DO$2:DO$125,1)</f>
        <v>0</v>
      </c>
      <c r="C2424" s="13" t="str">
        <f aca="false">IFERROR(B2424/$F2424,"")</f>
        <v/>
      </c>
      <c r="D2424" s="12" t="n">
        <f aca="false">COUNTIFS(Cleaned!$D$2:$D$125,10,Cleaned!DO$2:DO$125,2)</f>
        <v>0</v>
      </c>
      <c r="E2424" s="13" t="str">
        <f aca="false">IFERROR(D2424/$F2424,"")</f>
        <v/>
      </c>
      <c r="F2424" s="12" t="n">
        <f aca="false">B2424+D2424</f>
        <v>0</v>
      </c>
    </row>
    <row r="2425" customFormat="false" ht="15" hidden="false" customHeight="false" outlineLevel="0" collapsed="false">
      <c r="A2425" s="12" t="s">
        <v>714</v>
      </c>
      <c r="B2425" s="12" t="n">
        <f aca="false">COUNTIFS(Cleaned!$D$2:$D$125,11,Cleaned!DO$2:DO$125,1)</f>
        <v>6</v>
      </c>
      <c r="C2425" s="13" t="n">
        <f aca="false">IFERROR(B2425/$F2425,"")</f>
        <v>0.857142857142857</v>
      </c>
      <c r="D2425" s="12" t="n">
        <f aca="false">COUNTIFS(Cleaned!$D$2:$D$125,11,Cleaned!DO$2:DO$125,2)</f>
        <v>1</v>
      </c>
      <c r="E2425" s="13" t="n">
        <f aca="false">IFERROR(D2425/$F2425,"")</f>
        <v>0.142857142857143</v>
      </c>
      <c r="F2425" s="12" t="n">
        <f aca="false">B2425+D2425</f>
        <v>7</v>
      </c>
    </row>
    <row r="2426" customFormat="false" ht="15" hidden="false" customHeight="false" outlineLevel="0" collapsed="false">
      <c r="A2426" s="12" t="s">
        <v>715</v>
      </c>
      <c r="B2426" s="12" t="n">
        <f aca="false">COUNTIFS(Cleaned!$D$2:$D$125,12,Cleaned!DO$2:DO$125,1)</f>
        <v>4</v>
      </c>
      <c r="C2426" s="13" t="n">
        <f aca="false">IFERROR(B2426/$F2426,"")</f>
        <v>1</v>
      </c>
      <c r="D2426" s="12" t="n">
        <f aca="false">COUNTIFS(Cleaned!$D$2:$D$125,12,Cleaned!DO$2:DO$125,2)</f>
        <v>0</v>
      </c>
      <c r="E2426" s="13" t="n">
        <f aca="false">IFERROR(D2426/$F2426,"")</f>
        <v>0</v>
      </c>
      <c r="F2426" s="12" t="n">
        <f aca="false">B2426+D2426</f>
        <v>4</v>
      </c>
    </row>
    <row r="2427" customFormat="false" ht="15" hidden="false" customHeight="false" outlineLevel="0" collapsed="false">
      <c r="A2427" s="11" t="s">
        <v>716</v>
      </c>
      <c r="B2427" s="11" t="n">
        <f aca="false">SUM(B2415:B2426)</f>
        <v>62</v>
      </c>
      <c r="C2427" s="14" t="n">
        <f aca="false">IFERROR(B2427/$F2427,"")</f>
        <v>0.925373134328358</v>
      </c>
      <c r="D2427" s="11" t="n">
        <f aca="false">SUM(D2415:D2426)</f>
        <v>5</v>
      </c>
      <c r="E2427" s="14" t="n">
        <f aca="false">IFERROR(D2427/$F2427,"")</f>
        <v>0.0746268656716418</v>
      </c>
      <c r="F2427" s="11" t="n">
        <f aca="false">SUM(F2415:F2426)</f>
        <v>67</v>
      </c>
    </row>
    <row r="2430" customFormat="false" ht="15" hidden="false" customHeight="false" outlineLevel="0" collapsed="false">
      <c r="A2430" s="6" t="s">
        <v>119</v>
      </c>
      <c r="B2430" s="7" t="s">
        <v>841</v>
      </c>
    </row>
    <row r="2431" customFormat="false" ht="15" hidden="false" customHeight="false" outlineLevel="0" collapsed="false">
      <c r="A2431" s="11" t="s">
        <v>734</v>
      </c>
      <c r="B2431" s="9" t="s">
        <v>694</v>
      </c>
      <c r="C2431" s="9" t="s">
        <v>735</v>
      </c>
      <c r="D2431" s="9" t="s">
        <v>736</v>
      </c>
      <c r="E2431" s="9" t="s">
        <v>737</v>
      </c>
      <c r="F2431" s="9" t="s">
        <v>738</v>
      </c>
    </row>
    <row r="2432" customFormat="false" ht="15" hidden="false" customHeight="false" outlineLevel="0" collapsed="false">
      <c r="B2432" s="12" t="n">
        <f aca="false">COUNT(Cleaned!$DP$2:$DP$125)</f>
        <v>46</v>
      </c>
      <c r="C2432" s="12" t="n">
        <f aca="false">IFERROR(AVERAGE(Cleaned!$DP$2:$DP$125),"")</f>
        <v>33368.8043478261</v>
      </c>
      <c r="D2432" s="12" t="n">
        <f aca="false">IFERROR(MEDIAN(Cleaned!$DP$2:$DP$125),"")</f>
        <v>3757.5</v>
      </c>
      <c r="E2432" s="12" t="n">
        <f aca="false">IFERROR(MIN(Cleaned!$DP$2:$DP$125),"")</f>
        <v>80</v>
      </c>
      <c r="F2432" s="12" t="n">
        <f aca="false">IFERROR(MAX(Cleaned!$DP$2:$DP$125),"")</f>
        <v>666200</v>
      </c>
    </row>
    <row r="2433" customFormat="false" ht="15" hidden="false" customHeight="false" outlineLevel="0" collapsed="false">
      <c r="A2433" s="11" t="s">
        <v>697</v>
      </c>
      <c r="B2433" s="9" t="s">
        <v>739</v>
      </c>
      <c r="C2433" s="9" t="s">
        <v>735</v>
      </c>
    </row>
    <row r="2434" customFormat="false" ht="15" hidden="false" customHeight="false" outlineLevel="0" collapsed="false">
      <c r="A2434" s="12" t="s">
        <v>698</v>
      </c>
      <c r="B2434" s="12" t="n">
        <f aca="false">COUNTIFS(Cleaned!$C$2:$C$125,1,Cleaned!DP$2:DP$125,"&lt;&gt;")</f>
        <v>6</v>
      </c>
      <c r="C2434" s="15" t="n">
        <f aca="false">IF(B2434=0,"",AVERAGEIF(Cleaned!$C$2:$C$125,1,Cleaned!DP$2:DP$125))</f>
        <v>194.833333333333</v>
      </c>
    </row>
    <row r="2435" customFormat="false" ht="15" hidden="false" customHeight="false" outlineLevel="0" collapsed="false">
      <c r="A2435" s="12" t="s">
        <v>699</v>
      </c>
      <c r="B2435" s="12" t="n">
        <f aca="false">COUNTIFS(Cleaned!$C$2:$C$125,2,Cleaned!DP$2:DP$125,"&lt;&gt;")</f>
        <v>5</v>
      </c>
      <c r="C2435" s="15" t="n">
        <f aca="false">IF(B2435=0,"",AVERAGEIF(Cleaned!$C$2:$C$125,2,Cleaned!DP$2:DP$125))</f>
        <v>902.6</v>
      </c>
    </row>
    <row r="2436" customFormat="false" ht="15" hidden="false" customHeight="false" outlineLevel="0" collapsed="false">
      <c r="A2436" s="12" t="s">
        <v>700</v>
      </c>
      <c r="B2436" s="12" t="n">
        <f aca="false">COUNTIFS(Cleaned!$C$2:$C$125,3,Cleaned!DP$2:DP$125,"&lt;&gt;")</f>
        <v>10</v>
      </c>
      <c r="C2436" s="15" t="n">
        <f aca="false">IF(B2436=0,"",AVERAGEIF(Cleaned!$C$2:$C$125,3,Cleaned!DP$2:DP$125))</f>
        <v>1932.6</v>
      </c>
    </row>
    <row r="2437" customFormat="false" ht="15" hidden="false" customHeight="false" outlineLevel="0" collapsed="false">
      <c r="A2437" s="12" t="s">
        <v>701</v>
      </c>
      <c r="B2437" s="12" t="n">
        <f aca="false">COUNTIFS(Cleaned!$C$2:$C$125,4,Cleaned!DP$2:DP$125,"&lt;&gt;")</f>
        <v>9</v>
      </c>
      <c r="C2437" s="15" t="n">
        <f aca="false">IF(B2437=0,"",AVERAGEIF(Cleaned!$C$2:$C$125,4,Cleaned!DP$2:DP$125))</f>
        <v>6710.33333333333</v>
      </c>
    </row>
    <row r="2438" customFormat="false" ht="15" hidden="false" customHeight="false" outlineLevel="0" collapsed="false">
      <c r="A2438" s="12" t="s">
        <v>702</v>
      </c>
      <c r="B2438" s="12" t="n">
        <f aca="false">COUNTIFS(Cleaned!$C$2:$C$125,5,Cleaned!DP$2:DP$125,"&lt;&gt;")</f>
        <v>16</v>
      </c>
      <c r="C2438" s="15" t="n">
        <f aca="false">IF(B2438=0,"",AVERAGEIF(Cleaned!$C$2:$C$125,5,Cleaned!DP$2:DP$125))</f>
        <v>90597.75</v>
      </c>
    </row>
    <row r="2439" customFormat="false" ht="15" hidden="false" customHeight="false" outlineLevel="0" collapsed="false">
      <c r="A2439" s="11" t="s">
        <v>3</v>
      </c>
      <c r="B2439" s="9" t="s">
        <v>739</v>
      </c>
      <c r="C2439" s="9" t="s">
        <v>735</v>
      </c>
    </row>
    <row r="2440" customFormat="false" ht="15" hidden="false" customHeight="false" outlineLevel="0" collapsed="false">
      <c r="A2440" s="12" t="s">
        <v>704</v>
      </c>
      <c r="B2440" s="12" t="n">
        <f aca="false">COUNTIFS(Cleaned!$D$2:$D$125,1,Cleaned!DP$2:DP$125,"&lt;&gt;")</f>
        <v>6</v>
      </c>
      <c r="C2440" s="15" t="n">
        <f aca="false">IF(B2440=0,"",AVERAGEIF(Cleaned!$D$2:$D$125,1,Cleaned!DP$2:DP$125))</f>
        <v>1184.66666666667</v>
      </c>
    </row>
    <row r="2441" customFormat="false" ht="15" hidden="false" customHeight="false" outlineLevel="0" collapsed="false">
      <c r="A2441" s="12" t="s">
        <v>705</v>
      </c>
      <c r="B2441" s="12" t="n">
        <f aca="false">COUNTIFS(Cleaned!$D$2:$D$125,2,Cleaned!DP$2:DP$125,"&lt;&gt;")</f>
        <v>11</v>
      </c>
      <c r="C2441" s="15" t="n">
        <f aca="false">IF(B2441=0,"",AVERAGEIF(Cleaned!$D$2:$D$125,2,Cleaned!DP$2:DP$125))</f>
        <v>90329.6363636364</v>
      </c>
    </row>
    <row r="2442" customFormat="false" ht="15" hidden="false" customHeight="false" outlineLevel="0" collapsed="false">
      <c r="A2442" s="12" t="s">
        <v>706</v>
      </c>
      <c r="B2442" s="12" t="n">
        <f aca="false">COUNTIFS(Cleaned!$D$2:$D$125,3,Cleaned!DP$2:DP$125,"&lt;&gt;")</f>
        <v>6</v>
      </c>
      <c r="C2442" s="15" t="n">
        <f aca="false">IF(B2442=0,"",AVERAGEIF(Cleaned!$D$2:$D$125,3,Cleaned!DP$2:DP$125))</f>
        <v>63793.5</v>
      </c>
    </row>
    <row r="2443" customFormat="false" ht="15" hidden="false" customHeight="false" outlineLevel="0" collapsed="false">
      <c r="A2443" s="12" t="s">
        <v>707</v>
      </c>
      <c r="B2443" s="12" t="n">
        <f aca="false">COUNTIFS(Cleaned!$D$2:$D$125,4,Cleaned!DP$2:DP$125,"&lt;&gt;")</f>
        <v>4</v>
      </c>
      <c r="C2443" s="15" t="n">
        <f aca="false">IF(B2443=0,"",AVERAGEIF(Cleaned!$D$2:$D$125,4,Cleaned!DP$2:DP$125))</f>
        <v>4955.5</v>
      </c>
    </row>
    <row r="2444" customFormat="false" ht="15" hidden="false" customHeight="false" outlineLevel="0" collapsed="false">
      <c r="A2444" s="12" t="s">
        <v>708</v>
      </c>
      <c r="B2444" s="12" t="n">
        <f aca="false">COUNTIFS(Cleaned!$D$2:$D$125,5,Cleaned!DP$2:DP$125,"&lt;&gt;")</f>
        <v>1</v>
      </c>
      <c r="C2444" s="15" t="n">
        <f aca="false">IF(B2444=0,"",AVERAGEIF(Cleaned!$D$2:$D$125,5,Cleaned!DP$2:DP$125))</f>
        <v>9598</v>
      </c>
    </row>
    <row r="2445" customFormat="false" ht="15" hidden="false" customHeight="false" outlineLevel="0" collapsed="false">
      <c r="A2445" s="12" t="s">
        <v>709</v>
      </c>
      <c r="B2445" s="12" t="n">
        <f aca="false">COUNTIFS(Cleaned!$D$2:$D$125,6,Cleaned!DP$2:DP$125,"&lt;&gt;")</f>
        <v>2</v>
      </c>
      <c r="C2445" s="15" t="n">
        <f aca="false">IF(B2445=0,"",AVERAGEIF(Cleaned!$D$2:$D$125,6,Cleaned!DP$2:DP$125))</f>
        <v>3801.5</v>
      </c>
    </row>
    <row r="2446" customFormat="false" ht="15" hidden="false" customHeight="false" outlineLevel="0" collapsed="false">
      <c r="A2446" s="12" t="s">
        <v>710</v>
      </c>
      <c r="B2446" s="12" t="n">
        <f aca="false">COUNTIFS(Cleaned!$D$2:$D$125,7,Cleaned!DP$2:DP$125,"&lt;&gt;")</f>
        <v>7</v>
      </c>
      <c r="C2446" s="15" t="n">
        <f aca="false">IF(B2446=0,"",AVERAGEIF(Cleaned!$D$2:$D$125,7,Cleaned!DP$2:DP$125))</f>
        <v>13438.5714285714</v>
      </c>
    </row>
    <row r="2447" customFormat="false" ht="15" hidden="false" customHeight="false" outlineLevel="0" collapsed="false">
      <c r="A2447" s="12" t="s">
        <v>711</v>
      </c>
      <c r="B2447" s="12" t="n">
        <f aca="false">COUNTIFS(Cleaned!$D$2:$D$125,8,Cleaned!DP$2:DP$125,"&lt;&gt;")</f>
        <v>2</v>
      </c>
      <c r="C2447" s="15" t="n">
        <f aca="false">IF(B2447=0,"",AVERAGEIF(Cleaned!$D$2:$D$125,8,Cleaned!DP$2:DP$125))</f>
        <v>4425.5</v>
      </c>
    </row>
    <row r="2448" customFormat="false" ht="15" hidden="false" customHeight="false" outlineLevel="0" collapsed="false">
      <c r="A2448" s="12" t="s">
        <v>712</v>
      </c>
      <c r="B2448" s="12" t="n">
        <f aca="false">COUNTIFS(Cleaned!$D$2:$D$125,9,Cleaned!DP$2:DP$125,"&lt;&gt;")</f>
        <v>1</v>
      </c>
      <c r="C2448" s="15" t="n">
        <f aca="false">IF(B2448=0,"",AVERAGEIF(Cleaned!$D$2:$D$125,9,Cleaned!DP$2:DP$125))</f>
        <v>114</v>
      </c>
    </row>
    <row r="2449" customFormat="false" ht="15" hidden="false" customHeight="false" outlineLevel="0" collapsed="false">
      <c r="A2449" s="12" t="s">
        <v>713</v>
      </c>
      <c r="B2449" s="12" t="n">
        <f aca="false">COUNTIFS(Cleaned!$D$2:$D$125,10,Cleaned!DP$2:DP$125,"&lt;&gt;")</f>
        <v>0</v>
      </c>
      <c r="C2449" s="15" t="str">
        <f aca="false">IF(B2449=0,"",AVERAGEIF(Cleaned!$D$2:$D$125,10,Cleaned!DP$2:DP$125))</f>
        <v/>
      </c>
    </row>
    <row r="2450" customFormat="false" ht="15" hidden="false" customHeight="false" outlineLevel="0" collapsed="false">
      <c r="A2450" s="12" t="s">
        <v>714</v>
      </c>
      <c r="B2450" s="12" t="n">
        <f aca="false">COUNTIFS(Cleaned!$D$2:$D$125,11,Cleaned!DP$2:DP$125,"&lt;&gt;")</f>
        <v>3</v>
      </c>
      <c r="C2450" s="15" t="n">
        <f aca="false">IF(B2450=0,"",AVERAGEIF(Cleaned!$D$2:$D$125,11,Cleaned!DP$2:DP$125))</f>
        <v>3496.33333333333</v>
      </c>
    </row>
    <row r="2451" customFormat="false" ht="15" hidden="false" customHeight="false" outlineLevel="0" collapsed="false">
      <c r="A2451" s="12" t="s">
        <v>715</v>
      </c>
      <c r="B2451" s="12" t="n">
        <f aca="false">COUNTIFS(Cleaned!$D$2:$D$125,12,Cleaned!DP$2:DP$125,"&lt;&gt;")</f>
        <v>3</v>
      </c>
      <c r="C2451" s="15" t="n">
        <f aca="false">IF(B2451=0,"",AVERAGEIF(Cleaned!$D$2:$D$125,12,Cleaned!DP$2:DP$125))</f>
        <v>307.666666666667</v>
      </c>
    </row>
    <row r="2454" customFormat="false" ht="15" hidden="false" customHeight="false" outlineLevel="0" collapsed="false">
      <c r="A2454" s="6" t="s">
        <v>120</v>
      </c>
      <c r="B2454" s="7" t="s">
        <v>842</v>
      </c>
    </row>
    <row r="2455" customFormat="false" ht="15" hidden="false" customHeight="false" outlineLevel="0" collapsed="false">
      <c r="A2455" s="11" t="s">
        <v>734</v>
      </c>
      <c r="B2455" s="9" t="s">
        <v>694</v>
      </c>
      <c r="C2455" s="9" t="s">
        <v>735</v>
      </c>
      <c r="D2455" s="9" t="s">
        <v>736</v>
      </c>
      <c r="E2455" s="9" t="s">
        <v>737</v>
      </c>
      <c r="F2455" s="9" t="s">
        <v>738</v>
      </c>
    </row>
    <row r="2456" customFormat="false" ht="15" hidden="false" customHeight="false" outlineLevel="0" collapsed="false">
      <c r="B2456" s="12" t="n">
        <f aca="false">COUNT(Cleaned!$DQ$2:$DQ$125)</f>
        <v>31</v>
      </c>
      <c r="C2456" s="12" t="n">
        <f aca="false">IFERROR(AVERAGE(Cleaned!$DQ$2:$DQ$125),"")</f>
        <v>13907.8387096774</v>
      </c>
      <c r="D2456" s="12" t="n">
        <f aca="false">IFERROR(MEDIAN(Cleaned!$DQ$2:$DQ$125),"")</f>
        <v>60</v>
      </c>
      <c r="E2456" s="12" t="n">
        <f aca="false">IFERROR(MIN(Cleaned!$DQ$2:$DQ$125),"")</f>
        <v>0</v>
      </c>
      <c r="F2456" s="12" t="n">
        <f aca="false">IFERROR(MAX(Cleaned!$DQ$2:$DQ$125),"")</f>
        <v>351000</v>
      </c>
    </row>
    <row r="2457" customFormat="false" ht="15" hidden="false" customHeight="false" outlineLevel="0" collapsed="false">
      <c r="A2457" s="11" t="s">
        <v>697</v>
      </c>
      <c r="B2457" s="9" t="s">
        <v>739</v>
      </c>
      <c r="C2457" s="9" t="s">
        <v>735</v>
      </c>
    </row>
    <row r="2458" customFormat="false" ht="15" hidden="false" customHeight="false" outlineLevel="0" collapsed="false">
      <c r="A2458" s="12" t="s">
        <v>698</v>
      </c>
      <c r="B2458" s="12" t="n">
        <f aca="false">COUNTIFS(Cleaned!$C$2:$C$125,1,Cleaned!DQ$2:DQ$125,"&lt;&gt;")</f>
        <v>4</v>
      </c>
      <c r="C2458" s="15" t="n">
        <f aca="false">IF(B2458=0,"",AVERAGEIF(Cleaned!$C$2:$C$125,1,Cleaned!DQ$2:DQ$125))</f>
        <v>159.25</v>
      </c>
    </row>
    <row r="2459" customFormat="false" ht="15" hidden="false" customHeight="false" outlineLevel="0" collapsed="false">
      <c r="A2459" s="12" t="s">
        <v>699</v>
      </c>
      <c r="B2459" s="12" t="n">
        <f aca="false">COUNTIFS(Cleaned!$C$2:$C$125,2,Cleaned!DQ$2:DQ$125,"&lt;&gt;")</f>
        <v>3</v>
      </c>
      <c r="C2459" s="15" t="n">
        <f aca="false">IF(B2459=0,"",AVERAGEIF(Cleaned!$C$2:$C$125,2,Cleaned!DQ$2:DQ$125))</f>
        <v>43.3333333333333</v>
      </c>
    </row>
    <row r="2460" customFormat="false" ht="15" hidden="false" customHeight="false" outlineLevel="0" collapsed="false">
      <c r="A2460" s="12" t="s">
        <v>700</v>
      </c>
      <c r="B2460" s="12" t="n">
        <f aca="false">COUNTIFS(Cleaned!$C$2:$C$125,3,Cleaned!DQ$2:DQ$125,"&lt;&gt;")</f>
        <v>7</v>
      </c>
      <c r="C2460" s="15" t="n">
        <f aca="false">IF(B2460=0,"",AVERAGEIF(Cleaned!$C$2:$C$125,3,Cleaned!DQ$2:DQ$125))</f>
        <v>89</v>
      </c>
    </row>
    <row r="2461" customFormat="false" ht="15" hidden="false" customHeight="false" outlineLevel="0" collapsed="false">
      <c r="A2461" s="12" t="s">
        <v>701</v>
      </c>
      <c r="B2461" s="12" t="n">
        <f aca="false">COUNTIFS(Cleaned!$C$2:$C$125,4,Cleaned!DQ$2:DQ$125,"&lt;&gt;")</f>
        <v>7</v>
      </c>
      <c r="C2461" s="15" t="n">
        <f aca="false">IF(B2461=0,"",AVERAGEIF(Cleaned!$C$2:$C$125,4,Cleaned!DQ$2:DQ$125))</f>
        <v>108.714285714286</v>
      </c>
    </row>
    <row r="2462" customFormat="false" ht="15" hidden="false" customHeight="false" outlineLevel="0" collapsed="false">
      <c r="A2462" s="12" t="s">
        <v>702</v>
      </c>
      <c r="B2462" s="12" t="n">
        <f aca="false">COUNTIFS(Cleaned!$C$2:$C$125,5,Cleaned!DQ$2:DQ$125,"&lt;&gt;")</f>
        <v>10</v>
      </c>
      <c r="C2462" s="15" t="n">
        <f aca="false">IF(B2462=0,"",AVERAGEIF(Cleaned!$C$2:$C$125,5,Cleaned!DQ$2:DQ$125))</f>
        <v>42899.2</v>
      </c>
    </row>
    <row r="2463" customFormat="false" ht="15" hidden="false" customHeight="false" outlineLevel="0" collapsed="false">
      <c r="A2463" s="11" t="s">
        <v>3</v>
      </c>
      <c r="B2463" s="9" t="s">
        <v>739</v>
      </c>
      <c r="C2463" s="9" t="s">
        <v>735</v>
      </c>
    </row>
    <row r="2464" customFormat="false" ht="15" hidden="false" customHeight="false" outlineLevel="0" collapsed="false">
      <c r="A2464" s="12" t="s">
        <v>704</v>
      </c>
      <c r="B2464" s="12" t="n">
        <f aca="false">COUNTIFS(Cleaned!$D$2:$D$125,1,Cleaned!DQ$2:DQ$125,"&lt;&gt;")</f>
        <v>5</v>
      </c>
      <c r="C2464" s="15" t="n">
        <f aca="false">IF(B2464=0,"",AVERAGEIF(Cleaned!$D$2:$D$125,1,Cleaned!DQ$2:DQ$125))</f>
        <v>208.4</v>
      </c>
    </row>
    <row r="2465" customFormat="false" ht="15" hidden="false" customHeight="false" outlineLevel="0" collapsed="false">
      <c r="A2465" s="12" t="s">
        <v>705</v>
      </c>
      <c r="B2465" s="12" t="n">
        <f aca="false">COUNTIFS(Cleaned!$D$2:$D$125,2,Cleaned!DQ$2:DQ$125,"&lt;&gt;")</f>
        <v>7</v>
      </c>
      <c r="C2465" s="15" t="n">
        <f aca="false">IF(B2465=0,"",AVERAGEIF(Cleaned!$D$2:$D$125,2,Cleaned!DQ$2:DQ$125))</f>
        <v>50211.2857142857</v>
      </c>
    </row>
    <row r="2466" customFormat="false" ht="15" hidden="false" customHeight="false" outlineLevel="0" collapsed="false">
      <c r="A2466" s="12" t="s">
        <v>706</v>
      </c>
      <c r="B2466" s="12" t="n">
        <f aca="false">COUNTIFS(Cleaned!$D$2:$D$125,3,Cleaned!DQ$2:DQ$125,"&lt;&gt;")</f>
        <v>5</v>
      </c>
      <c r="C2466" s="15" t="n">
        <f aca="false">IF(B2466=0,"",AVERAGEIF(Cleaned!$D$2:$D$125,3,Cleaned!DQ$2:DQ$125))</f>
        <v>14323.6</v>
      </c>
    </row>
    <row r="2467" customFormat="false" ht="15" hidden="false" customHeight="false" outlineLevel="0" collapsed="false">
      <c r="A2467" s="12" t="s">
        <v>707</v>
      </c>
      <c r="B2467" s="12" t="n">
        <f aca="false">COUNTIFS(Cleaned!$D$2:$D$125,4,Cleaned!DQ$2:DQ$125,"&lt;&gt;")</f>
        <v>3</v>
      </c>
      <c r="C2467" s="15" t="n">
        <f aca="false">IF(B2467=0,"",AVERAGEIF(Cleaned!$D$2:$D$125,4,Cleaned!DQ$2:DQ$125))</f>
        <v>0</v>
      </c>
    </row>
    <row r="2468" customFormat="false" ht="15" hidden="false" customHeight="false" outlineLevel="0" collapsed="false">
      <c r="A2468" s="12" t="s">
        <v>708</v>
      </c>
      <c r="B2468" s="12" t="n">
        <f aca="false">COUNTIFS(Cleaned!$D$2:$D$125,5,Cleaned!DQ$2:DQ$125,"&lt;&gt;")</f>
        <v>1</v>
      </c>
      <c r="C2468" s="15" t="n">
        <f aca="false">IF(B2468=0,"",AVERAGEIF(Cleaned!$D$2:$D$125,5,Cleaned!DQ$2:DQ$125))</f>
        <v>2</v>
      </c>
    </row>
    <row r="2469" customFormat="false" ht="15" hidden="false" customHeight="false" outlineLevel="0" collapsed="false">
      <c r="A2469" s="12" t="s">
        <v>709</v>
      </c>
      <c r="B2469" s="12" t="n">
        <f aca="false">COUNTIFS(Cleaned!$D$2:$D$125,6,Cleaned!DQ$2:DQ$125,"&lt;&gt;")</f>
        <v>1</v>
      </c>
      <c r="C2469" s="15" t="n">
        <f aca="false">IF(B2469=0,"",AVERAGEIF(Cleaned!$D$2:$D$125,6,Cleaned!DQ$2:DQ$125))</f>
        <v>351</v>
      </c>
    </row>
    <row r="2470" customFormat="false" ht="15" hidden="false" customHeight="false" outlineLevel="0" collapsed="false">
      <c r="A2470" s="12" t="s">
        <v>710</v>
      </c>
      <c r="B2470" s="12" t="n">
        <f aca="false">COUNTIFS(Cleaned!$D$2:$D$125,7,Cleaned!DQ$2:DQ$125,"&lt;&gt;")</f>
        <v>2</v>
      </c>
      <c r="C2470" s="15" t="n">
        <f aca="false">IF(B2470=0,"",AVERAGEIF(Cleaned!$D$2:$D$125,7,Cleaned!DQ$2:DQ$125))</f>
        <v>3026.5</v>
      </c>
    </row>
    <row r="2471" customFormat="false" ht="15" hidden="false" customHeight="false" outlineLevel="0" collapsed="false">
      <c r="A2471" s="12" t="s">
        <v>711</v>
      </c>
      <c r="B2471" s="12" t="n">
        <f aca="false">COUNTIFS(Cleaned!$D$2:$D$125,8,Cleaned!DQ$2:DQ$125,"&lt;&gt;")</f>
        <v>2</v>
      </c>
      <c r="C2471" s="15" t="n">
        <f aca="false">IF(B2471=0,"",AVERAGEIF(Cleaned!$D$2:$D$125,8,Cleaned!DQ$2:DQ$125))</f>
        <v>179</v>
      </c>
    </row>
    <row r="2472" customFormat="false" ht="15" hidden="false" customHeight="false" outlineLevel="0" collapsed="false">
      <c r="A2472" s="12" t="s">
        <v>712</v>
      </c>
      <c r="B2472" s="12" t="n">
        <f aca="false">COUNTIFS(Cleaned!$D$2:$D$125,9,Cleaned!DQ$2:DQ$125,"&lt;&gt;")</f>
        <v>0</v>
      </c>
      <c r="C2472" s="15" t="str">
        <f aca="false">IF(B2472=0,"",AVERAGEIF(Cleaned!$D$2:$D$125,9,Cleaned!DQ$2:DQ$125))</f>
        <v/>
      </c>
    </row>
    <row r="2473" customFormat="false" ht="15" hidden="false" customHeight="false" outlineLevel="0" collapsed="false">
      <c r="A2473" s="12" t="s">
        <v>713</v>
      </c>
      <c r="B2473" s="12" t="n">
        <f aca="false">COUNTIFS(Cleaned!$D$2:$D$125,10,Cleaned!DQ$2:DQ$125,"&lt;&gt;")</f>
        <v>0</v>
      </c>
      <c r="C2473" s="15" t="str">
        <f aca="false">IF(B2473=0,"",AVERAGEIF(Cleaned!$D$2:$D$125,10,Cleaned!DQ$2:DQ$125))</f>
        <v/>
      </c>
    </row>
    <row r="2474" customFormat="false" ht="15" hidden="false" customHeight="false" outlineLevel="0" collapsed="false">
      <c r="A2474" s="12" t="s">
        <v>714</v>
      </c>
      <c r="B2474" s="12" t="n">
        <f aca="false">COUNTIFS(Cleaned!$D$2:$D$125,11,Cleaned!DQ$2:DQ$125,"&lt;&gt;")</f>
        <v>3</v>
      </c>
      <c r="C2474" s="15" t="n">
        <f aca="false">IF(B2474=0,"",AVERAGEIF(Cleaned!$D$2:$D$125,11,Cleaned!DQ$2:DQ$125))</f>
        <v>70</v>
      </c>
    </row>
    <row r="2475" customFormat="false" ht="15" hidden="false" customHeight="false" outlineLevel="0" collapsed="false">
      <c r="A2475" s="12" t="s">
        <v>715</v>
      </c>
      <c r="B2475" s="12" t="n">
        <f aca="false">COUNTIFS(Cleaned!$D$2:$D$125,12,Cleaned!DQ$2:DQ$125,"&lt;&gt;")</f>
        <v>2</v>
      </c>
      <c r="C2475" s="15" t="n">
        <f aca="false">IF(B2475=0,"",AVERAGEIF(Cleaned!$D$2:$D$125,12,Cleaned!DQ$2:DQ$125))</f>
        <v>15</v>
      </c>
    </row>
    <row r="2478" customFormat="false" ht="15" hidden="false" customHeight="false" outlineLevel="0" collapsed="false">
      <c r="A2478" s="6" t="s">
        <v>121</v>
      </c>
      <c r="B2478" s="7" t="s">
        <v>843</v>
      </c>
    </row>
    <row r="2479" customFormat="false" ht="15" hidden="false" customHeight="false" outlineLevel="0" collapsed="false">
      <c r="A2479" s="11" t="s">
        <v>734</v>
      </c>
      <c r="B2479" s="9" t="s">
        <v>694</v>
      </c>
      <c r="C2479" s="9" t="s">
        <v>735</v>
      </c>
      <c r="D2479" s="9" t="s">
        <v>736</v>
      </c>
      <c r="E2479" s="9" t="s">
        <v>737</v>
      </c>
      <c r="F2479" s="9" t="s">
        <v>738</v>
      </c>
    </row>
    <row r="2480" customFormat="false" ht="15" hidden="false" customHeight="false" outlineLevel="0" collapsed="false">
      <c r="B2480" s="12" t="n">
        <f aca="false">COUNT(Cleaned!$DR$2:$DR$125)</f>
        <v>24</v>
      </c>
      <c r="C2480" s="12" t="n">
        <f aca="false">IFERROR(AVERAGE(Cleaned!$DR$2:$DR$125),"")</f>
        <v>52363.6666666667</v>
      </c>
      <c r="D2480" s="12" t="n">
        <f aca="false">IFERROR(MEDIAN(Cleaned!$DR$2:$DR$125),"")</f>
        <v>6265</v>
      </c>
      <c r="E2480" s="12" t="n">
        <f aca="false">IFERROR(MIN(Cleaned!$DR$2:$DR$125),"")</f>
        <v>0</v>
      </c>
      <c r="F2480" s="12" t="n">
        <f aca="false">IFERROR(MAX(Cleaned!$DR$2:$DR$125),"")</f>
        <v>666200</v>
      </c>
    </row>
    <row r="2481" customFormat="false" ht="15" hidden="false" customHeight="false" outlineLevel="0" collapsed="false">
      <c r="A2481" s="11" t="s">
        <v>697</v>
      </c>
      <c r="B2481" s="9" t="s">
        <v>739</v>
      </c>
      <c r="C2481" s="9" t="s">
        <v>735</v>
      </c>
    </row>
    <row r="2482" customFormat="false" ht="15" hidden="false" customHeight="false" outlineLevel="0" collapsed="false">
      <c r="A2482" s="12" t="s">
        <v>698</v>
      </c>
      <c r="B2482" s="12" t="n">
        <f aca="false">COUNTIFS(Cleaned!$C$2:$C$125,1,Cleaned!DR$2:DR$125,"&lt;&gt;")</f>
        <v>3</v>
      </c>
      <c r="C2482" s="15" t="n">
        <f aca="false">IF(B2482=0,"",AVERAGEIF(Cleaned!$C$2:$C$125,1,Cleaned!DR$2:DR$125))</f>
        <v>167.666666666667</v>
      </c>
    </row>
    <row r="2483" customFormat="false" ht="15" hidden="false" customHeight="false" outlineLevel="0" collapsed="false">
      <c r="A2483" s="12" t="s">
        <v>699</v>
      </c>
      <c r="B2483" s="12" t="n">
        <f aca="false">COUNTIFS(Cleaned!$C$2:$C$125,2,Cleaned!DR$2:DR$125,"&lt;&gt;")</f>
        <v>3</v>
      </c>
      <c r="C2483" s="15" t="n">
        <f aca="false">IF(B2483=0,"",AVERAGEIF(Cleaned!$C$2:$C$125,2,Cleaned!DR$2:DR$125))</f>
        <v>914.333333333333</v>
      </c>
    </row>
    <row r="2484" customFormat="false" ht="15" hidden="false" customHeight="false" outlineLevel="0" collapsed="false">
      <c r="A2484" s="12" t="s">
        <v>700</v>
      </c>
      <c r="B2484" s="12" t="n">
        <f aca="false">COUNTIFS(Cleaned!$C$2:$C$125,3,Cleaned!DR$2:DR$125,"&lt;&gt;")</f>
        <v>4</v>
      </c>
      <c r="C2484" s="15" t="n">
        <f aca="false">IF(B2484=0,"",AVERAGEIF(Cleaned!$C$2:$C$125,3,Cleaned!DR$2:DR$125))</f>
        <v>2319</v>
      </c>
    </row>
    <row r="2485" customFormat="false" ht="15" hidden="false" customHeight="false" outlineLevel="0" collapsed="false">
      <c r="A2485" s="12" t="s">
        <v>701</v>
      </c>
      <c r="B2485" s="12" t="n">
        <f aca="false">COUNTIFS(Cleaned!$C$2:$C$125,4,Cleaned!DR$2:DR$125,"&lt;&gt;")</f>
        <v>5</v>
      </c>
      <c r="C2485" s="15" t="n">
        <f aca="false">IF(B2485=0,"",AVERAGEIF(Cleaned!$C$2:$C$125,4,Cleaned!DR$2:DR$125))</f>
        <v>9499.2</v>
      </c>
    </row>
    <row r="2486" customFormat="false" ht="15" hidden="false" customHeight="false" outlineLevel="0" collapsed="false">
      <c r="A2486" s="12" t="s">
        <v>702</v>
      </c>
      <c r="B2486" s="12" t="n">
        <f aca="false">COUNTIFS(Cleaned!$C$2:$C$125,5,Cleaned!DR$2:DR$125,"&lt;&gt;")</f>
        <v>9</v>
      </c>
      <c r="C2486" s="15" t="n">
        <f aca="false">IF(B2486=0,"",AVERAGEIF(Cleaned!$C$2:$C$125,5,Cleaned!DR$2:DR$125))</f>
        <v>132967.777777778</v>
      </c>
    </row>
    <row r="2487" customFormat="false" ht="15" hidden="false" customHeight="false" outlineLevel="0" collapsed="false">
      <c r="A2487" s="11" t="s">
        <v>3</v>
      </c>
      <c r="B2487" s="9" t="s">
        <v>739</v>
      </c>
      <c r="C2487" s="9" t="s">
        <v>735</v>
      </c>
    </row>
    <row r="2488" customFormat="false" ht="15" hidden="false" customHeight="false" outlineLevel="0" collapsed="false">
      <c r="A2488" s="12" t="s">
        <v>704</v>
      </c>
      <c r="B2488" s="12" t="n">
        <f aca="false">COUNTIFS(Cleaned!$D$2:$D$125,1,Cleaned!DR$2:DR$125,"&lt;&gt;")</f>
        <v>2</v>
      </c>
      <c r="C2488" s="15" t="n">
        <f aca="false">IF(B2488=0,"",AVERAGEIF(Cleaned!$D$2:$D$125,1,Cleaned!DR$2:DR$125))</f>
        <v>1329.5</v>
      </c>
    </row>
    <row r="2489" customFormat="false" ht="15" hidden="false" customHeight="false" outlineLevel="0" collapsed="false">
      <c r="A2489" s="12" t="s">
        <v>705</v>
      </c>
      <c r="B2489" s="12" t="n">
        <f aca="false">COUNTIFS(Cleaned!$D$2:$D$125,2,Cleaned!DR$2:DR$125,"&lt;&gt;")</f>
        <v>6</v>
      </c>
      <c r="C2489" s="15" t="n">
        <f aca="false">IF(B2489=0,"",AVERAGEIF(Cleaned!$D$2:$D$125,2,Cleaned!DR$2:DR$125))</f>
        <v>137275.333333333</v>
      </c>
    </row>
    <row r="2490" customFormat="false" ht="15" hidden="false" customHeight="false" outlineLevel="0" collapsed="false">
      <c r="A2490" s="12" t="s">
        <v>706</v>
      </c>
      <c r="B2490" s="12" t="n">
        <f aca="false">COUNTIFS(Cleaned!$D$2:$D$125,3,Cleaned!DR$2:DR$125,"&lt;&gt;")</f>
        <v>4</v>
      </c>
      <c r="C2490" s="15" t="n">
        <f aca="false">IF(B2490=0,"",AVERAGEIF(Cleaned!$D$2:$D$125,3,Cleaned!DR$2:DR$125))</f>
        <v>95308.5</v>
      </c>
    </row>
    <row r="2491" customFormat="false" ht="15" hidden="false" customHeight="false" outlineLevel="0" collapsed="false">
      <c r="A2491" s="12" t="s">
        <v>707</v>
      </c>
      <c r="B2491" s="12" t="n">
        <f aca="false">COUNTIFS(Cleaned!$D$2:$D$125,4,Cleaned!DR$2:DR$125,"&lt;&gt;")</f>
        <v>2</v>
      </c>
      <c r="C2491" s="15" t="n">
        <f aca="false">IF(B2491=0,"",AVERAGEIF(Cleaned!$D$2:$D$125,4,Cleaned!DR$2:DR$125))</f>
        <v>4227.5</v>
      </c>
    </row>
    <row r="2492" customFormat="false" ht="15" hidden="false" customHeight="false" outlineLevel="0" collapsed="false">
      <c r="A2492" s="12" t="s">
        <v>708</v>
      </c>
      <c r="B2492" s="12" t="n">
        <f aca="false">COUNTIFS(Cleaned!$D$2:$D$125,5,Cleaned!DR$2:DR$125,"&lt;&gt;")</f>
        <v>1</v>
      </c>
      <c r="C2492" s="15" t="n">
        <f aca="false">IF(B2492=0,"",AVERAGEIF(Cleaned!$D$2:$D$125,5,Cleaned!DR$2:DR$125))</f>
        <v>12500</v>
      </c>
    </row>
    <row r="2493" customFormat="false" ht="15" hidden="false" customHeight="false" outlineLevel="0" collapsed="false">
      <c r="A2493" s="12" t="s">
        <v>709</v>
      </c>
      <c r="B2493" s="12" t="n">
        <f aca="false">COUNTIFS(Cleaned!$D$2:$D$125,6,Cleaned!DR$2:DR$125,"&lt;&gt;")</f>
        <v>0</v>
      </c>
      <c r="C2493" s="15" t="str">
        <f aca="false">IF(B2493=0,"",AVERAGEIF(Cleaned!$D$2:$D$125,6,Cleaned!DR$2:DR$125))</f>
        <v/>
      </c>
    </row>
    <row r="2494" customFormat="false" ht="15" hidden="false" customHeight="false" outlineLevel="0" collapsed="false">
      <c r="A2494" s="12" t="s">
        <v>710</v>
      </c>
      <c r="B2494" s="12" t="n">
        <f aca="false">COUNTIFS(Cleaned!$D$2:$D$125,7,Cleaned!DR$2:DR$125,"&lt;&gt;")</f>
        <v>2</v>
      </c>
      <c r="C2494" s="15" t="n">
        <f aca="false">IF(B2494=0,"",AVERAGEIF(Cleaned!$D$2:$D$125,7,Cleaned!DR$2:DR$125))</f>
        <v>1268.5</v>
      </c>
    </row>
    <row r="2495" customFormat="false" ht="15" hidden="false" customHeight="false" outlineLevel="0" collapsed="false">
      <c r="A2495" s="12" t="s">
        <v>711</v>
      </c>
      <c r="B2495" s="12" t="n">
        <f aca="false">COUNTIFS(Cleaned!$D$2:$D$125,8,Cleaned!DR$2:DR$125,"&lt;&gt;")</f>
        <v>1</v>
      </c>
      <c r="C2495" s="15" t="n">
        <f aca="false">IF(B2495=0,"",AVERAGEIF(Cleaned!$D$2:$D$125,8,Cleaned!DR$2:DR$125))</f>
        <v>14290</v>
      </c>
    </row>
    <row r="2496" customFormat="false" ht="15" hidden="false" customHeight="false" outlineLevel="0" collapsed="false">
      <c r="A2496" s="12" t="s">
        <v>712</v>
      </c>
      <c r="B2496" s="12" t="n">
        <f aca="false">COUNTIFS(Cleaned!$D$2:$D$125,9,Cleaned!DR$2:DR$125,"&lt;&gt;")</f>
        <v>1</v>
      </c>
      <c r="C2496" s="15" t="n">
        <f aca="false">IF(B2496=0,"",AVERAGEIF(Cleaned!$D$2:$D$125,9,Cleaned!DR$2:DR$125))</f>
        <v>124</v>
      </c>
    </row>
    <row r="2497" customFormat="false" ht="15" hidden="false" customHeight="false" outlineLevel="0" collapsed="false">
      <c r="A2497" s="12" t="s">
        <v>713</v>
      </c>
      <c r="B2497" s="12" t="n">
        <f aca="false">COUNTIFS(Cleaned!$D$2:$D$125,10,Cleaned!DR$2:DR$125,"&lt;&gt;")</f>
        <v>0</v>
      </c>
      <c r="C2497" s="15" t="str">
        <f aca="false">IF(B2497=0,"",AVERAGEIF(Cleaned!$D$2:$D$125,10,Cleaned!DR$2:DR$125))</f>
        <v/>
      </c>
    </row>
    <row r="2498" customFormat="false" ht="15" hidden="false" customHeight="false" outlineLevel="0" collapsed="false">
      <c r="A2498" s="12" t="s">
        <v>714</v>
      </c>
      <c r="B2498" s="12" t="n">
        <f aca="false">COUNTIFS(Cleaned!$D$2:$D$125,11,Cleaned!DR$2:DR$125,"&lt;&gt;")</f>
        <v>3</v>
      </c>
      <c r="C2498" s="15" t="n">
        <f aca="false">IF(B2498=0,"",AVERAGEIF(Cleaned!$D$2:$D$125,11,Cleaned!DR$2:DR$125))</f>
        <v>3496.33333333333</v>
      </c>
    </row>
    <row r="2499" customFormat="false" ht="15" hidden="false" customHeight="false" outlineLevel="0" collapsed="false">
      <c r="A2499" s="12" t="s">
        <v>715</v>
      </c>
      <c r="B2499" s="12" t="n">
        <f aca="false">COUNTIFS(Cleaned!$D$2:$D$125,12,Cleaned!DR$2:DR$125,"&lt;&gt;")</f>
        <v>2</v>
      </c>
      <c r="C2499" s="15" t="n">
        <f aca="false">IF(B2499=0,"",AVERAGEIF(Cleaned!$D$2:$D$125,12,Cleaned!DR$2:DR$125))</f>
        <v>394</v>
      </c>
    </row>
    <row r="2502" customFormat="false" ht="15" hidden="false" customHeight="false" outlineLevel="0" collapsed="false">
      <c r="A2502" s="6" t="s">
        <v>122</v>
      </c>
      <c r="B2502" s="7" t="s">
        <v>844</v>
      </c>
    </row>
    <row r="2503" customFormat="false" ht="15" hidden="false" customHeight="false" outlineLevel="0" collapsed="false">
      <c r="A2503" s="11" t="s">
        <v>734</v>
      </c>
      <c r="B2503" s="9" t="s">
        <v>694</v>
      </c>
      <c r="C2503" s="9" t="s">
        <v>735</v>
      </c>
      <c r="D2503" s="9" t="s">
        <v>736</v>
      </c>
      <c r="E2503" s="9" t="s">
        <v>737</v>
      </c>
      <c r="F2503" s="9" t="s">
        <v>738</v>
      </c>
    </row>
    <row r="2504" customFormat="false" ht="15" hidden="false" customHeight="false" outlineLevel="0" collapsed="false">
      <c r="B2504" s="12" t="n">
        <f aca="false">COUNT(Cleaned!$DS$2:$DS$125)</f>
        <v>18</v>
      </c>
      <c r="C2504" s="12" t="n">
        <f aca="false">IFERROR(AVERAGE(Cleaned!$DS$2:$DS$125),"")</f>
        <v>23529.8888888889</v>
      </c>
      <c r="D2504" s="12" t="n">
        <f aca="false">IFERROR(MEDIAN(Cleaned!$DS$2:$DS$125),"")</f>
        <v>55</v>
      </c>
      <c r="E2504" s="12" t="n">
        <f aca="false">IFERROR(MIN(Cleaned!$DS$2:$DS$125),"")</f>
        <v>0</v>
      </c>
      <c r="F2504" s="12" t="n">
        <f aca="false">IFERROR(MAX(Cleaned!$DS$2:$DS$125),"")</f>
        <v>351000</v>
      </c>
    </row>
    <row r="2505" customFormat="false" ht="15" hidden="false" customHeight="false" outlineLevel="0" collapsed="false">
      <c r="A2505" s="11" t="s">
        <v>697</v>
      </c>
      <c r="B2505" s="9" t="s">
        <v>739</v>
      </c>
      <c r="C2505" s="9" t="s">
        <v>735</v>
      </c>
    </row>
    <row r="2506" customFormat="false" ht="15" hidden="false" customHeight="false" outlineLevel="0" collapsed="false">
      <c r="A2506" s="12" t="s">
        <v>698</v>
      </c>
      <c r="B2506" s="12" t="n">
        <f aca="false">COUNTIFS(Cleaned!$C$2:$C$125,1,Cleaned!DS$2:DS$125,"&lt;&gt;")</f>
        <v>1</v>
      </c>
      <c r="C2506" s="15" t="n">
        <f aca="false">IF(B2506=0,"",AVERAGEIF(Cleaned!$C$2:$C$125,1,Cleaned!DS$2:DS$125))</f>
        <v>0</v>
      </c>
    </row>
    <row r="2507" customFormat="false" ht="15" hidden="false" customHeight="false" outlineLevel="0" collapsed="false">
      <c r="A2507" s="12" t="s">
        <v>699</v>
      </c>
      <c r="B2507" s="12" t="n">
        <f aca="false">COUNTIFS(Cleaned!$C$2:$C$125,2,Cleaned!DS$2:DS$125,"&lt;&gt;")</f>
        <v>2</v>
      </c>
      <c r="C2507" s="15" t="n">
        <f aca="false">IF(B2507=0,"",AVERAGEIF(Cleaned!$C$2:$C$125,2,Cleaned!DS$2:DS$125))</f>
        <v>65</v>
      </c>
    </row>
    <row r="2508" customFormat="false" ht="15" hidden="false" customHeight="false" outlineLevel="0" collapsed="false">
      <c r="A2508" s="12" t="s">
        <v>700</v>
      </c>
      <c r="B2508" s="12" t="n">
        <f aca="false">COUNTIFS(Cleaned!$C$2:$C$125,3,Cleaned!DS$2:DS$125,"&lt;&gt;")</f>
        <v>3</v>
      </c>
      <c r="C2508" s="15" t="n">
        <f aca="false">IF(B2508=0,"",AVERAGEIF(Cleaned!$C$2:$C$125,3,Cleaned!DS$2:DS$125))</f>
        <v>78.3333333333333</v>
      </c>
    </row>
    <row r="2509" customFormat="false" ht="15" hidden="false" customHeight="false" outlineLevel="0" collapsed="false">
      <c r="A2509" s="12" t="s">
        <v>701</v>
      </c>
      <c r="B2509" s="12" t="n">
        <f aca="false">COUNTIFS(Cleaned!$C$2:$C$125,4,Cleaned!DS$2:DS$125,"&lt;&gt;")</f>
        <v>5</v>
      </c>
      <c r="C2509" s="15" t="n">
        <f aca="false">IF(B2509=0,"",AVERAGEIF(Cleaned!$C$2:$C$125,4,Cleaned!DS$2:DS$125))</f>
        <v>81.8</v>
      </c>
    </row>
    <row r="2510" customFormat="false" ht="15" hidden="false" customHeight="false" outlineLevel="0" collapsed="false">
      <c r="A2510" s="12" t="s">
        <v>702</v>
      </c>
      <c r="B2510" s="12" t="n">
        <f aca="false">COUNTIFS(Cleaned!$C$2:$C$125,5,Cleaned!DS$2:DS$125,"&lt;&gt;")</f>
        <v>7</v>
      </c>
      <c r="C2510" s="15" t="n">
        <f aca="false">IF(B2510=0,"",AVERAGEIF(Cleaned!$C$2:$C$125,5,Cleaned!DS$2:DS$125))</f>
        <v>60394.8571428571</v>
      </c>
    </row>
    <row r="2511" customFormat="false" ht="15" hidden="false" customHeight="false" outlineLevel="0" collapsed="false">
      <c r="A2511" s="11" t="s">
        <v>3</v>
      </c>
      <c r="B2511" s="9" t="s">
        <v>739</v>
      </c>
      <c r="C2511" s="9" t="s">
        <v>735</v>
      </c>
    </row>
    <row r="2512" customFormat="false" ht="15" hidden="false" customHeight="false" outlineLevel="0" collapsed="false">
      <c r="A2512" s="12" t="s">
        <v>704</v>
      </c>
      <c r="B2512" s="12" t="n">
        <f aca="false">COUNTIFS(Cleaned!$D$2:$D$125,1,Cleaned!DS$2:DS$125,"&lt;&gt;")</f>
        <v>2</v>
      </c>
      <c r="C2512" s="15" t="n">
        <f aca="false">IF(B2512=0,"",AVERAGEIF(Cleaned!$D$2:$D$125,1,Cleaned!DS$2:DS$125))</f>
        <v>87.5</v>
      </c>
    </row>
    <row r="2513" customFormat="false" ht="15" hidden="false" customHeight="false" outlineLevel="0" collapsed="false">
      <c r="A2513" s="12" t="s">
        <v>705</v>
      </c>
      <c r="B2513" s="12" t="n">
        <f aca="false">COUNTIFS(Cleaned!$D$2:$D$125,2,Cleaned!DS$2:DS$125,"&lt;&gt;")</f>
        <v>4</v>
      </c>
      <c r="C2513" s="15" t="n">
        <f aca="false">IF(B2513=0,"",AVERAGEIF(Cleaned!$D$2:$D$125,2,Cleaned!DS$2:DS$125))</f>
        <v>87812.5</v>
      </c>
    </row>
    <row r="2514" customFormat="false" ht="15" hidden="false" customHeight="false" outlineLevel="0" collapsed="false">
      <c r="A2514" s="12" t="s">
        <v>706</v>
      </c>
      <c r="B2514" s="12" t="n">
        <f aca="false">COUNTIFS(Cleaned!$D$2:$D$125,3,Cleaned!DS$2:DS$125,"&lt;&gt;")</f>
        <v>4</v>
      </c>
      <c r="C2514" s="15" t="n">
        <f aca="false">IF(B2514=0,"",AVERAGEIF(Cleaned!$D$2:$D$125,3,Cleaned!DS$2:DS$125))</f>
        <v>17878.5</v>
      </c>
    </row>
    <row r="2515" customFormat="false" ht="15" hidden="false" customHeight="false" outlineLevel="0" collapsed="false">
      <c r="A2515" s="12" t="s">
        <v>707</v>
      </c>
      <c r="B2515" s="12" t="n">
        <f aca="false">COUNTIFS(Cleaned!$D$2:$D$125,4,Cleaned!DS$2:DS$125,"&lt;&gt;")</f>
        <v>2</v>
      </c>
      <c r="C2515" s="15" t="n">
        <f aca="false">IF(B2515=0,"",AVERAGEIF(Cleaned!$D$2:$D$125,4,Cleaned!DS$2:DS$125))</f>
        <v>0</v>
      </c>
    </row>
    <row r="2516" customFormat="false" ht="15" hidden="false" customHeight="false" outlineLevel="0" collapsed="false">
      <c r="A2516" s="12" t="s">
        <v>708</v>
      </c>
      <c r="B2516" s="12" t="n">
        <f aca="false">COUNTIFS(Cleaned!$D$2:$D$125,5,Cleaned!DS$2:DS$125,"&lt;&gt;")</f>
        <v>1</v>
      </c>
      <c r="C2516" s="15" t="n">
        <f aca="false">IF(B2516=0,"",AVERAGEIF(Cleaned!$D$2:$D$125,5,Cleaned!DS$2:DS$125))</f>
        <v>2</v>
      </c>
    </row>
    <row r="2517" customFormat="false" ht="15" hidden="false" customHeight="false" outlineLevel="0" collapsed="false">
      <c r="A2517" s="12" t="s">
        <v>709</v>
      </c>
      <c r="B2517" s="12" t="n">
        <f aca="false">COUNTIFS(Cleaned!$D$2:$D$125,6,Cleaned!DS$2:DS$125,"&lt;&gt;")</f>
        <v>0</v>
      </c>
      <c r="C2517" s="15" t="str">
        <f aca="false">IF(B2517=0,"",AVERAGEIF(Cleaned!$D$2:$D$125,6,Cleaned!DS$2:DS$125))</f>
        <v/>
      </c>
    </row>
    <row r="2518" customFormat="false" ht="15" hidden="false" customHeight="false" outlineLevel="0" collapsed="false">
      <c r="A2518" s="12" t="s">
        <v>710</v>
      </c>
      <c r="B2518" s="12" t="n">
        <f aca="false">COUNTIFS(Cleaned!$D$2:$D$125,7,Cleaned!DS$2:DS$125,"&lt;&gt;")</f>
        <v>0</v>
      </c>
      <c r="C2518" s="15" t="str">
        <f aca="false">IF(B2518=0,"",AVERAGEIF(Cleaned!$D$2:$D$125,7,Cleaned!DS$2:DS$125))</f>
        <v/>
      </c>
    </row>
    <row r="2519" customFormat="false" ht="15" hidden="false" customHeight="false" outlineLevel="0" collapsed="false">
      <c r="A2519" s="12" t="s">
        <v>711</v>
      </c>
      <c r="B2519" s="12" t="n">
        <f aca="false">COUNTIFS(Cleaned!$D$2:$D$125,8,Cleaned!DS$2:DS$125,"&lt;&gt;")</f>
        <v>1</v>
      </c>
      <c r="C2519" s="15" t="n">
        <f aca="false">IF(B2519=0,"",AVERAGEIF(Cleaned!$D$2:$D$125,8,Cleaned!DS$2:DS$125))</f>
        <v>357</v>
      </c>
    </row>
    <row r="2520" customFormat="false" ht="15" hidden="false" customHeight="false" outlineLevel="0" collapsed="false">
      <c r="A2520" s="12" t="s">
        <v>712</v>
      </c>
      <c r="B2520" s="12" t="n">
        <f aca="false">COUNTIFS(Cleaned!$D$2:$D$125,9,Cleaned!DS$2:DS$125,"&lt;&gt;")</f>
        <v>0</v>
      </c>
      <c r="C2520" s="15" t="str">
        <f aca="false">IF(B2520=0,"",AVERAGEIF(Cleaned!$D$2:$D$125,9,Cleaned!DS$2:DS$125))</f>
        <v/>
      </c>
    </row>
    <row r="2521" customFormat="false" ht="15" hidden="false" customHeight="false" outlineLevel="0" collapsed="false">
      <c r="A2521" s="12" t="s">
        <v>713</v>
      </c>
      <c r="B2521" s="12" t="n">
        <f aca="false">COUNTIFS(Cleaned!$D$2:$D$125,10,Cleaned!DS$2:DS$125,"&lt;&gt;")</f>
        <v>0</v>
      </c>
      <c r="C2521" s="15" t="str">
        <f aca="false">IF(B2521=0,"",AVERAGEIF(Cleaned!$D$2:$D$125,10,Cleaned!DS$2:DS$125))</f>
        <v/>
      </c>
    </row>
    <row r="2522" customFormat="false" ht="15" hidden="false" customHeight="false" outlineLevel="0" collapsed="false">
      <c r="A2522" s="12" t="s">
        <v>714</v>
      </c>
      <c r="B2522" s="12" t="n">
        <f aca="false">COUNTIFS(Cleaned!$D$2:$D$125,11,Cleaned!DS$2:DS$125,"&lt;&gt;")</f>
        <v>3</v>
      </c>
      <c r="C2522" s="15" t="n">
        <f aca="false">IF(B2522=0,"",AVERAGEIF(Cleaned!$D$2:$D$125,11,Cleaned!DS$2:DS$125))</f>
        <v>70</v>
      </c>
    </row>
    <row r="2523" customFormat="false" ht="15" hidden="false" customHeight="false" outlineLevel="0" collapsed="false">
      <c r="A2523" s="12" t="s">
        <v>715</v>
      </c>
      <c r="B2523" s="12" t="n">
        <f aca="false">COUNTIFS(Cleaned!$D$2:$D$125,12,Cleaned!DS$2:DS$125,"&lt;&gt;")</f>
        <v>1</v>
      </c>
      <c r="C2523" s="15" t="n">
        <f aca="false">IF(B2523=0,"",AVERAGEIF(Cleaned!$D$2:$D$125,12,Cleaned!DS$2:DS$125))</f>
        <v>30</v>
      </c>
    </row>
    <row r="2526" customFormat="false" ht="15" hidden="false" customHeight="false" outlineLevel="0" collapsed="false">
      <c r="A2526" s="6" t="s">
        <v>123</v>
      </c>
      <c r="B2526" s="7" t="s">
        <v>845</v>
      </c>
    </row>
    <row r="2527" customFormat="false" ht="15" hidden="false" customHeight="false" outlineLevel="0" collapsed="false">
      <c r="A2527" s="11" t="s">
        <v>734</v>
      </c>
      <c r="B2527" s="9" t="s">
        <v>694</v>
      </c>
      <c r="C2527" s="9" t="s">
        <v>735</v>
      </c>
      <c r="D2527" s="9" t="s">
        <v>736</v>
      </c>
      <c r="E2527" s="9" t="s">
        <v>737</v>
      </c>
      <c r="F2527" s="9" t="s">
        <v>738</v>
      </c>
    </row>
    <row r="2528" customFormat="false" ht="15" hidden="false" customHeight="false" outlineLevel="0" collapsed="false">
      <c r="B2528" s="12" t="n">
        <f aca="false">COUNT(Cleaned!$DT$2:$DT$125)</f>
        <v>43</v>
      </c>
      <c r="C2528" s="12" t="n">
        <f aca="false">IFERROR(AVERAGE(Cleaned!$DT$2:$DT$125),"")</f>
        <v>9446.11627906977</v>
      </c>
      <c r="D2528" s="12" t="n">
        <f aca="false">IFERROR(MEDIAN(Cleaned!$DT$2:$DT$125),"")</f>
        <v>1779</v>
      </c>
      <c r="E2528" s="12" t="n">
        <f aca="false">IFERROR(MIN(Cleaned!$DT$2:$DT$125),"")</f>
        <v>80</v>
      </c>
      <c r="F2528" s="12" t="n">
        <f aca="false">IFERROR(MAX(Cleaned!$DT$2:$DT$125),"")</f>
        <v>176200</v>
      </c>
    </row>
    <row r="2529" customFormat="false" ht="15" hidden="false" customHeight="false" outlineLevel="0" collapsed="false">
      <c r="A2529" s="11" t="s">
        <v>697</v>
      </c>
      <c r="B2529" s="9" t="s">
        <v>739</v>
      </c>
      <c r="C2529" s="9" t="s">
        <v>735</v>
      </c>
    </row>
    <row r="2530" customFormat="false" ht="15" hidden="false" customHeight="false" outlineLevel="0" collapsed="false">
      <c r="A2530" s="12" t="s">
        <v>698</v>
      </c>
      <c r="B2530" s="12" t="n">
        <f aca="false">COUNTIFS(Cleaned!$C$2:$C$125,1,Cleaned!DT$2:DT$125,"&lt;&gt;")</f>
        <v>6</v>
      </c>
      <c r="C2530" s="15" t="n">
        <f aca="false">IF(B2530=0,"",AVERAGEIF(Cleaned!$C$2:$C$125,1,Cleaned!DT$2:DT$125))</f>
        <v>153</v>
      </c>
    </row>
    <row r="2531" customFormat="false" ht="15" hidden="false" customHeight="false" outlineLevel="0" collapsed="false">
      <c r="A2531" s="12" t="s">
        <v>699</v>
      </c>
      <c r="B2531" s="12" t="n">
        <f aca="false">COUNTIFS(Cleaned!$C$2:$C$125,2,Cleaned!DT$2:DT$125,"&lt;&gt;")</f>
        <v>4</v>
      </c>
      <c r="C2531" s="15" t="n">
        <f aca="false">IF(B2531=0,"",AVERAGEIF(Cleaned!$C$2:$C$125,2,Cleaned!DT$2:DT$125))</f>
        <v>330.75</v>
      </c>
    </row>
    <row r="2532" customFormat="false" ht="15" hidden="false" customHeight="false" outlineLevel="0" collapsed="false">
      <c r="A2532" s="12" t="s">
        <v>700</v>
      </c>
      <c r="B2532" s="12" t="n">
        <f aca="false">COUNTIFS(Cleaned!$C$2:$C$125,3,Cleaned!DT$2:DT$125,"&lt;&gt;")</f>
        <v>10</v>
      </c>
      <c r="C2532" s="15" t="n">
        <f aca="false">IF(B2532=0,"",AVERAGEIF(Cleaned!$C$2:$C$125,3,Cleaned!DT$2:DT$125))</f>
        <v>810</v>
      </c>
    </row>
    <row r="2533" customFormat="false" ht="15" hidden="false" customHeight="false" outlineLevel="0" collapsed="false">
      <c r="A2533" s="12" t="s">
        <v>701</v>
      </c>
      <c r="B2533" s="12" t="n">
        <f aca="false">COUNTIFS(Cleaned!$C$2:$C$125,4,Cleaned!DT$2:DT$125,"&lt;&gt;")</f>
        <v>8</v>
      </c>
      <c r="C2533" s="15" t="n">
        <f aca="false">IF(B2533=0,"",AVERAGEIF(Cleaned!$C$2:$C$125,4,Cleaned!DT$2:DT$125))</f>
        <v>2419.875</v>
      </c>
    </row>
    <row r="2534" customFormat="false" ht="15" hidden="false" customHeight="false" outlineLevel="0" collapsed="false">
      <c r="A2534" s="12" t="s">
        <v>702</v>
      </c>
      <c r="B2534" s="12" t="n">
        <f aca="false">COUNTIFS(Cleaned!$C$2:$C$125,5,Cleaned!DT$2:DT$125,"&lt;&gt;")</f>
        <v>15</v>
      </c>
      <c r="C2534" s="15" t="n">
        <f aca="false">IF(B2534=0,"",AVERAGEIF(Cleaned!$C$2:$C$125,5,Cleaned!DT$2:DT$125))</f>
        <v>25098.8666666667</v>
      </c>
    </row>
    <row r="2535" customFormat="false" ht="15" hidden="false" customHeight="false" outlineLevel="0" collapsed="false">
      <c r="A2535" s="11" t="s">
        <v>3</v>
      </c>
      <c r="B2535" s="9" t="s">
        <v>739</v>
      </c>
      <c r="C2535" s="9" t="s">
        <v>735</v>
      </c>
    </row>
    <row r="2536" customFormat="false" ht="15" hidden="false" customHeight="false" outlineLevel="0" collapsed="false">
      <c r="A2536" s="12" t="s">
        <v>704</v>
      </c>
      <c r="B2536" s="12" t="n">
        <f aca="false">COUNTIFS(Cleaned!$D$2:$D$125,1,Cleaned!DT$2:DT$125,"&lt;&gt;")</f>
        <v>6</v>
      </c>
      <c r="C2536" s="15" t="n">
        <f aca="false">IF(B2536=0,"",AVERAGEIF(Cleaned!$D$2:$D$125,1,Cleaned!DT$2:DT$125))</f>
        <v>616.833333333333</v>
      </c>
    </row>
    <row r="2537" customFormat="false" ht="15" hidden="false" customHeight="false" outlineLevel="0" collapsed="false">
      <c r="A2537" s="12" t="s">
        <v>705</v>
      </c>
      <c r="B2537" s="12" t="n">
        <f aca="false">COUNTIFS(Cleaned!$D$2:$D$125,2,Cleaned!DT$2:DT$125,"&lt;&gt;")</f>
        <v>9</v>
      </c>
      <c r="C2537" s="15" t="n">
        <f aca="false">IF(B2537=0,"",AVERAGEIF(Cleaned!$D$2:$D$125,2,Cleaned!DT$2:DT$125))</f>
        <v>29009</v>
      </c>
    </row>
    <row r="2538" customFormat="false" ht="15" hidden="false" customHeight="false" outlineLevel="0" collapsed="false">
      <c r="A2538" s="12" t="s">
        <v>706</v>
      </c>
      <c r="B2538" s="12" t="n">
        <f aca="false">COUNTIFS(Cleaned!$D$2:$D$125,3,Cleaned!DT$2:DT$125,"&lt;&gt;")</f>
        <v>6</v>
      </c>
      <c r="C2538" s="15" t="n">
        <f aca="false">IF(B2538=0,"",AVERAGEIF(Cleaned!$D$2:$D$125,3,Cleaned!DT$2:DT$125))</f>
        <v>15675.6666666667</v>
      </c>
    </row>
    <row r="2539" customFormat="false" ht="15" hidden="false" customHeight="false" outlineLevel="0" collapsed="false">
      <c r="A2539" s="12" t="s">
        <v>707</v>
      </c>
      <c r="B2539" s="12" t="n">
        <f aca="false">COUNTIFS(Cleaned!$D$2:$D$125,4,Cleaned!DT$2:DT$125,"&lt;&gt;")</f>
        <v>4</v>
      </c>
      <c r="C2539" s="15" t="n">
        <f aca="false">IF(B2539=0,"",AVERAGEIF(Cleaned!$D$2:$D$125,4,Cleaned!DT$2:DT$125))</f>
        <v>1670.75</v>
      </c>
    </row>
    <row r="2540" customFormat="false" ht="15" hidden="false" customHeight="false" outlineLevel="0" collapsed="false">
      <c r="A2540" s="12" t="s">
        <v>708</v>
      </c>
      <c r="B2540" s="12" t="n">
        <f aca="false">COUNTIFS(Cleaned!$D$2:$D$125,5,Cleaned!DT$2:DT$125,"&lt;&gt;")</f>
        <v>1</v>
      </c>
      <c r="C2540" s="15" t="n">
        <f aca="false">IF(B2540=0,"",AVERAGEIF(Cleaned!$D$2:$D$125,5,Cleaned!DT$2:DT$125))</f>
        <v>3508</v>
      </c>
    </row>
    <row r="2541" customFormat="false" ht="15" hidden="false" customHeight="false" outlineLevel="0" collapsed="false">
      <c r="A2541" s="12" t="s">
        <v>709</v>
      </c>
      <c r="B2541" s="12" t="n">
        <f aca="false">COUNTIFS(Cleaned!$D$2:$D$125,6,Cleaned!DT$2:DT$125,"&lt;&gt;")</f>
        <v>2</v>
      </c>
      <c r="C2541" s="15" t="n">
        <f aca="false">IF(B2541=0,"",AVERAGEIF(Cleaned!$D$2:$D$125,6,Cleaned!DT$2:DT$125))</f>
        <v>1557.5</v>
      </c>
    </row>
    <row r="2542" customFormat="false" ht="15" hidden="false" customHeight="false" outlineLevel="0" collapsed="false">
      <c r="A2542" s="12" t="s">
        <v>710</v>
      </c>
      <c r="B2542" s="12" t="n">
        <f aca="false">COUNTIFS(Cleaned!$D$2:$D$125,7,Cleaned!DT$2:DT$125,"&lt;&gt;")</f>
        <v>7</v>
      </c>
      <c r="C2542" s="15" t="n">
        <f aca="false">IF(B2542=0,"",AVERAGEIF(Cleaned!$D$2:$D$125,7,Cleaned!DT$2:DT$125))</f>
        <v>3899.14285714286</v>
      </c>
    </row>
    <row r="2543" customFormat="false" ht="15" hidden="false" customHeight="false" outlineLevel="0" collapsed="false">
      <c r="A2543" s="12" t="s">
        <v>711</v>
      </c>
      <c r="B2543" s="12" t="n">
        <f aca="false">COUNTIFS(Cleaned!$D$2:$D$125,8,Cleaned!DT$2:DT$125,"&lt;&gt;")</f>
        <v>2</v>
      </c>
      <c r="C2543" s="15" t="n">
        <f aca="false">IF(B2543=0,"",AVERAGEIF(Cleaned!$D$2:$D$125,8,Cleaned!DT$2:DT$125))</f>
        <v>1621.5</v>
      </c>
    </row>
    <row r="2544" customFormat="false" ht="15" hidden="false" customHeight="false" outlineLevel="0" collapsed="false">
      <c r="A2544" s="12" t="s">
        <v>712</v>
      </c>
      <c r="B2544" s="12" t="n">
        <f aca="false">COUNTIFS(Cleaned!$D$2:$D$125,9,Cleaned!DT$2:DT$125,"&lt;&gt;")</f>
        <v>1</v>
      </c>
      <c r="C2544" s="15" t="n">
        <f aca="false">IF(B2544=0,"",AVERAGEIF(Cleaned!$D$2:$D$125,9,Cleaned!DT$2:DT$125))</f>
        <v>114</v>
      </c>
    </row>
    <row r="2545" customFormat="false" ht="15" hidden="false" customHeight="false" outlineLevel="0" collapsed="false">
      <c r="A2545" s="12" t="s">
        <v>713</v>
      </c>
      <c r="B2545" s="12" t="n">
        <f aca="false">COUNTIFS(Cleaned!$D$2:$D$125,10,Cleaned!DT$2:DT$125,"&lt;&gt;")</f>
        <v>0</v>
      </c>
      <c r="C2545" s="15" t="str">
        <f aca="false">IF(B2545=0,"",AVERAGEIF(Cleaned!$D$2:$D$125,10,Cleaned!DT$2:DT$125))</f>
        <v/>
      </c>
    </row>
    <row r="2546" customFormat="false" ht="15" hidden="false" customHeight="false" outlineLevel="0" collapsed="false">
      <c r="A2546" s="12" t="s">
        <v>714</v>
      </c>
      <c r="B2546" s="12" t="n">
        <f aca="false">COUNTIFS(Cleaned!$D$2:$D$125,11,Cleaned!DT$2:DT$125,"&lt;&gt;")</f>
        <v>2</v>
      </c>
      <c r="C2546" s="15" t="n">
        <f aca="false">IF(B2546=0,"",AVERAGEIF(Cleaned!$D$2:$D$125,11,Cleaned!DT$2:DT$125))</f>
        <v>1450.5</v>
      </c>
    </row>
    <row r="2547" customFormat="false" ht="15" hidden="false" customHeight="false" outlineLevel="0" collapsed="false">
      <c r="A2547" s="12" t="s">
        <v>715</v>
      </c>
      <c r="B2547" s="12" t="n">
        <f aca="false">COUNTIFS(Cleaned!$D$2:$D$125,12,Cleaned!DT$2:DT$125,"&lt;&gt;")</f>
        <v>3</v>
      </c>
      <c r="C2547" s="15" t="n">
        <f aca="false">IF(B2547=0,"",AVERAGEIF(Cleaned!$D$2:$D$125,12,Cleaned!DT$2:DT$125))</f>
        <v>163</v>
      </c>
    </row>
    <row r="2550" customFormat="false" ht="15" hidden="false" customHeight="false" outlineLevel="0" collapsed="false">
      <c r="A2550" s="6" t="s">
        <v>124</v>
      </c>
      <c r="B2550" s="7" t="s">
        <v>846</v>
      </c>
    </row>
    <row r="2551" customFormat="false" ht="15" hidden="false" customHeight="false" outlineLevel="0" collapsed="false">
      <c r="A2551" s="11" t="s">
        <v>734</v>
      </c>
      <c r="B2551" s="9" t="s">
        <v>694</v>
      </c>
      <c r="C2551" s="9" t="s">
        <v>735</v>
      </c>
      <c r="D2551" s="9" t="s">
        <v>736</v>
      </c>
      <c r="E2551" s="9" t="s">
        <v>737</v>
      </c>
      <c r="F2551" s="9" t="s">
        <v>738</v>
      </c>
    </row>
    <row r="2552" customFormat="false" ht="15" hidden="false" customHeight="false" outlineLevel="0" collapsed="false">
      <c r="B2552" s="12" t="n">
        <f aca="false">COUNT(Cleaned!$DU$2:$DU$125)</f>
        <v>33</v>
      </c>
      <c r="C2552" s="12" t="n">
        <f aca="false">IFERROR(AVERAGE(Cleaned!$DU$2:$DU$125),"")</f>
        <v>654.090909090909</v>
      </c>
      <c r="D2552" s="12" t="n">
        <f aca="false">IFERROR(MEDIAN(Cleaned!$DU$2:$DU$125),"")</f>
        <v>40</v>
      </c>
      <c r="E2552" s="12" t="n">
        <f aca="false">IFERROR(MIN(Cleaned!$DU$2:$DU$125),"")</f>
        <v>0</v>
      </c>
      <c r="F2552" s="12" t="n">
        <f aca="false">IFERROR(MAX(Cleaned!$DU$2:$DU$125),"")</f>
        <v>8269</v>
      </c>
    </row>
    <row r="2553" customFormat="false" ht="15" hidden="false" customHeight="false" outlineLevel="0" collapsed="false">
      <c r="A2553" s="11" t="s">
        <v>697</v>
      </c>
      <c r="B2553" s="9" t="s">
        <v>739</v>
      </c>
      <c r="C2553" s="9" t="s">
        <v>735</v>
      </c>
    </row>
    <row r="2554" customFormat="false" ht="15" hidden="false" customHeight="false" outlineLevel="0" collapsed="false">
      <c r="A2554" s="12" t="s">
        <v>698</v>
      </c>
      <c r="B2554" s="12" t="n">
        <f aca="false">COUNTIFS(Cleaned!$C$2:$C$125,1,Cleaned!DU$2:DU$125,"&lt;&gt;")</f>
        <v>2</v>
      </c>
      <c r="C2554" s="15" t="n">
        <f aca="false">IF(B2554=0,"",AVERAGEIF(Cleaned!$C$2:$C$125,1,Cleaned!DU$2:DU$125))</f>
        <v>318</v>
      </c>
    </row>
    <row r="2555" customFormat="false" ht="15" hidden="false" customHeight="false" outlineLevel="0" collapsed="false">
      <c r="A2555" s="12" t="s">
        <v>699</v>
      </c>
      <c r="B2555" s="12" t="n">
        <f aca="false">COUNTIFS(Cleaned!$C$2:$C$125,2,Cleaned!DU$2:DU$125,"&lt;&gt;")</f>
        <v>4</v>
      </c>
      <c r="C2555" s="15" t="n">
        <f aca="false">IF(B2555=0,"",AVERAGEIF(Cleaned!$C$2:$C$125,2,Cleaned!DU$2:DU$125))</f>
        <v>15</v>
      </c>
    </row>
    <row r="2556" customFormat="false" ht="15" hidden="false" customHeight="false" outlineLevel="0" collapsed="false">
      <c r="A2556" s="12" t="s">
        <v>700</v>
      </c>
      <c r="B2556" s="12" t="n">
        <f aca="false">COUNTIFS(Cleaned!$C$2:$C$125,3,Cleaned!DU$2:DU$125,"&lt;&gt;")</f>
        <v>9</v>
      </c>
      <c r="C2556" s="15" t="n">
        <f aca="false">IF(B2556=0,"",AVERAGEIF(Cleaned!$C$2:$C$125,3,Cleaned!DU$2:DU$125))</f>
        <v>54.5555555555556</v>
      </c>
    </row>
    <row r="2557" customFormat="false" ht="15" hidden="false" customHeight="false" outlineLevel="0" collapsed="false">
      <c r="A2557" s="12" t="s">
        <v>701</v>
      </c>
      <c r="B2557" s="12" t="n">
        <f aca="false">COUNTIFS(Cleaned!$C$2:$C$125,4,Cleaned!DU$2:DU$125,"&lt;&gt;")</f>
        <v>9</v>
      </c>
      <c r="C2557" s="15" t="n">
        <f aca="false">IF(B2557=0,"",AVERAGEIF(Cleaned!$C$2:$C$125,4,Cleaned!DU$2:DU$125))</f>
        <v>75.5555555555556</v>
      </c>
    </row>
    <row r="2558" customFormat="false" ht="15" hidden="false" customHeight="false" outlineLevel="0" collapsed="false">
      <c r="A2558" s="12" t="s">
        <v>702</v>
      </c>
      <c r="B2558" s="12" t="n">
        <f aca="false">COUNTIFS(Cleaned!$C$2:$C$125,5,Cleaned!DU$2:DU$125,"&lt;&gt;")</f>
        <v>9</v>
      </c>
      <c r="C2558" s="15" t="n">
        <f aca="false">IF(B2558=0,"",AVERAGEIF(Cleaned!$C$2:$C$125,5,Cleaned!DU$2:DU$125))</f>
        <v>2190.88888888889</v>
      </c>
    </row>
    <row r="2559" customFormat="false" ht="15" hidden="false" customHeight="false" outlineLevel="0" collapsed="false">
      <c r="A2559" s="11" t="s">
        <v>3</v>
      </c>
      <c r="B2559" s="9" t="s">
        <v>739</v>
      </c>
      <c r="C2559" s="9" t="s">
        <v>735</v>
      </c>
    </row>
    <row r="2560" customFormat="false" ht="15" hidden="false" customHeight="false" outlineLevel="0" collapsed="false">
      <c r="A2560" s="12" t="s">
        <v>704</v>
      </c>
      <c r="B2560" s="12" t="n">
        <f aca="false">COUNTIFS(Cleaned!$D$2:$D$125,1,Cleaned!DU$2:DU$125,"&lt;&gt;")</f>
        <v>6</v>
      </c>
      <c r="C2560" s="15" t="n">
        <f aca="false">IF(B2560=0,"",AVERAGEIF(Cleaned!$D$2:$D$125,1,Cleaned!DU$2:DU$125))</f>
        <v>156.5</v>
      </c>
    </row>
    <row r="2561" customFormat="false" ht="15" hidden="false" customHeight="false" outlineLevel="0" collapsed="false">
      <c r="A2561" s="12" t="s">
        <v>705</v>
      </c>
      <c r="B2561" s="12" t="n">
        <f aca="false">COUNTIFS(Cleaned!$D$2:$D$125,2,Cleaned!DU$2:DU$125,"&lt;&gt;")</f>
        <v>5</v>
      </c>
      <c r="C2561" s="15" t="n">
        <f aca="false">IF(B2561=0,"",AVERAGEIF(Cleaned!$D$2:$D$125,2,Cleaned!DU$2:DU$125))</f>
        <v>61.2</v>
      </c>
    </row>
    <row r="2562" customFormat="false" ht="15" hidden="false" customHeight="false" outlineLevel="0" collapsed="false">
      <c r="A2562" s="12" t="s">
        <v>706</v>
      </c>
      <c r="B2562" s="12" t="n">
        <f aca="false">COUNTIFS(Cleaned!$D$2:$D$125,3,Cleaned!DU$2:DU$125,"&lt;&gt;")</f>
        <v>6</v>
      </c>
      <c r="C2562" s="15" t="n">
        <f aca="false">IF(B2562=0,"",AVERAGEIF(Cleaned!$D$2:$D$125,3,Cleaned!DU$2:DU$125))</f>
        <v>2837</v>
      </c>
    </row>
    <row r="2563" customFormat="false" ht="15" hidden="false" customHeight="false" outlineLevel="0" collapsed="false">
      <c r="A2563" s="12" t="s">
        <v>707</v>
      </c>
      <c r="B2563" s="12" t="n">
        <f aca="false">COUNTIFS(Cleaned!$D$2:$D$125,4,Cleaned!DU$2:DU$125,"&lt;&gt;")</f>
        <v>4</v>
      </c>
      <c r="C2563" s="15" t="n">
        <f aca="false">IF(B2563=0,"",AVERAGEIF(Cleaned!$D$2:$D$125,4,Cleaned!DU$2:DU$125))</f>
        <v>3.5</v>
      </c>
    </row>
    <row r="2564" customFormat="false" ht="15" hidden="false" customHeight="false" outlineLevel="0" collapsed="false">
      <c r="A2564" s="12" t="s">
        <v>708</v>
      </c>
      <c r="B2564" s="12" t="n">
        <f aca="false">COUNTIFS(Cleaned!$D$2:$D$125,5,Cleaned!DU$2:DU$125,"&lt;&gt;")</f>
        <v>1</v>
      </c>
      <c r="C2564" s="15" t="n">
        <f aca="false">IF(B2564=0,"",AVERAGEIF(Cleaned!$D$2:$D$125,5,Cleaned!DU$2:DU$125))</f>
        <v>2</v>
      </c>
    </row>
    <row r="2565" customFormat="false" ht="15" hidden="false" customHeight="false" outlineLevel="0" collapsed="false">
      <c r="A2565" s="12" t="s">
        <v>709</v>
      </c>
      <c r="B2565" s="12" t="n">
        <f aca="false">COUNTIFS(Cleaned!$D$2:$D$125,6,Cleaned!DU$2:DU$125,"&lt;&gt;")</f>
        <v>2</v>
      </c>
      <c r="C2565" s="15" t="n">
        <f aca="false">IF(B2565=0,"",AVERAGEIF(Cleaned!$D$2:$D$125,6,Cleaned!DU$2:DU$125))</f>
        <v>247.5</v>
      </c>
    </row>
    <row r="2566" customFormat="false" ht="15" hidden="false" customHeight="false" outlineLevel="0" collapsed="false">
      <c r="A2566" s="12" t="s">
        <v>710</v>
      </c>
      <c r="B2566" s="12" t="n">
        <f aca="false">COUNTIFS(Cleaned!$D$2:$D$125,7,Cleaned!DU$2:DU$125,"&lt;&gt;")</f>
        <v>5</v>
      </c>
      <c r="C2566" s="15" t="n">
        <f aca="false">IF(B2566=0,"",AVERAGEIF(Cleaned!$D$2:$D$125,7,Cleaned!DU$2:DU$125))</f>
        <v>518.8</v>
      </c>
    </row>
    <row r="2567" customFormat="false" ht="15" hidden="false" customHeight="false" outlineLevel="0" collapsed="false">
      <c r="A2567" s="12" t="s">
        <v>711</v>
      </c>
      <c r="B2567" s="12" t="n">
        <f aca="false">COUNTIFS(Cleaned!$D$2:$D$125,8,Cleaned!DU$2:DU$125,"&lt;&gt;")</f>
        <v>1</v>
      </c>
      <c r="C2567" s="15" t="n">
        <f aca="false">IF(B2567=0,"",AVERAGEIF(Cleaned!$D$2:$D$125,8,Cleaned!DU$2:DU$125))</f>
        <v>143</v>
      </c>
    </row>
    <row r="2568" customFormat="false" ht="15" hidden="false" customHeight="false" outlineLevel="0" collapsed="false">
      <c r="A2568" s="12" t="s">
        <v>712</v>
      </c>
      <c r="B2568" s="12" t="n">
        <f aca="false">COUNTIFS(Cleaned!$D$2:$D$125,9,Cleaned!DU$2:DU$125,"&lt;&gt;")</f>
        <v>0</v>
      </c>
      <c r="C2568" s="15" t="str">
        <f aca="false">IF(B2568=0,"",AVERAGEIF(Cleaned!$D$2:$D$125,9,Cleaned!DU$2:DU$125))</f>
        <v/>
      </c>
    </row>
    <row r="2569" customFormat="false" ht="15" hidden="false" customHeight="false" outlineLevel="0" collapsed="false">
      <c r="A2569" s="12" t="s">
        <v>713</v>
      </c>
      <c r="B2569" s="12" t="n">
        <f aca="false">COUNTIFS(Cleaned!$D$2:$D$125,10,Cleaned!DU$2:DU$125,"&lt;&gt;")</f>
        <v>0</v>
      </c>
      <c r="C2569" s="15" t="str">
        <f aca="false">IF(B2569=0,"",AVERAGEIF(Cleaned!$D$2:$D$125,10,Cleaned!DU$2:DU$125))</f>
        <v/>
      </c>
    </row>
    <row r="2570" customFormat="false" ht="15" hidden="false" customHeight="false" outlineLevel="0" collapsed="false">
      <c r="A2570" s="12" t="s">
        <v>714</v>
      </c>
      <c r="B2570" s="12" t="n">
        <f aca="false">COUNTIFS(Cleaned!$D$2:$D$125,11,Cleaned!DU$2:DU$125,"&lt;&gt;")</f>
        <v>2</v>
      </c>
      <c r="C2570" s="15" t="n">
        <f aca="false">IF(B2570=0,"",AVERAGEIF(Cleaned!$D$2:$D$125,11,Cleaned!DU$2:DU$125))</f>
        <v>32.5</v>
      </c>
    </row>
    <row r="2571" customFormat="false" ht="15" hidden="false" customHeight="false" outlineLevel="0" collapsed="false">
      <c r="A2571" s="12" t="s">
        <v>715</v>
      </c>
      <c r="B2571" s="12" t="n">
        <f aca="false">COUNTIFS(Cleaned!$D$2:$D$125,12,Cleaned!DU$2:DU$125,"&lt;&gt;")</f>
        <v>1</v>
      </c>
      <c r="C2571" s="15" t="n">
        <f aca="false">IF(B2571=0,"",AVERAGEIF(Cleaned!$D$2:$D$125,12,Cleaned!DU$2:DU$125))</f>
        <v>5</v>
      </c>
    </row>
    <row r="2574" customFormat="false" ht="15" hidden="false" customHeight="false" outlineLevel="0" collapsed="false">
      <c r="A2574" s="6" t="s">
        <v>125</v>
      </c>
      <c r="B2574" s="7" t="s">
        <v>847</v>
      </c>
    </row>
    <row r="2575" customFormat="false" ht="15" hidden="false" customHeight="false" outlineLevel="0" collapsed="false">
      <c r="A2575" s="11" t="s">
        <v>734</v>
      </c>
      <c r="B2575" s="9" t="s">
        <v>694</v>
      </c>
      <c r="C2575" s="9" t="s">
        <v>735</v>
      </c>
      <c r="D2575" s="9" t="s">
        <v>736</v>
      </c>
      <c r="E2575" s="9" t="s">
        <v>737</v>
      </c>
      <c r="F2575" s="9" t="s">
        <v>738</v>
      </c>
    </row>
    <row r="2576" customFormat="false" ht="15" hidden="false" customHeight="false" outlineLevel="0" collapsed="false">
      <c r="B2576" s="12" t="n">
        <f aca="false">COUNT(Cleaned!$DV$2:$DV$125)</f>
        <v>42</v>
      </c>
      <c r="C2576" s="12" t="n">
        <f aca="false">IFERROR(AVERAGE(Cleaned!$DV$2:$DV$125),"")</f>
        <v>889.238095238095</v>
      </c>
      <c r="D2576" s="12" t="n">
        <f aca="false">IFERROR(MEDIAN(Cleaned!$DV$2:$DV$125),"")</f>
        <v>225.5</v>
      </c>
      <c r="E2576" s="12" t="n">
        <f aca="false">IFERROR(MIN(Cleaned!$DV$2:$DV$125),"")</f>
        <v>4</v>
      </c>
      <c r="F2576" s="12" t="n">
        <f aca="false">IFERROR(MAX(Cleaned!$DV$2:$DV$125),"")</f>
        <v>20100</v>
      </c>
    </row>
    <row r="2577" customFormat="false" ht="15" hidden="false" customHeight="false" outlineLevel="0" collapsed="false">
      <c r="A2577" s="11" t="s">
        <v>697</v>
      </c>
      <c r="B2577" s="9" t="s">
        <v>739</v>
      </c>
      <c r="C2577" s="9" t="s">
        <v>735</v>
      </c>
    </row>
    <row r="2578" customFormat="false" ht="15" hidden="false" customHeight="false" outlineLevel="0" collapsed="false">
      <c r="A2578" s="12" t="s">
        <v>698</v>
      </c>
      <c r="B2578" s="12" t="n">
        <f aca="false">COUNTIFS(Cleaned!$C$2:$C$125,1,Cleaned!DV$2:DV$125,"&lt;&gt;")</f>
        <v>5</v>
      </c>
      <c r="C2578" s="15" t="n">
        <f aca="false">IF(B2578=0,"",AVERAGEIF(Cleaned!$C$2:$C$125,1,Cleaned!DV$2:DV$125))</f>
        <v>16.8</v>
      </c>
    </row>
    <row r="2579" customFormat="false" ht="15" hidden="false" customHeight="false" outlineLevel="0" collapsed="false">
      <c r="A2579" s="12" t="s">
        <v>699</v>
      </c>
      <c r="B2579" s="12" t="n">
        <f aca="false">COUNTIFS(Cleaned!$C$2:$C$125,2,Cleaned!DV$2:DV$125,"&lt;&gt;")</f>
        <v>4</v>
      </c>
      <c r="C2579" s="15" t="n">
        <f aca="false">IF(B2579=0,"",AVERAGEIF(Cleaned!$C$2:$C$125,2,Cleaned!DV$2:DV$125))</f>
        <v>27.5</v>
      </c>
    </row>
    <row r="2580" customFormat="false" ht="15" hidden="false" customHeight="false" outlineLevel="0" collapsed="false">
      <c r="A2580" s="12" t="s">
        <v>700</v>
      </c>
      <c r="B2580" s="12" t="n">
        <f aca="false">COUNTIFS(Cleaned!$C$2:$C$125,3,Cleaned!DV$2:DV$125,"&lt;&gt;")</f>
        <v>10</v>
      </c>
      <c r="C2580" s="15" t="n">
        <f aca="false">IF(B2580=0,"",AVERAGEIF(Cleaned!$C$2:$C$125,3,Cleaned!DV$2:DV$125))</f>
        <v>63.8</v>
      </c>
    </row>
    <row r="2581" customFormat="false" ht="15" hidden="false" customHeight="false" outlineLevel="0" collapsed="false">
      <c r="A2581" s="12" t="s">
        <v>701</v>
      </c>
      <c r="B2581" s="12" t="n">
        <f aca="false">COUNTIFS(Cleaned!$C$2:$C$125,4,Cleaned!DV$2:DV$125,"&lt;&gt;")</f>
        <v>8</v>
      </c>
      <c r="C2581" s="15" t="n">
        <f aca="false">IF(B2581=0,"",AVERAGEIF(Cleaned!$C$2:$C$125,4,Cleaned!DV$2:DV$125))</f>
        <v>299.5</v>
      </c>
    </row>
    <row r="2582" customFormat="false" ht="15" hidden="false" customHeight="false" outlineLevel="0" collapsed="false">
      <c r="A2582" s="12" t="s">
        <v>702</v>
      </c>
      <c r="B2582" s="12" t="n">
        <f aca="false">COUNTIFS(Cleaned!$C$2:$C$125,5,Cleaned!DV$2:DV$125,"&lt;&gt;")</f>
        <v>15</v>
      </c>
      <c r="C2582" s="15" t="n">
        <f aca="false">IF(B2582=0,"",AVERAGEIF(Cleaned!$C$2:$C$125,5,Cleaned!DV$2:DV$125))</f>
        <v>2274.66666666667</v>
      </c>
    </row>
    <row r="2583" customFormat="false" ht="15" hidden="false" customHeight="false" outlineLevel="0" collapsed="false">
      <c r="A2583" s="11" t="s">
        <v>3</v>
      </c>
      <c r="B2583" s="9" t="s">
        <v>739</v>
      </c>
      <c r="C2583" s="9" t="s">
        <v>735</v>
      </c>
    </row>
    <row r="2584" customFormat="false" ht="15" hidden="false" customHeight="false" outlineLevel="0" collapsed="false">
      <c r="A2584" s="12" t="s">
        <v>704</v>
      </c>
      <c r="B2584" s="12" t="n">
        <f aca="false">COUNTIFS(Cleaned!$D$2:$D$125,1,Cleaned!DV$2:DV$125,"&lt;&gt;")</f>
        <v>5</v>
      </c>
      <c r="C2584" s="15" t="n">
        <f aca="false">IF(B2584=0,"",AVERAGEIF(Cleaned!$D$2:$D$125,1,Cleaned!DV$2:DV$125))</f>
        <v>41.4</v>
      </c>
    </row>
    <row r="2585" customFormat="false" ht="15" hidden="false" customHeight="false" outlineLevel="0" collapsed="false">
      <c r="A2585" s="12" t="s">
        <v>705</v>
      </c>
      <c r="B2585" s="12" t="n">
        <f aca="false">COUNTIFS(Cleaned!$D$2:$D$125,2,Cleaned!DV$2:DV$125,"&lt;&gt;")</f>
        <v>9</v>
      </c>
      <c r="C2585" s="15" t="n">
        <f aca="false">IF(B2585=0,"",AVERAGEIF(Cleaned!$D$2:$D$125,2,Cleaned!DV$2:DV$125))</f>
        <v>2682</v>
      </c>
    </row>
    <row r="2586" customFormat="false" ht="15" hidden="false" customHeight="false" outlineLevel="0" collapsed="false">
      <c r="A2586" s="12" t="s">
        <v>706</v>
      </c>
      <c r="B2586" s="12" t="n">
        <f aca="false">COUNTIFS(Cleaned!$D$2:$D$125,3,Cleaned!DV$2:DV$125,"&lt;&gt;")</f>
        <v>6</v>
      </c>
      <c r="C2586" s="15" t="n">
        <f aca="false">IF(B2586=0,"",AVERAGEIF(Cleaned!$D$2:$D$125,3,Cleaned!DV$2:DV$125))</f>
        <v>1095</v>
      </c>
    </row>
    <row r="2587" customFormat="false" ht="15" hidden="false" customHeight="false" outlineLevel="0" collapsed="false">
      <c r="A2587" s="12" t="s">
        <v>707</v>
      </c>
      <c r="B2587" s="12" t="n">
        <f aca="false">COUNTIFS(Cleaned!$D$2:$D$125,4,Cleaned!DV$2:DV$125,"&lt;&gt;")</f>
        <v>4</v>
      </c>
      <c r="C2587" s="15" t="n">
        <f aca="false">IF(B2587=0,"",AVERAGEIF(Cleaned!$D$2:$D$125,4,Cleaned!DV$2:DV$125))</f>
        <v>125.5</v>
      </c>
    </row>
    <row r="2588" customFormat="false" ht="15" hidden="false" customHeight="false" outlineLevel="0" collapsed="false">
      <c r="A2588" s="12" t="s">
        <v>708</v>
      </c>
      <c r="B2588" s="12" t="n">
        <f aca="false">COUNTIFS(Cleaned!$D$2:$D$125,5,Cleaned!DV$2:DV$125,"&lt;&gt;")</f>
        <v>1</v>
      </c>
      <c r="C2588" s="15" t="n">
        <f aca="false">IF(B2588=0,"",AVERAGEIF(Cleaned!$D$2:$D$125,5,Cleaned!DV$2:DV$125))</f>
        <v>529</v>
      </c>
    </row>
    <row r="2589" customFormat="false" ht="15" hidden="false" customHeight="false" outlineLevel="0" collapsed="false">
      <c r="A2589" s="12" t="s">
        <v>709</v>
      </c>
      <c r="B2589" s="12" t="n">
        <f aca="false">COUNTIFS(Cleaned!$D$2:$D$125,6,Cleaned!DV$2:DV$125,"&lt;&gt;")</f>
        <v>2</v>
      </c>
      <c r="C2589" s="15" t="n">
        <f aca="false">IF(B2589=0,"",AVERAGEIF(Cleaned!$D$2:$D$125,6,Cleaned!DV$2:DV$125))</f>
        <v>310</v>
      </c>
    </row>
    <row r="2590" customFormat="false" ht="15" hidden="false" customHeight="false" outlineLevel="0" collapsed="false">
      <c r="A2590" s="12" t="s">
        <v>710</v>
      </c>
      <c r="B2590" s="12" t="n">
        <f aca="false">COUNTIFS(Cleaned!$D$2:$D$125,7,Cleaned!DV$2:DV$125,"&lt;&gt;")</f>
        <v>7</v>
      </c>
      <c r="C2590" s="15" t="n">
        <f aca="false">IF(B2590=0,"",AVERAGEIF(Cleaned!$D$2:$D$125,7,Cleaned!DV$2:DV$125))</f>
        <v>572.571428571429</v>
      </c>
    </row>
    <row r="2591" customFormat="false" ht="15" hidden="false" customHeight="false" outlineLevel="0" collapsed="false">
      <c r="A2591" s="12" t="s">
        <v>711</v>
      </c>
      <c r="B2591" s="12" t="n">
        <f aca="false">COUNTIFS(Cleaned!$D$2:$D$125,8,Cleaned!DV$2:DV$125,"&lt;&gt;")</f>
        <v>2</v>
      </c>
      <c r="C2591" s="15" t="n">
        <f aca="false">IF(B2591=0,"",AVERAGEIF(Cleaned!$D$2:$D$125,8,Cleaned!DV$2:DV$125))</f>
        <v>229</v>
      </c>
    </row>
    <row r="2592" customFormat="false" ht="15" hidden="false" customHeight="false" outlineLevel="0" collapsed="false">
      <c r="A2592" s="12" t="s">
        <v>712</v>
      </c>
      <c r="B2592" s="12" t="n">
        <f aca="false">COUNTIFS(Cleaned!$D$2:$D$125,9,Cleaned!DV$2:DV$125,"&lt;&gt;")</f>
        <v>1</v>
      </c>
      <c r="C2592" s="15" t="n">
        <f aca="false">IF(B2592=0,"",AVERAGEIF(Cleaned!$D$2:$D$125,9,Cleaned!DV$2:DV$125))</f>
        <v>10</v>
      </c>
    </row>
    <row r="2593" customFormat="false" ht="15" hidden="false" customHeight="false" outlineLevel="0" collapsed="false">
      <c r="A2593" s="12" t="s">
        <v>713</v>
      </c>
      <c r="B2593" s="12" t="n">
        <f aca="false">COUNTIFS(Cleaned!$D$2:$D$125,10,Cleaned!DV$2:DV$125,"&lt;&gt;")</f>
        <v>0</v>
      </c>
      <c r="C2593" s="15" t="str">
        <f aca="false">IF(B2593=0,"",AVERAGEIF(Cleaned!$D$2:$D$125,10,Cleaned!DV$2:DV$125))</f>
        <v/>
      </c>
    </row>
    <row r="2594" customFormat="false" ht="15" hidden="false" customHeight="false" outlineLevel="0" collapsed="false">
      <c r="A2594" s="12" t="s">
        <v>714</v>
      </c>
      <c r="B2594" s="12" t="n">
        <f aca="false">COUNTIFS(Cleaned!$D$2:$D$125,11,Cleaned!DV$2:DV$125,"&lt;&gt;")</f>
        <v>2</v>
      </c>
      <c r="C2594" s="15" t="n">
        <f aca="false">IF(B2594=0,"",AVERAGEIF(Cleaned!$D$2:$D$125,11,Cleaned!DV$2:DV$125))</f>
        <v>123.5</v>
      </c>
    </row>
    <row r="2595" customFormat="false" ht="15" hidden="false" customHeight="false" outlineLevel="0" collapsed="false">
      <c r="A2595" s="12" t="s">
        <v>715</v>
      </c>
      <c r="B2595" s="12" t="n">
        <f aca="false">COUNTIFS(Cleaned!$D$2:$D$125,12,Cleaned!DV$2:DV$125,"&lt;&gt;")</f>
        <v>3</v>
      </c>
      <c r="C2595" s="15" t="n">
        <f aca="false">IF(B2595=0,"",AVERAGEIF(Cleaned!$D$2:$D$125,12,Cleaned!DV$2:DV$125))</f>
        <v>19.6666666666667</v>
      </c>
    </row>
    <row r="2598" customFormat="false" ht="15" hidden="false" customHeight="false" outlineLevel="0" collapsed="false">
      <c r="A2598" s="6" t="s">
        <v>126</v>
      </c>
      <c r="B2598" s="7" t="s">
        <v>848</v>
      </c>
    </row>
    <row r="2599" customFormat="false" ht="15" hidden="false" customHeight="false" outlineLevel="0" collapsed="false">
      <c r="A2599" s="8"/>
      <c r="B2599" s="9" t="s">
        <v>372</v>
      </c>
      <c r="C2599" s="8"/>
      <c r="D2599" s="9" t="s">
        <v>539</v>
      </c>
      <c r="E2599" s="8"/>
      <c r="F2599" s="9" t="s">
        <v>849</v>
      </c>
      <c r="G2599" s="8"/>
      <c r="H2599" s="9" t="s">
        <v>850</v>
      </c>
      <c r="I2599" s="8"/>
      <c r="J2599" s="9" t="s">
        <v>851</v>
      </c>
      <c r="K2599" s="8"/>
      <c r="L2599" s="9" t="s">
        <v>852</v>
      </c>
      <c r="M2599" s="8"/>
      <c r="N2599" s="9" t="s">
        <v>853</v>
      </c>
      <c r="O2599" s="8"/>
      <c r="P2599" s="9" t="s">
        <v>854</v>
      </c>
      <c r="Q2599" s="8"/>
      <c r="R2599" s="9" t="s">
        <v>589</v>
      </c>
      <c r="S2599" s="8"/>
      <c r="T2599" s="9" t="s">
        <v>855</v>
      </c>
      <c r="U2599" s="8"/>
      <c r="V2599" s="9" t="s">
        <v>583</v>
      </c>
      <c r="W2599" s="8"/>
      <c r="X2599" s="9" t="s">
        <v>230</v>
      </c>
      <c r="Y2599" s="8"/>
      <c r="Z2599" s="9" t="s">
        <v>694</v>
      </c>
    </row>
    <row r="2600" customFormat="false" ht="15" hidden="false" customHeight="false" outlineLevel="0" collapsed="false">
      <c r="B2600" s="10" t="s">
        <v>695</v>
      </c>
      <c r="C2600" s="10" t="s">
        <v>696</v>
      </c>
      <c r="D2600" s="10" t="s">
        <v>695</v>
      </c>
      <c r="E2600" s="10" t="s">
        <v>696</v>
      </c>
      <c r="F2600" s="10" t="s">
        <v>695</v>
      </c>
      <c r="G2600" s="10" t="s">
        <v>696</v>
      </c>
      <c r="H2600" s="10" t="s">
        <v>695</v>
      </c>
      <c r="I2600" s="10" t="s">
        <v>696</v>
      </c>
      <c r="J2600" s="10" t="s">
        <v>695</v>
      </c>
      <c r="K2600" s="10" t="s">
        <v>696</v>
      </c>
      <c r="L2600" s="10" t="s">
        <v>695</v>
      </c>
      <c r="M2600" s="10" t="s">
        <v>696</v>
      </c>
      <c r="N2600" s="10" t="s">
        <v>695</v>
      </c>
      <c r="O2600" s="10" t="s">
        <v>696</v>
      </c>
      <c r="P2600" s="10" t="s">
        <v>695</v>
      </c>
      <c r="Q2600" s="10" t="s">
        <v>696</v>
      </c>
      <c r="R2600" s="10" t="s">
        <v>695</v>
      </c>
      <c r="S2600" s="10" t="s">
        <v>696</v>
      </c>
      <c r="T2600" s="10" t="s">
        <v>695</v>
      </c>
      <c r="U2600" s="10" t="s">
        <v>696</v>
      </c>
      <c r="V2600" s="10" t="s">
        <v>695</v>
      </c>
      <c r="W2600" s="10" t="s">
        <v>696</v>
      </c>
      <c r="X2600" s="10" t="s">
        <v>695</v>
      </c>
      <c r="Y2600" s="10" t="s">
        <v>696</v>
      </c>
    </row>
    <row r="2601" customFormat="false" ht="15" hidden="false" customHeight="false" outlineLevel="0" collapsed="false">
      <c r="A2601" s="11" t="s">
        <v>697</v>
      </c>
    </row>
    <row r="2602" customFormat="false" ht="15" hidden="false" customHeight="false" outlineLevel="0" collapsed="false">
      <c r="A2602" s="12" t="s">
        <v>698</v>
      </c>
      <c r="B2602" s="12" t="n">
        <f aca="false">COUNTIFS(Cleaned!$C$2:$C$125,1,Cleaned!DW$2:DW$125,1)</f>
        <v>1</v>
      </c>
      <c r="C2602" s="13" t="n">
        <f aca="false">IFERROR(B2602/$Z2602,"")</f>
        <v>0.5</v>
      </c>
      <c r="D2602" s="12" t="n">
        <f aca="false">COUNTIFS(Cleaned!$C$2:$C$125,1,Cleaned!DW$2:DW$125,2)</f>
        <v>1</v>
      </c>
      <c r="E2602" s="13" t="n">
        <f aca="false">IFERROR(D2602/$Z2602,"")</f>
        <v>0.5</v>
      </c>
      <c r="F2602" s="12" t="n">
        <f aca="false">COUNTIFS(Cleaned!$C$2:$C$125,1,Cleaned!DW$2:DW$125,3)</f>
        <v>0</v>
      </c>
      <c r="G2602" s="13" t="n">
        <f aca="false">IFERROR(F2602/$Z2602,"")</f>
        <v>0</v>
      </c>
      <c r="H2602" s="12" t="n">
        <f aca="false">COUNTIFS(Cleaned!$C$2:$C$125,1,Cleaned!DW$2:DW$125,4)</f>
        <v>0</v>
      </c>
      <c r="I2602" s="13" t="n">
        <f aca="false">IFERROR(H2602/$Z2602,"")</f>
        <v>0</v>
      </c>
      <c r="J2602" s="12" t="n">
        <f aca="false">COUNTIFS(Cleaned!$C$2:$C$125,1,Cleaned!DW$2:DW$125,5)</f>
        <v>0</v>
      </c>
      <c r="K2602" s="13" t="n">
        <f aca="false">IFERROR(J2602/$Z2602,"")</f>
        <v>0</v>
      </c>
      <c r="L2602" s="12" t="n">
        <f aca="false">COUNTIFS(Cleaned!$C$2:$C$125,1,Cleaned!DW$2:DW$125,6)</f>
        <v>0</v>
      </c>
      <c r="M2602" s="13" t="n">
        <f aca="false">IFERROR(L2602/$Z2602,"")</f>
        <v>0</v>
      </c>
      <c r="N2602" s="12" t="n">
        <f aca="false">COUNTIFS(Cleaned!$C$2:$C$125,1,Cleaned!DW$2:DW$125,7)</f>
        <v>0</v>
      </c>
      <c r="O2602" s="13" t="n">
        <f aca="false">IFERROR(N2602/$Z2602,"")</f>
        <v>0</v>
      </c>
      <c r="P2602" s="12" t="n">
        <f aca="false">COUNTIFS(Cleaned!$C$2:$C$125,1,Cleaned!DW$2:DW$125,8)</f>
        <v>0</v>
      </c>
      <c r="Q2602" s="13" t="n">
        <f aca="false">IFERROR(P2602/$Z2602,"")</f>
        <v>0</v>
      </c>
      <c r="R2602" s="12" t="n">
        <f aca="false">COUNTIFS(Cleaned!$C$2:$C$125,1,Cleaned!DW$2:DW$125,9)</f>
        <v>0</v>
      </c>
      <c r="S2602" s="13" t="n">
        <f aca="false">IFERROR(R2602/$Z2602,"")</f>
        <v>0</v>
      </c>
      <c r="T2602" s="12" t="n">
        <f aca="false">COUNTIFS(Cleaned!$C$2:$C$125,1,Cleaned!DW$2:DW$125,10)</f>
        <v>0</v>
      </c>
      <c r="U2602" s="13" t="n">
        <f aca="false">IFERROR(T2602/$Z2602,"")</f>
        <v>0</v>
      </c>
      <c r="V2602" s="12" t="n">
        <f aca="false">COUNTIFS(Cleaned!$C$2:$C$125,1,Cleaned!DW$2:DW$125,11)</f>
        <v>0</v>
      </c>
      <c r="W2602" s="13" t="n">
        <f aca="false">IFERROR(V2602/$Z2602,"")</f>
        <v>0</v>
      </c>
      <c r="X2602" s="12" t="n">
        <f aca="false">COUNTIFS(Cleaned!$C$2:$C$125,1,Cleaned!DW$2:DW$125,12)</f>
        <v>0</v>
      </c>
      <c r="Y2602" s="13" t="n">
        <f aca="false">IFERROR(X2602/$Z2602,"")</f>
        <v>0</v>
      </c>
      <c r="Z2602" s="12" t="n">
        <f aca="false">B2602+D2602+F2602+H2602+J2602+L2602+N2602+P2602+R2602+T2602+V2602+X2602</f>
        <v>2</v>
      </c>
    </row>
    <row r="2603" customFormat="false" ht="15" hidden="false" customHeight="false" outlineLevel="0" collapsed="false">
      <c r="A2603" s="12" t="s">
        <v>699</v>
      </c>
      <c r="B2603" s="12" t="n">
        <f aca="false">COUNTIFS(Cleaned!$C$2:$C$125,2,Cleaned!DW$2:DW$125,1)</f>
        <v>2</v>
      </c>
      <c r="C2603" s="13" t="n">
        <f aca="false">IFERROR(B2603/$Z2603,"")</f>
        <v>1</v>
      </c>
      <c r="D2603" s="12" t="n">
        <f aca="false">COUNTIFS(Cleaned!$C$2:$C$125,2,Cleaned!DW$2:DW$125,2)</f>
        <v>0</v>
      </c>
      <c r="E2603" s="13" t="n">
        <f aca="false">IFERROR(D2603/$Z2603,"")</f>
        <v>0</v>
      </c>
      <c r="F2603" s="12" t="n">
        <f aca="false">COUNTIFS(Cleaned!$C$2:$C$125,2,Cleaned!DW$2:DW$125,3)</f>
        <v>0</v>
      </c>
      <c r="G2603" s="13" t="n">
        <f aca="false">IFERROR(F2603/$Z2603,"")</f>
        <v>0</v>
      </c>
      <c r="H2603" s="12" t="n">
        <f aca="false">COUNTIFS(Cleaned!$C$2:$C$125,2,Cleaned!DW$2:DW$125,4)</f>
        <v>0</v>
      </c>
      <c r="I2603" s="13" t="n">
        <f aca="false">IFERROR(H2603/$Z2603,"")</f>
        <v>0</v>
      </c>
      <c r="J2603" s="12" t="n">
        <f aca="false">COUNTIFS(Cleaned!$C$2:$C$125,2,Cleaned!DW$2:DW$125,5)</f>
        <v>0</v>
      </c>
      <c r="K2603" s="13" t="n">
        <f aca="false">IFERROR(J2603/$Z2603,"")</f>
        <v>0</v>
      </c>
      <c r="L2603" s="12" t="n">
        <f aca="false">COUNTIFS(Cleaned!$C$2:$C$125,2,Cleaned!DW$2:DW$125,6)</f>
        <v>0</v>
      </c>
      <c r="M2603" s="13" t="n">
        <f aca="false">IFERROR(L2603/$Z2603,"")</f>
        <v>0</v>
      </c>
      <c r="N2603" s="12" t="n">
        <f aca="false">COUNTIFS(Cleaned!$C$2:$C$125,2,Cleaned!DW$2:DW$125,7)</f>
        <v>0</v>
      </c>
      <c r="O2603" s="13" t="n">
        <f aca="false">IFERROR(N2603/$Z2603,"")</f>
        <v>0</v>
      </c>
      <c r="P2603" s="12" t="n">
        <f aca="false">COUNTIFS(Cleaned!$C$2:$C$125,2,Cleaned!DW$2:DW$125,8)</f>
        <v>0</v>
      </c>
      <c r="Q2603" s="13" t="n">
        <f aca="false">IFERROR(P2603/$Z2603,"")</f>
        <v>0</v>
      </c>
      <c r="R2603" s="12" t="n">
        <f aca="false">COUNTIFS(Cleaned!$C$2:$C$125,2,Cleaned!DW$2:DW$125,9)</f>
        <v>0</v>
      </c>
      <c r="S2603" s="13" t="n">
        <f aca="false">IFERROR(R2603/$Z2603,"")</f>
        <v>0</v>
      </c>
      <c r="T2603" s="12" t="n">
        <f aca="false">COUNTIFS(Cleaned!$C$2:$C$125,2,Cleaned!DW$2:DW$125,10)</f>
        <v>0</v>
      </c>
      <c r="U2603" s="13" t="n">
        <f aca="false">IFERROR(T2603/$Z2603,"")</f>
        <v>0</v>
      </c>
      <c r="V2603" s="12" t="n">
        <f aca="false">COUNTIFS(Cleaned!$C$2:$C$125,2,Cleaned!DW$2:DW$125,11)</f>
        <v>0</v>
      </c>
      <c r="W2603" s="13" t="n">
        <f aca="false">IFERROR(V2603/$Z2603,"")</f>
        <v>0</v>
      </c>
      <c r="X2603" s="12" t="n">
        <f aca="false">COUNTIFS(Cleaned!$C$2:$C$125,2,Cleaned!DW$2:DW$125,12)</f>
        <v>0</v>
      </c>
      <c r="Y2603" s="13" t="n">
        <f aca="false">IFERROR(X2603/$Z2603,"")</f>
        <v>0</v>
      </c>
      <c r="Z2603" s="12" t="n">
        <f aca="false">B2603+D2603+F2603+H2603+J2603+L2603+N2603+P2603+R2603+T2603+V2603+X2603</f>
        <v>2</v>
      </c>
    </row>
    <row r="2604" customFormat="false" ht="15" hidden="false" customHeight="false" outlineLevel="0" collapsed="false">
      <c r="A2604" s="12" t="s">
        <v>700</v>
      </c>
      <c r="B2604" s="12" t="n">
        <f aca="false">COUNTIFS(Cleaned!$C$2:$C$125,3,Cleaned!DW$2:DW$125,1)</f>
        <v>3</v>
      </c>
      <c r="C2604" s="13" t="n">
        <f aca="false">IFERROR(B2604/$Z2604,"")</f>
        <v>0.5</v>
      </c>
      <c r="D2604" s="12" t="n">
        <f aca="false">COUNTIFS(Cleaned!$C$2:$C$125,3,Cleaned!DW$2:DW$125,2)</f>
        <v>1</v>
      </c>
      <c r="E2604" s="13" t="n">
        <f aca="false">IFERROR(D2604/$Z2604,"")</f>
        <v>0.166666666666667</v>
      </c>
      <c r="F2604" s="12" t="n">
        <f aca="false">COUNTIFS(Cleaned!$C$2:$C$125,3,Cleaned!DW$2:DW$125,3)</f>
        <v>0</v>
      </c>
      <c r="G2604" s="13" t="n">
        <f aca="false">IFERROR(F2604/$Z2604,"")</f>
        <v>0</v>
      </c>
      <c r="H2604" s="12" t="n">
        <f aca="false">COUNTIFS(Cleaned!$C$2:$C$125,3,Cleaned!DW$2:DW$125,4)</f>
        <v>1</v>
      </c>
      <c r="I2604" s="13" t="n">
        <f aca="false">IFERROR(H2604/$Z2604,"")</f>
        <v>0.166666666666667</v>
      </c>
      <c r="J2604" s="12" t="n">
        <f aca="false">COUNTIFS(Cleaned!$C$2:$C$125,3,Cleaned!DW$2:DW$125,5)</f>
        <v>0</v>
      </c>
      <c r="K2604" s="13" t="n">
        <f aca="false">IFERROR(J2604/$Z2604,"")</f>
        <v>0</v>
      </c>
      <c r="L2604" s="12" t="n">
        <f aca="false">COUNTIFS(Cleaned!$C$2:$C$125,3,Cleaned!DW$2:DW$125,6)</f>
        <v>0</v>
      </c>
      <c r="M2604" s="13" t="n">
        <f aca="false">IFERROR(L2604/$Z2604,"")</f>
        <v>0</v>
      </c>
      <c r="N2604" s="12" t="n">
        <f aca="false">COUNTIFS(Cleaned!$C$2:$C$125,3,Cleaned!DW$2:DW$125,7)</f>
        <v>1</v>
      </c>
      <c r="O2604" s="13" t="n">
        <f aca="false">IFERROR(N2604/$Z2604,"")</f>
        <v>0.166666666666667</v>
      </c>
      <c r="P2604" s="12" t="n">
        <f aca="false">COUNTIFS(Cleaned!$C$2:$C$125,3,Cleaned!DW$2:DW$125,8)</f>
        <v>0</v>
      </c>
      <c r="Q2604" s="13" t="n">
        <f aca="false">IFERROR(P2604/$Z2604,"")</f>
        <v>0</v>
      </c>
      <c r="R2604" s="12" t="n">
        <f aca="false">COUNTIFS(Cleaned!$C$2:$C$125,3,Cleaned!DW$2:DW$125,9)</f>
        <v>0</v>
      </c>
      <c r="S2604" s="13" t="n">
        <f aca="false">IFERROR(R2604/$Z2604,"")</f>
        <v>0</v>
      </c>
      <c r="T2604" s="12" t="n">
        <f aca="false">COUNTIFS(Cleaned!$C$2:$C$125,3,Cleaned!DW$2:DW$125,10)</f>
        <v>0</v>
      </c>
      <c r="U2604" s="13" t="n">
        <f aca="false">IFERROR(T2604/$Z2604,"")</f>
        <v>0</v>
      </c>
      <c r="V2604" s="12" t="n">
        <f aca="false">COUNTIFS(Cleaned!$C$2:$C$125,3,Cleaned!DW$2:DW$125,11)</f>
        <v>0</v>
      </c>
      <c r="W2604" s="13" t="n">
        <f aca="false">IFERROR(V2604/$Z2604,"")</f>
        <v>0</v>
      </c>
      <c r="X2604" s="12" t="n">
        <f aca="false">COUNTIFS(Cleaned!$C$2:$C$125,3,Cleaned!DW$2:DW$125,12)</f>
        <v>0</v>
      </c>
      <c r="Y2604" s="13" t="n">
        <f aca="false">IFERROR(X2604/$Z2604,"")</f>
        <v>0</v>
      </c>
      <c r="Z2604" s="12" t="n">
        <f aca="false">B2604+D2604+F2604+H2604+J2604+L2604+N2604+P2604+R2604+T2604+V2604+X2604</f>
        <v>6</v>
      </c>
    </row>
    <row r="2605" customFormat="false" ht="15" hidden="false" customHeight="false" outlineLevel="0" collapsed="false">
      <c r="A2605" s="12" t="s">
        <v>701</v>
      </c>
      <c r="B2605" s="12" t="n">
        <f aca="false">COUNTIFS(Cleaned!$C$2:$C$125,4,Cleaned!DW$2:DW$125,1)</f>
        <v>3</v>
      </c>
      <c r="C2605" s="13" t="n">
        <f aca="false">IFERROR(B2605/$Z2605,"")</f>
        <v>0.428571428571429</v>
      </c>
      <c r="D2605" s="12" t="n">
        <f aca="false">COUNTIFS(Cleaned!$C$2:$C$125,4,Cleaned!DW$2:DW$125,2)</f>
        <v>1</v>
      </c>
      <c r="E2605" s="13" t="n">
        <f aca="false">IFERROR(D2605/$Z2605,"")</f>
        <v>0.142857142857143</v>
      </c>
      <c r="F2605" s="12" t="n">
        <f aca="false">COUNTIFS(Cleaned!$C$2:$C$125,4,Cleaned!DW$2:DW$125,3)</f>
        <v>0</v>
      </c>
      <c r="G2605" s="13" t="n">
        <f aca="false">IFERROR(F2605/$Z2605,"")</f>
        <v>0</v>
      </c>
      <c r="H2605" s="12" t="n">
        <f aca="false">COUNTIFS(Cleaned!$C$2:$C$125,4,Cleaned!DW$2:DW$125,4)</f>
        <v>0</v>
      </c>
      <c r="I2605" s="13" t="n">
        <f aca="false">IFERROR(H2605/$Z2605,"")</f>
        <v>0</v>
      </c>
      <c r="J2605" s="12" t="n">
        <f aca="false">COUNTIFS(Cleaned!$C$2:$C$125,4,Cleaned!DW$2:DW$125,5)</f>
        <v>0</v>
      </c>
      <c r="K2605" s="13" t="n">
        <f aca="false">IFERROR(J2605/$Z2605,"")</f>
        <v>0</v>
      </c>
      <c r="L2605" s="12" t="n">
        <f aca="false">COUNTIFS(Cleaned!$C$2:$C$125,4,Cleaned!DW$2:DW$125,6)</f>
        <v>0</v>
      </c>
      <c r="M2605" s="13" t="n">
        <f aca="false">IFERROR(L2605/$Z2605,"")</f>
        <v>0</v>
      </c>
      <c r="N2605" s="12" t="n">
        <f aca="false">COUNTIFS(Cleaned!$C$2:$C$125,4,Cleaned!DW$2:DW$125,7)</f>
        <v>0</v>
      </c>
      <c r="O2605" s="13" t="n">
        <f aca="false">IFERROR(N2605/$Z2605,"")</f>
        <v>0</v>
      </c>
      <c r="P2605" s="12" t="n">
        <f aca="false">COUNTIFS(Cleaned!$C$2:$C$125,4,Cleaned!DW$2:DW$125,8)</f>
        <v>0</v>
      </c>
      <c r="Q2605" s="13" t="n">
        <f aca="false">IFERROR(P2605/$Z2605,"")</f>
        <v>0</v>
      </c>
      <c r="R2605" s="12" t="n">
        <f aca="false">COUNTIFS(Cleaned!$C$2:$C$125,4,Cleaned!DW$2:DW$125,9)</f>
        <v>0</v>
      </c>
      <c r="S2605" s="13" t="n">
        <f aca="false">IFERROR(R2605/$Z2605,"")</f>
        <v>0</v>
      </c>
      <c r="T2605" s="12" t="n">
        <f aca="false">COUNTIFS(Cleaned!$C$2:$C$125,4,Cleaned!DW$2:DW$125,10)</f>
        <v>1</v>
      </c>
      <c r="U2605" s="13" t="n">
        <f aca="false">IFERROR(T2605/$Z2605,"")</f>
        <v>0.142857142857143</v>
      </c>
      <c r="V2605" s="12" t="n">
        <f aca="false">COUNTIFS(Cleaned!$C$2:$C$125,4,Cleaned!DW$2:DW$125,11)</f>
        <v>1</v>
      </c>
      <c r="W2605" s="13" t="n">
        <f aca="false">IFERROR(V2605/$Z2605,"")</f>
        <v>0.142857142857143</v>
      </c>
      <c r="X2605" s="12" t="n">
        <f aca="false">COUNTIFS(Cleaned!$C$2:$C$125,4,Cleaned!DW$2:DW$125,12)</f>
        <v>1</v>
      </c>
      <c r="Y2605" s="13" t="n">
        <f aca="false">IFERROR(X2605/$Z2605,"")</f>
        <v>0.142857142857143</v>
      </c>
      <c r="Z2605" s="12" t="n">
        <f aca="false">B2605+D2605+F2605+H2605+J2605+L2605+N2605+P2605+R2605+T2605+V2605+X2605</f>
        <v>7</v>
      </c>
    </row>
    <row r="2606" customFormat="false" ht="15" hidden="false" customHeight="false" outlineLevel="0" collapsed="false">
      <c r="A2606" s="12" t="s">
        <v>702</v>
      </c>
      <c r="B2606" s="12" t="n">
        <f aca="false">COUNTIFS(Cleaned!$C$2:$C$125,5,Cleaned!DW$2:DW$125,1)</f>
        <v>2</v>
      </c>
      <c r="C2606" s="13" t="n">
        <f aca="false">IFERROR(B2606/$Z2606,"")</f>
        <v>0.25</v>
      </c>
      <c r="D2606" s="12" t="n">
        <f aca="false">COUNTIFS(Cleaned!$C$2:$C$125,5,Cleaned!DW$2:DW$125,2)</f>
        <v>0</v>
      </c>
      <c r="E2606" s="13" t="n">
        <f aca="false">IFERROR(D2606/$Z2606,"")</f>
        <v>0</v>
      </c>
      <c r="F2606" s="12" t="n">
        <f aca="false">COUNTIFS(Cleaned!$C$2:$C$125,5,Cleaned!DW$2:DW$125,3)</f>
        <v>1</v>
      </c>
      <c r="G2606" s="13" t="n">
        <f aca="false">IFERROR(F2606/$Z2606,"")</f>
        <v>0.125</v>
      </c>
      <c r="H2606" s="12" t="n">
        <f aca="false">COUNTIFS(Cleaned!$C$2:$C$125,5,Cleaned!DW$2:DW$125,4)</f>
        <v>0</v>
      </c>
      <c r="I2606" s="13" t="n">
        <f aca="false">IFERROR(H2606/$Z2606,"")</f>
        <v>0</v>
      </c>
      <c r="J2606" s="12" t="n">
        <f aca="false">COUNTIFS(Cleaned!$C$2:$C$125,5,Cleaned!DW$2:DW$125,5)</f>
        <v>1</v>
      </c>
      <c r="K2606" s="13" t="n">
        <f aca="false">IFERROR(J2606/$Z2606,"")</f>
        <v>0.125</v>
      </c>
      <c r="L2606" s="12" t="n">
        <f aca="false">COUNTIFS(Cleaned!$C$2:$C$125,5,Cleaned!DW$2:DW$125,6)</f>
        <v>1</v>
      </c>
      <c r="M2606" s="13" t="n">
        <f aca="false">IFERROR(L2606/$Z2606,"")</f>
        <v>0.125</v>
      </c>
      <c r="N2606" s="12" t="n">
        <f aca="false">COUNTIFS(Cleaned!$C$2:$C$125,5,Cleaned!DW$2:DW$125,7)</f>
        <v>0</v>
      </c>
      <c r="O2606" s="13" t="n">
        <f aca="false">IFERROR(N2606/$Z2606,"")</f>
        <v>0</v>
      </c>
      <c r="P2606" s="12" t="n">
        <f aca="false">COUNTIFS(Cleaned!$C$2:$C$125,5,Cleaned!DW$2:DW$125,8)</f>
        <v>2</v>
      </c>
      <c r="Q2606" s="13" t="n">
        <f aca="false">IFERROR(P2606/$Z2606,"")</f>
        <v>0.25</v>
      </c>
      <c r="R2606" s="12" t="n">
        <f aca="false">COUNTIFS(Cleaned!$C$2:$C$125,5,Cleaned!DW$2:DW$125,9)</f>
        <v>1</v>
      </c>
      <c r="S2606" s="13" t="n">
        <f aca="false">IFERROR(R2606/$Z2606,"")</f>
        <v>0.125</v>
      </c>
      <c r="T2606" s="12" t="n">
        <f aca="false">COUNTIFS(Cleaned!$C$2:$C$125,5,Cleaned!DW$2:DW$125,10)</f>
        <v>0</v>
      </c>
      <c r="U2606" s="13" t="n">
        <f aca="false">IFERROR(T2606/$Z2606,"")</f>
        <v>0</v>
      </c>
      <c r="V2606" s="12" t="n">
        <f aca="false">COUNTIFS(Cleaned!$C$2:$C$125,5,Cleaned!DW$2:DW$125,11)</f>
        <v>0</v>
      </c>
      <c r="W2606" s="13" t="n">
        <f aca="false">IFERROR(V2606/$Z2606,"")</f>
        <v>0</v>
      </c>
      <c r="X2606" s="12" t="n">
        <f aca="false">COUNTIFS(Cleaned!$C$2:$C$125,5,Cleaned!DW$2:DW$125,12)</f>
        <v>0</v>
      </c>
      <c r="Y2606" s="13" t="n">
        <f aca="false">IFERROR(X2606/$Z2606,"")</f>
        <v>0</v>
      </c>
      <c r="Z2606" s="12" t="n">
        <f aca="false">B2606+D2606+F2606+H2606+J2606+L2606+N2606+P2606+R2606+T2606+V2606+X2606</f>
        <v>8</v>
      </c>
    </row>
    <row r="2607" customFormat="false" ht="15" hidden="false" customHeight="false" outlineLevel="0" collapsed="false">
      <c r="A2607" s="11" t="s">
        <v>703</v>
      </c>
      <c r="B2607" s="11" t="n">
        <f aca="false">SUM(B2602:B2606)</f>
        <v>11</v>
      </c>
      <c r="C2607" s="14" t="n">
        <f aca="false">IFERROR(B2607/$Z2607,"")</f>
        <v>0.44</v>
      </c>
      <c r="D2607" s="11" t="n">
        <f aca="false">SUM(D2602:D2606)</f>
        <v>3</v>
      </c>
      <c r="E2607" s="14" t="n">
        <f aca="false">IFERROR(D2607/$Z2607,"")</f>
        <v>0.12</v>
      </c>
      <c r="F2607" s="11" t="n">
        <f aca="false">SUM(F2602:F2606)</f>
        <v>1</v>
      </c>
      <c r="G2607" s="14" t="n">
        <f aca="false">IFERROR(F2607/$Z2607,"")</f>
        <v>0.04</v>
      </c>
      <c r="H2607" s="11" t="n">
        <f aca="false">SUM(H2602:H2606)</f>
        <v>1</v>
      </c>
      <c r="I2607" s="14" t="n">
        <f aca="false">IFERROR(H2607/$Z2607,"")</f>
        <v>0.04</v>
      </c>
      <c r="J2607" s="11" t="n">
        <f aca="false">SUM(J2602:J2606)</f>
        <v>1</v>
      </c>
      <c r="K2607" s="14" t="n">
        <f aca="false">IFERROR(J2607/$Z2607,"")</f>
        <v>0.04</v>
      </c>
      <c r="L2607" s="11" t="n">
        <f aca="false">SUM(L2602:L2606)</f>
        <v>1</v>
      </c>
      <c r="M2607" s="14" t="n">
        <f aca="false">IFERROR(L2607/$Z2607,"")</f>
        <v>0.04</v>
      </c>
      <c r="N2607" s="11" t="n">
        <f aca="false">SUM(N2602:N2606)</f>
        <v>1</v>
      </c>
      <c r="O2607" s="14" t="n">
        <f aca="false">IFERROR(N2607/$Z2607,"")</f>
        <v>0.04</v>
      </c>
      <c r="P2607" s="11" t="n">
        <f aca="false">SUM(P2602:P2606)</f>
        <v>2</v>
      </c>
      <c r="Q2607" s="14" t="n">
        <f aca="false">IFERROR(P2607/$Z2607,"")</f>
        <v>0.08</v>
      </c>
      <c r="R2607" s="11" t="n">
        <f aca="false">SUM(R2602:R2606)</f>
        <v>1</v>
      </c>
      <c r="S2607" s="14" t="n">
        <f aca="false">IFERROR(R2607/$Z2607,"")</f>
        <v>0.04</v>
      </c>
      <c r="T2607" s="11" t="n">
        <f aca="false">SUM(T2602:T2606)</f>
        <v>1</v>
      </c>
      <c r="U2607" s="14" t="n">
        <f aca="false">IFERROR(T2607/$Z2607,"")</f>
        <v>0.04</v>
      </c>
      <c r="V2607" s="11" t="n">
        <f aca="false">SUM(V2602:V2606)</f>
        <v>1</v>
      </c>
      <c r="W2607" s="14" t="n">
        <f aca="false">IFERROR(V2607/$Z2607,"")</f>
        <v>0.04</v>
      </c>
      <c r="X2607" s="11" t="n">
        <f aca="false">SUM(X2602:X2606)</f>
        <v>1</v>
      </c>
      <c r="Y2607" s="14" t="n">
        <f aca="false">IFERROR(X2607/$Z2607,"")</f>
        <v>0.04</v>
      </c>
      <c r="Z2607" s="11" t="n">
        <f aca="false">SUM(Z2602:Z2606)</f>
        <v>25</v>
      </c>
    </row>
    <row r="2608" customFormat="false" ht="15" hidden="false" customHeight="false" outlineLevel="0" collapsed="false">
      <c r="A2608" s="11" t="s">
        <v>3</v>
      </c>
    </row>
    <row r="2609" customFormat="false" ht="15" hidden="false" customHeight="false" outlineLevel="0" collapsed="false">
      <c r="A2609" s="12" t="s">
        <v>704</v>
      </c>
      <c r="B2609" s="12" t="n">
        <f aca="false">COUNTIFS(Cleaned!$D$2:$D$125,1,Cleaned!DW$2:DW$125,1)</f>
        <v>2</v>
      </c>
      <c r="C2609" s="13" t="n">
        <f aca="false">IFERROR(B2609/$Z2609,"")</f>
        <v>0.666666666666667</v>
      </c>
      <c r="D2609" s="12" t="n">
        <f aca="false">COUNTIFS(Cleaned!$D$2:$D$125,1,Cleaned!DW$2:DW$125,2)</f>
        <v>1</v>
      </c>
      <c r="E2609" s="13" t="n">
        <f aca="false">IFERROR(D2609/$Z2609,"")</f>
        <v>0.333333333333333</v>
      </c>
      <c r="F2609" s="12" t="n">
        <f aca="false">COUNTIFS(Cleaned!$D$2:$D$125,1,Cleaned!DW$2:DW$125,3)</f>
        <v>0</v>
      </c>
      <c r="G2609" s="13" t="n">
        <f aca="false">IFERROR(F2609/$Z2609,"")</f>
        <v>0</v>
      </c>
      <c r="H2609" s="12" t="n">
        <f aca="false">COUNTIFS(Cleaned!$D$2:$D$125,1,Cleaned!DW$2:DW$125,4)</f>
        <v>0</v>
      </c>
      <c r="I2609" s="13" t="n">
        <f aca="false">IFERROR(H2609/$Z2609,"")</f>
        <v>0</v>
      </c>
      <c r="J2609" s="12" t="n">
        <f aca="false">COUNTIFS(Cleaned!$D$2:$D$125,1,Cleaned!DW$2:DW$125,5)</f>
        <v>0</v>
      </c>
      <c r="K2609" s="13" t="n">
        <f aca="false">IFERROR(J2609/$Z2609,"")</f>
        <v>0</v>
      </c>
      <c r="L2609" s="12" t="n">
        <f aca="false">COUNTIFS(Cleaned!$D$2:$D$125,1,Cleaned!DW$2:DW$125,6)</f>
        <v>0</v>
      </c>
      <c r="M2609" s="13" t="n">
        <f aca="false">IFERROR(L2609/$Z2609,"")</f>
        <v>0</v>
      </c>
      <c r="N2609" s="12" t="n">
        <f aca="false">COUNTIFS(Cleaned!$D$2:$D$125,1,Cleaned!DW$2:DW$125,7)</f>
        <v>0</v>
      </c>
      <c r="O2609" s="13" t="n">
        <f aca="false">IFERROR(N2609/$Z2609,"")</f>
        <v>0</v>
      </c>
      <c r="P2609" s="12" t="n">
        <f aca="false">COUNTIFS(Cleaned!$D$2:$D$125,1,Cleaned!DW$2:DW$125,8)</f>
        <v>0</v>
      </c>
      <c r="Q2609" s="13" t="n">
        <f aca="false">IFERROR(P2609/$Z2609,"")</f>
        <v>0</v>
      </c>
      <c r="R2609" s="12" t="n">
        <f aca="false">COUNTIFS(Cleaned!$D$2:$D$125,1,Cleaned!DW$2:DW$125,9)</f>
        <v>0</v>
      </c>
      <c r="S2609" s="13" t="n">
        <f aca="false">IFERROR(R2609/$Z2609,"")</f>
        <v>0</v>
      </c>
      <c r="T2609" s="12" t="n">
        <f aca="false">COUNTIFS(Cleaned!$D$2:$D$125,1,Cleaned!DW$2:DW$125,10)</f>
        <v>0</v>
      </c>
      <c r="U2609" s="13" t="n">
        <f aca="false">IFERROR(T2609/$Z2609,"")</f>
        <v>0</v>
      </c>
      <c r="V2609" s="12" t="n">
        <f aca="false">COUNTIFS(Cleaned!$D$2:$D$125,1,Cleaned!DW$2:DW$125,11)</f>
        <v>0</v>
      </c>
      <c r="W2609" s="13" t="n">
        <f aca="false">IFERROR(V2609/$Z2609,"")</f>
        <v>0</v>
      </c>
      <c r="X2609" s="12" t="n">
        <f aca="false">COUNTIFS(Cleaned!$D$2:$D$125,1,Cleaned!DW$2:DW$125,12)</f>
        <v>0</v>
      </c>
      <c r="Y2609" s="13" t="n">
        <f aca="false">IFERROR(X2609/$Z2609,"")</f>
        <v>0</v>
      </c>
      <c r="Z2609" s="12" t="n">
        <f aca="false">B2609+D2609+F2609+H2609+J2609+L2609+N2609+P2609+R2609+T2609+V2609+X2609</f>
        <v>3</v>
      </c>
    </row>
    <row r="2610" customFormat="false" ht="15" hidden="false" customHeight="false" outlineLevel="0" collapsed="false">
      <c r="A2610" s="12" t="s">
        <v>705</v>
      </c>
      <c r="B2610" s="12" t="n">
        <f aca="false">COUNTIFS(Cleaned!$D$2:$D$125,2,Cleaned!DW$2:DW$125,1)</f>
        <v>1</v>
      </c>
      <c r="C2610" s="13" t="n">
        <f aca="false">IFERROR(B2610/$Z2610,"")</f>
        <v>0.333333333333333</v>
      </c>
      <c r="D2610" s="12" t="n">
        <f aca="false">COUNTIFS(Cleaned!$D$2:$D$125,2,Cleaned!DW$2:DW$125,2)</f>
        <v>0</v>
      </c>
      <c r="E2610" s="13" t="n">
        <f aca="false">IFERROR(D2610/$Z2610,"")</f>
        <v>0</v>
      </c>
      <c r="F2610" s="12" t="n">
        <f aca="false">COUNTIFS(Cleaned!$D$2:$D$125,2,Cleaned!DW$2:DW$125,3)</f>
        <v>0</v>
      </c>
      <c r="G2610" s="13" t="n">
        <f aca="false">IFERROR(F2610/$Z2610,"")</f>
        <v>0</v>
      </c>
      <c r="H2610" s="12" t="n">
        <f aca="false">COUNTIFS(Cleaned!$D$2:$D$125,2,Cleaned!DW$2:DW$125,4)</f>
        <v>0</v>
      </c>
      <c r="I2610" s="13" t="n">
        <f aca="false">IFERROR(H2610/$Z2610,"")</f>
        <v>0</v>
      </c>
      <c r="J2610" s="12" t="n">
        <f aca="false">COUNTIFS(Cleaned!$D$2:$D$125,2,Cleaned!DW$2:DW$125,5)</f>
        <v>1</v>
      </c>
      <c r="K2610" s="13" t="n">
        <f aca="false">IFERROR(J2610/$Z2610,"")</f>
        <v>0.333333333333333</v>
      </c>
      <c r="L2610" s="12" t="n">
        <f aca="false">COUNTIFS(Cleaned!$D$2:$D$125,2,Cleaned!DW$2:DW$125,6)</f>
        <v>1</v>
      </c>
      <c r="M2610" s="13" t="n">
        <f aca="false">IFERROR(L2610/$Z2610,"")</f>
        <v>0.333333333333333</v>
      </c>
      <c r="N2610" s="12" t="n">
        <f aca="false">COUNTIFS(Cleaned!$D$2:$D$125,2,Cleaned!DW$2:DW$125,7)</f>
        <v>0</v>
      </c>
      <c r="O2610" s="13" t="n">
        <f aca="false">IFERROR(N2610/$Z2610,"")</f>
        <v>0</v>
      </c>
      <c r="P2610" s="12" t="n">
        <f aca="false">COUNTIFS(Cleaned!$D$2:$D$125,2,Cleaned!DW$2:DW$125,8)</f>
        <v>0</v>
      </c>
      <c r="Q2610" s="13" t="n">
        <f aca="false">IFERROR(P2610/$Z2610,"")</f>
        <v>0</v>
      </c>
      <c r="R2610" s="12" t="n">
        <f aca="false">COUNTIFS(Cleaned!$D$2:$D$125,2,Cleaned!DW$2:DW$125,9)</f>
        <v>0</v>
      </c>
      <c r="S2610" s="13" t="n">
        <f aca="false">IFERROR(R2610/$Z2610,"")</f>
        <v>0</v>
      </c>
      <c r="T2610" s="12" t="n">
        <f aca="false">COUNTIFS(Cleaned!$D$2:$D$125,2,Cleaned!DW$2:DW$125,10)</f>
        <v>0</v>
      </c>
      <c r="U2610" s="13" t="n">
        <f aca="false">IFERROR(T2610/$Z2610,"")</f>
        <v>0</v>
      </c>
      <c r="V2610" s="12" t="n">
        <f aca="false">COUNTIFS(Cleaned!$D$2:$D$125,2,Cleaned!DW$2:DW$125,11)</f>
        <v>0</v>
      </c>
      <c r="W2610" s="13" t="n">
        <f aca="false">IFERROR(V2610/$Z2610,"")</f>
        <v>0</v>
      </c>
      <c r="X2610" s="12" t="n">
        <f aca="false">COUNTIFS(Cleaned!$D$2:$D$125,2,Cleaned!DW$2:DW$125,12)</f>
        <v>0</v>
      </c>
      <c r="Y2610" s="13" t="n">
        <f aca="false">IFERROR(X2610/$Z2610,"")</f>
        <v>0</v>
      </c>
      <c r="Z2610" s="12" t="n">
        <f aca="false">B2610+D2610+F2610+H2610+J2610+L2610+N2610+P2610+R2610+T2610+V2610+X2610</f>
        <v>3</v>
      </c>
    </row>
    <row r="2611" customFormat="false" ht="15" hidden="false" customHeight="false" outlineLevel="0" collapsed="false">
      <c r="A2611" s="12" t="s">
        <v>706</v>
      </c>
      <c r="B2611" s="12" t="n">
        <f aca="false">COUNTIFS(Cleaned!$D$2:$D$125,3,Cleaned!DW$2:DW$125,1)</f>
        <v>2</v>
      </c>
      <c r="C2611" s="13" t="n">
        <f aca="false">IFERROR(B2611/$Z2611,"")</f>
        <v>0.4</v>
      </c>
      <c r="D2611" s="12" t="n">
        <f aca="false">COUNTIFS(Cleaned!$D$2:$D$125,3,Cleaned!DW$2:DW$125,2)</f>
        <v>0</v>
      </c>
      <c r="E2611" s="13" t="n">
        <f aca="false">IFERROR(D2611/$Z2611,"")</f>
        <v>0</v>
      </c>
      <c r="F2611" s="12" t="n">
        <f aca="false">COUNTIFS(Cleaned!$D$2:$D$125,3,Cleaned!DW$2:DW$125,3)</f>
        <v>0</v>
      </c>
      <c r="G2611" s="13" t="n">
        <f aca="false">IFERROR(F2611/$Z2611,"")</f>
        <v>0</v>
      </c>
      <c r="H2611" s="12" t="n">
        <f aca="false">COUNTIFS(Cleaned!$D$2:$D$125,3,Cleaned!DW$2:DW$125,4)</f>
        <v>0</v>
      </c>
      <c r="I2611" s="13" t="n">
        <f aca="false">IFERROR(H2611/$Z2611,"")</f>
        <v>0</v>
      </c>
      <c r="J2611" s="12" t="n">
        <f aca="false">COUNTIFS(Cleaned!$D$2:$D$125,3,Cleaned!DW$2:DW$125,5)</f>
        <v>0</v>
      </c>
      <c r="K2611" s="13" t="n">
        <f aca="false">IFERROR(J2611/$Z2611,"")</f>
        <v>0</v>
      </c>
      <c r="L2611" s="12" t="n">
        <f aca="false">COUNTIFS(Cleaned!$D$2:$D$125,3,Cleaned!DW$2:DW$125,6)</f>
        <v>0</v>
      </c>
      <c r="M2611" s="13" t="n">
        <f aca="false">IFERROR(L2611/$Z2611,"")</f>
        <v>0</v>
      </c>
      <c r="N2611" s="12" t="n">
        <f aca="false">COUNTIFS(Cleaned!$D$2:$D$125,3,Cleaned!DW$2:DW$125,7)</f>
        <v>1</v>
      </c>
      <c r="O2611" s="13" t="n">
        <f aca="false">IFERROR(N2611/$Z2611,"")</f>
        <v>0.2</v>
      </c>
      <c r="P2611" s="12" t="n">
        <f aca="false">COUNTIFS(Cleaned!$D$2:$D$125,3,Cleaned!DW$2:DW$125,8)</f>
        <v>2</v>
      </c>
      <c r="Q2611" s="13" t="n">
        <f aca="false">IFERROR(P2611/$Z2611,"")</f>
        <v>0.4</v>
      </c>
      <c r="R2611" s="12" t="n">
        <f aca="false">COUNTIFS(Cleaned!$D$2:$D$125,3,Cleaned!DW$2:DW$125,9)</f>
        <v>0</v>
      </c>
      <c r="S2611" s="13" t="n">
        <f aca="false">IFERROR(R2611/$Z2611,"")</f>
        <v>0</v>
      </c>
      <c r="T2611" s="12" t="n">
        <f aca="false">COUNTIFS(Cleaned!$D$2:$D$125,3,Cleaned!DW$2:DW$125,10)</f>
        <v>0</v>
      </c>
      <c r="U2611" s="13" t="n">
        <f aca="false">IFERROR(T2611/$Z2611,"")</f>
        <v>0</v>
      </c>
      <c r="V2611" s="12" t="n">
        <f aca="false">COUNTIFS(Cleaned!$D$2:$D$125,3,Cleaned!DW$2:DW$125,11)</f>
        <v>0</v>
      </c>
      <c r="W2611" s="13" t="n">
        <f aca="false">IFERROR(V2611/$Z2611,"")</f>
        <v>0</v>
      </c>
      <c r="X2611" s="12" t="n">
        <f aca="false">COUNTIFS(Cleaned!$D$2:$D$125,3,Cleaned!DW$2:DW$125,12)</f>
        <v>0</v>
      </c>
      <c r="Y2611" s="13" t="n">
        <f aca="false">IFERROR(X2611/$Z2611,"")</f>
        <v>0</v>
      </c>
      <c r="Z2611" s="12" t="n">
        <f aca="false">B2611+D2611+F2611+H2611+J2611+L2611+N2611+P2611+R2611+T2611+V2611+X2611</f>
        <v>5</v>
      </c>
    </row>
    <row r="2612" customFormat="false" ht="15" hidden="false" customHeight="false" outlineLevel="0" collapsed="false">
      <c r="A2612" s="12" t="s">
        <v>707</v>
      </c>
      <c r="B2612" s="12" t="n">
        <f aca="false">COUNTIFS(Cleaned!$D$2:$D$125,4,Cleaned!DW$2:DW$125,1)</f>
        <v>3</v>
      </c>
      <c r="C2612" s="13" t="n">
        <f aca="false">IFERROR(B2612/$Z2612,"")</f>
        <v>0.75</v>
      </c>
      <c r="D2612" s="12" t="n">
        <f aca="false">COUNTIFS(Cleaned!$D$2:$D$125,4,Cleaned!DW$2:DW$125,2)</f>
        <v>1</v>
      </c>
      <c r="E2612" s="13" t="n">
        <f aca="false">IFERROR(D2612/$Z2612,"")</f>
        <v>0.25</v>
      </c>
      <c r="F2612" s="12" t="n">
        <f aca="false">COUNTIFS(Cleaned!$D$2:$D$125,4,Cleaned!DW$2:DW$125,3)</f>
        <v>0</v>
      </c>
      <c r="G2612" s="13" t="n">
        <f aca="false">IFERROR(F2612/$Z2612,"")</f>
        <v>0</v>
      </c>
      <c r="H2612" s="12" t="n">
        <f aca="false">COUNTIFS(Cleaned!$D$2:$D$125,4,Cleaned!DW$2:DW$125,4)</f>
        <v>0</v>
      </c>
      <c r="I2612" s="13" t="n">
        <f aca="false">IFERROR(H2612/$Z2612,"")</f>
        <v>0</v>
      </c>
      <c r="J2612" s="12" t="n">
        <f aca="false">COUNTIFS(Cleaned!$D$2:$D$125,4,Cleaned!DW$2:DW$125,5)</f>
        <v>0</v>
      </c>
      <c r="K2612" s="13" t="n">
        <f aca="false">IFERROR(J2612/$Z2612,"")</f>
        <v>0</v>
      </c>
      <c r="L2612" s="12" t="n">
        <f aca="false">COUNTIFS(Cleaned!$D$2:$D$125,4,Cleaned!DW$2:DW$125,6)</f>
        <v>0</v>
      </c>
      <c r="M2612" s="13" t="n">
        <f aca="false">IFERROR(L2612/$Z2612,"")</f>
        <v>0</v>
      </c>
      <c r="N2612" s="12" t="n">
        <f aca="false">COUNTIFS(Cleaned!$D$2:$D$125,4,Cleaned!DW$2:DW$125,7)</f>
        <v>0</v>
      </c>
      <c r="O2612" s="13" t="n">
        <f aca="false">IFERROR(N2612/$Z2612,"")</f>
        <v>0</v>
      </c>
      <c r="P2612" s="12" t="n">
        <f aca="false">COUNTIFS(Cleaned!$D$2:$D$125,4,Cleaned!DW$2:DW$125,8)</f>
        <v>0</v>
      </c>
      <c r="Q2612" s="13" t="n">
        <f aca="false">IFERROR(P2612/$Z2612,"")</f>
        <v>0</v>
      </c>
      <c r="R2612" s="12" t="n">
        <f aca="false">COUNTIFS(Cleaned!$D$2:$D$125,4,Cleaned!DW$2:DW$125,9)</f>
        <v>0</v>
      </c>
      <c r="S2612" s="13" t="n">
        <f aca="false">IFERROR(R2612/$Z2612,"")</f>
        <v>0</v>
      </c>
      <c r="T2612" s="12" t="n">
        <f aca="false">COUNTIFS(Cleaned!$D$2:$D$125,4,Cleaned!DW$2:DW$125,10)</f>
        <v>0</v>
      </c>
      <c r="U2612" s="13" t="n">
        <f aca="false">IFERROR(T2612/$Z2612,"")</f>
        <v>0</v>
      </c>
      <c r="V2612" s="12" t="n">
        <f aca="false">COUNTIFS(Cleaned!$D$2:$D$125,4,Cleaned!DW$2:DW$125,11)</f>
        <v>0</v>
      </c>
      <c r="W2612" s="13" t="n">
        <f aca="false">IFERROR(V2612/$Z2612,"")</f>
        <v>0</v>
      </c>
      <c r="X2612" s="12" t="n">
        <f aca="false">COUNTIFS(Cleaned!$D$2:$D$125,4,Cleaned!DW$2:DW$125,12)</f>
        <v>0</v>
      </c>
      <c r="Y2612" s="13" t="n">
        <f aca="false">IFERROR(X2612/$Z2612,"")</f>
        <v>0</v>
      </c>
      <c r="Z2612" s="12" t="n">
        <f aca="false">B2612+D2612+F2612+H2612+J2612+L2612+N2612+P2612+R2612+T2612+V2612+X2612</f>
        <v>4</v>
      </c>
    </row>
    <row r="2613" customFormat="false" ht="15" hidden="false" customHeight="false" outlineLevel="0" collapsed="false">
      <c r="A2613" s="12" t="s">
        <v>708</v>
      </c>
      <c r="B2613" s="12" t="n">
        <f aca="false">COUNTIFS(Cleaned!$D$2:$D$125,5,Cleaned!DW$2:DW$125,1)</f>
        <v>0</v>
      </c>
      <c r="C2613" s="13" t="str">
        <f aca="false">IFERROR(B2613/$Z2613,"")</f>
        <v/>
      </c>
      <c r="D2613" s="12" t="n">
        <f aca="false">COUNTIFS(Cleaned!$D$2:$D$125,5,Cleaned!DW$2:DW$125,2)</f>
        <v>0</v>
      </c>
      <c r="E2613" s="13" t="str">
        <f aca="false">IFERROR(D2613/$Z2613,"")</f>
        <v/>
      </c>
      <c r="F2613" s="12" t="n">
        <f aca="false">COUNTIFS(Cleaned!$D$2:$D$125,5,Cleaned!DW$2:DW$125,3)</f>
        <v>0</v>
      </c>
      <c r="G2613" s="13" t="str">
        <f aca="false">IFERROR(F2613/$Z2613,"")</f>
        <v/>
      </c>
      <c r="H2613" s="12" t="n">
        <f aca="false">COUNTIFS(Cleaned!$D$2:$D$125,5,Cleaned!DW$2:DW$125,4)</f>
        <v>0</v>
      </c>
      <c r="I2613" s="13" t="str">
        <f aca="false">IFERROR(H2613/$Z2613,"")</f>
        <v/>
      </c>
      <c r="J2613" s="12" t="n">
        <f aca="false">COUNTIFS(Cleaned!$D$2:$D$125,5,Cleaned!DW$2:DW$125,5)</f>
        <v>0</v>
      </c>
      <c r="K2613" s="13" t="str">
        <f aca="false">IFERROR(J2613/$Z2613,"")</f>
        <v/>
      </c>
      <c r="L2613" s="12" t="n">
        <f aca="false">COUNTIFS(Cleaned!$D$2:$D$125,5,Cleaned!DW$2:DW$125,6)</f>
        <v>0</v>
      </c>
      <c r="M2613" s="13" t="str">
        <f aca="false">IFERROR(L2613/$Z2613,"")</f>
        <v/>
      </c>
      <c r="N2613" s="12" t="n">
        <f aca="false">COUNTIFS(Cleaned!$D$2:$D$125,5,Cleaned!DW$2:DW$125,7)</f>
        <v>0</v>
      </c>
      <c r="O2613" s="13" t="str">
        <f aca="false">IFERROR(N2613/$Z2613,"")</f>
        <v/>
      </c>
      <c r="P2613" s="12" t="n">
        <f aca="false">COUNTIFS(Cleaned!$D$2:$D$125,5,Cleaned!DW$2:DW$125,8)</f>
        <v>0</v>
      </c>
      <c r="Q2613" s="13" t="str">
        <f aca="false">IFERROR(P2613/$Z2613,"")</f>
        <v/>
      </c>
      <c r="R2613" s="12" t="n">
        <f aca="false">COUNTIFS(Cleaned!$D$2:$D$125,5,Cleaned!DW$2:DW$125,9)</f>
        <v>0</v>
      </c>
      <c r="S2613" s="13" t="str">
        <f aca="false">IFERROR(R2613/$Z2613,"")</f>
        <v/>
      </c>
      <c r="T2613" s="12" t="n">
        <f aca="false">COUNTIFS(Cleaned!$D$2:$D$125,5,Cleaned!DW$2:DW$125,10)</f>
        <v>0</v>
      </c>
      <c r="U2613" s="13" t="str">
        <f aca="false">IFERROR(T2613/$Z2613,"")</f>
        <v/>
      </c>
      <c r="V2613" s="12" t="n">
        <f aca="false">COUNTIFS(Cleaned!$D$2:$D$125,5,Cleaned!DW$2:DW$125,11)</f>
        <v>0</v>
      </c>
      <c r="W2613" s="13" t="str">
        <f aca="false">IFERROR(V2613/$Z2613,"")</f>
        <v/>
      </c>
      <c r="X2613" s="12" t="n">
        <f aca="false">COUNTIFS(Cleaned!$D$2:$D$125,5,Cleaned!DW$2:DW$125,12)</f>
        <v>0</v>
      </c>
      <c r="Y2613" s="13" t="str">
        <f aca="false">IFERROR(X2613/$Z2613,"")</f>
        <v/>
      </c>
      <c r="Z2613" s="12" t="n">
        <f aca="false">B2613+D2613+F2613+H2613+J2613+L2613+N2613+P2613+R2613+T2613+V2613+X2613</f>
        <v>0</v>
      </c>
    </row>
    <row r="2614" customFormat="false" ht="15" hidden="false" customHeight="false" outlineLevel="0" collapsed="false">
      <c r="A2614" s="12" t="s">
        <v>709</v>
      </c>
      <c r="B2614" s="12" t="n">
        <f aca="false">COUNTIFS(Cleaned!$D$2:$D$125,6,Cleaned!DW$2:DW$125,1)</f>
        <v>0</v>
      </c>
      <c r="C2614" s="13" t="n">
        <f aca="false">IFERROR(B2614/$Z2614,"")</f>
        <v>0</v>
      </c>
      <c r="D2614" s="12" t="n">
        <f aca="false">COUNTIFS(Cleaned!$D$2:$D$125,6,Cleaned!DW$2:DW$125,2)</f>
        <v>0</v>
      </c>
      <c r="E2614" s="13" t="n">
        <f aca="false">IFERROR(D2614/$Z2614,"")</f>
        <v>0</v>
      </c>
      <c r="F2614" s="12" t="n">
        <f aca="false">COUNTIFS(Cleaned!$D$2:$D$125,6,Cleaned!DW$2:DW$125,3)</f>
        <v>0</v>
      </c>
      <c r="G2614" s="13" t="n">
        <f aca="false">IFERROR(F2614/$Z2614,"")</f>
        <v>0</v>
      </c>
      <c r="H2614" s="12" t="n">
        <f aca="false">COUNTIFS(Cleaned!$D$2:$D$125,6,Cleaned!DW$2:DW$125,4)</f>
        <v>0</v>
      </c>
      <c r="I2614" s="13" t="n">
        <f aca="false">IFERROR(H2614/$Z2614,"")</f>
        <v>0</v>
      </c>
      <c r="J2614" s="12" t="n">
        <f aca="false">COUNTIFS(Cleaned!$D$2:$D$125,6,Cleaned!DW$2:DW$125,5)</f>
        <v>0</v>
      </c>
      <c r="K2614" s="13" t="n">
        <f aca="false">IFERROR(J2614/$Z2614,"")</f>
        <v>0</v>
      </c>
      <c r="L2614" s="12" t="n">
        <f aca="false">COUNTIFS(Cleaned!$D$2:$D$125,6,Cleaned!DW$2:DW$125,6)</f>
        <v>0</v>
      </c>
      <c r="M2614" s="13" t="n">
        <f aca="false">IFERROR(L2614/$Z2614,"")</f>
        <v>0</v>
      </c>
      <c r="N2614" s="12" t="n">
        <f aca="false">COUNTIFS(Cleaned!$D$2:$D$125,6,Cleaned!DW$2:DW$125,7)</f>
        <v>0</v>
      </c>
      <c r="O2614" s="13" t="n">
        <f aca="false">IFERROR(N2614/$Z2614,"")</f>
        <v>0</v>
      </c>
      <c r="P2614" s="12" t="n">
        <f aca="false">COUNTIFS(Cleaned!$D$2:$D$125,6,Cleaned!DW$2:DW$125,8)</f>
        <v>0</v>
      </c>
      <c r="Q2614" s="13" t="n">
        <f aca="false">IFERROR(P2614/$Z2614,"")</f>
        <v>0</v>
      </c>
      <c r="R2614" s="12" t="n">
        <f aca="false">COUNTIFS(Cleaned!$D$2:$D$125,6,Cleaned!DW$2:DW$125,9)</f>
        <v>0</v>
      </c>
      <c r="S2614" s="13" t="n">
        <f aca="false">IFERROR(R2614/$Z2614,"")</f>
        <v>0</v>
      </c>
      <c r="T2614" s="12" t="n">
        <f aca="false">COUNTIFS(Cleaned!$D$2:$D$125,6,Cleaned!DW$2:DW$125,10)</f>
        <v>1</v>
      </c>
      <c r="U2614" s="13" t="n">
        <f aca="false">IFERROR(T2614/$Z2614,"")</f>
        <v>0.5</v>
      </c>
      <c r="V2614" s="12" t="n">
        <f aca="false">COUNTIFS(Cleaned!$D$2:$D$125,6,Cleaned!DW$2:DW$125,11)</f>
        <v>0</v>
      </c>
      <c r="W2614" s="13" t="n">
        <f aca="false">IFERROR(V2614/$Z2614,"")</f>
        <v>0</v>
      </c>
      <c r="X2614" s="12" t="n">
        <f aca="false">COUNTIFS(Cleaned!$D$2:$D$125,6,Cleaned!DW$2:DW$125,12)</f>
        <v>1</v>
      </c>
      <c r="Y2614" s="13" t="n">
        <f aca="false">IFERROR(X2614/$Z2614,"")</f>
        <v>0.5</v>
      </c>
      <c r="Z2614" s="12" t="n">
        <f aca="false">B2614+D2614+F2614+H2614+J2614+L2614+N2614+P2614+R2614+T2614+V2614+X2614</f>
        <v>2</v>
      </c>
    </row>
    <row r="2615" customFormat="false" ht="15" hidden="false" customHeight="false" outlineLevel="0" collapsed="false">
      <c r="A2615" s="12" t="s">
        <v>710</v>
      </c>
      <c r="B2615" s="12" t="n">
        <f aca="false">COUNTIFS(Cleaned!$D$2:$D$125,7,Cleaned!DW$2:DW$125,1)</f>
        <v>0</v>
      </c>
      <c r="C2615" s="13" t="n">
        <f aca="false">IFERROR(B2615/$Z2615,"")</f>
        <v>0</v>
      </c>
      <c r="D2615" s="12" t="n">
        <f aca="false">COUNTIFS(Cleaned!$D$2:$D$125,7,Cleaned!DW$2:DW$125,2)</f>
        <v>0</v>
      </c>
      <c r="E2615" s="13" t="n">
        <f aca="false">IFERROR(D2615/$Z2615,"")</f>
        <v>0</v>
      </c>
      <c r="F2615" s="12" t="n">
        <f aca="false">COUNTIFS(Cleaned!$D$2:$D$125,7,Cleaned!DW$2:DW$125,3)</f>
        <v>1</v>
      </c>
      <c r="G2615" s="13" t="n">
        <f aca="false">IFERROR(F2615/$Z2615,"")</f>
        <v>0.333333333333333</v>
      </c>
      <c r="H2615" s="12" t="n">
        <f aca="false">COUNTIFS(Cleaned!$D$2:$D$125,7,Cleaned!DW$2:DW$125,4)</f>
        <v>1</v>
      </c>
      <c r="I2615" s="13" t="n">
        <f aca="false">IFERROR(H2615/$Z2615,"")</f>
        <v>0.333333333333333</v>
      </c>
      <c r="J2615" s="12" t="n">
        <f aca="false">COUNTIFS(Cleaned!$D$2:$D$125,7,Cleaned!DW$2:DW$125,5)</f>
        <v>0</v>
      </c>
      <c r="K2615" s="13" t="n">
        <f aca="false">IFERROR(J2615/$Z2615,"")</f>
        <v>0</v>
      </c>
      <c r="L2615" s="12" t="n">
        <f aca="false">COUNTIFS(Cleaned!$D$2:$D$125,7,Cleaned!DW$2:DW$125,6)</f>
        <v>0</v>
      </c>
      <c r="M2615" s="13" t="n">
        <f aca="false">IFERROR(L2615/$Z2615,"")</f>
        <v>0</v>
      </c>
      <c r="N2615" s="12" t="n">
        <f aca="false">COUNTIFS(Cleaned!$D$2:$D$125,7,Cleaned!DW$2:DW$125,7)</f>
        <v>0</v>
      </c>
      <c r="O2615" s="13" t="n">
        <f aca="false">IFERROR(N2615/$Z2615,"")</f>
        <v>0</v>
      </c>
      <c r="P2615" s="12" t="n">
        <f aca="false">COUNTIFS(Cleaned!$D$2:$D$125,7,Cleaned!DW$2:DW$125,8)</f>
        <v>0</v>
      </c>
      <c r="Q2615" s="13" t="n">
        <f aca="false">IFERROR(P2615/$Z2615,"")</f>
        <v>0</v>
      </c>
      <c r="R2615" s="12" t="n">
        <f aca="false">COUNTIFS(Cleaned!$D$2:$D$125,7,Cleaned!DW$2:DW$125,9)</f>
        <v>1</v>
      </c>
      <c r="S2615" s="13" t="n">
        <f aca="false">IFERROR(R2615/$Z2615,"")</f>
        <v>0.333333333333333</v>
      </c>
      <c r="T2615" s="12" t="n">
        <f aca="false">COUNTIFS(Cleaned!$D$2:$D$125,7,Cleaned!DW$2:DW$125,10)</f>
        <v>0</v>
      </c>
      <c r="U2615" s="13" t="n">
        <f aca="false">IFERROR(T2615/$Z2615,"")</f>
        <v>0</v>
      </c>
      <c r="V2615" s="12" t="n">
        <f aca="false">COUNTIFS(Cleaned!$D$2:$D$125,7,Cleaned!DW$2:DW$125,11)</f>
        <v>0</v>
      </c>
      <c r="W2615" s="13" t="n">
        <f aca="false">IFERROR(V2615/$Z2615,"")</f>
        <v>0</v>
      </c>
      <c r="X2615" s="12" t="n">
        <f aca="false">COUNTIFS(Cleaned!$D$2:$D$125,7,Cleaned!DW$2:DW$125,12)</f>
        <v>0</v>
      </c>
      <c r="Y2615" s="13" t="n">
        <f aca="false">IFERROR(X2615/$Z2615,"")</f>
        <v>0</v>
      </c>
      <c r="Z2615" s="12" t="n">
        <f aca="false">B2615+D2615+F2615+H2615+J2615+L2615+N2615+P2615+R2615+T2615+V2615+X2615</f>
        <v>3</v>
      </c>
    </row>
    <row r="2616" customFormat="false" ht="15" hidden="false" customHeight="false" outlineLevel="0" collapsed="false">
      <c r="A2616" s="12" t="s">
        <v>711</v>
      </c>
      <c r="B2616" s="12" t="n">
        <f aca="false">COUNTIFS(Cleaned!$D$2:$D$125,8,Cleaned!DW$2:DW$125,1)</f>
        <v>1</v>
      </c>
      <c r="C2616" s="13" t="n">
        <f aca="false">IFERROR(B2616/$Z2616,"")</f>
        <v>0.5</v>
      </c>
      <c r="D2616" s="12" t="n">
        <f aca="false">COUNTIFS(Cleaned!$D$2:$D$125,8,Cleaned!DW$2:DW$125,2)</f>
        <v>1</v>
      </c>
      <c r="E2616" s="13" t="n">
        <f aca="false">IFERROR(D2616/$Z2616,"")</f>
        <v>0.5</v>
      </c>
      <c r="F2616" s="12" t="n">
        <f aca="false">COUNTIFS(Cleaned!$D$2:$D$125,8,Cleaned!DW$2:DW$125,3)</f>
        <v>0</v>
      </c>
      <c r="G2616" s="13" t="n">
        <f aca="false">IFERROR(F2616/$Z2616,"")</f>
        <v>0</v>
      </c>
      <c r="H2616" s="12" t="n">
        <f aca="false">COUNTIFS(Cleaned!$D$2:$D$125,8,Cleaned!DW$2:DW$125,4)</f>
        <v>0</v>
      </c>
      <c r="I2616" s="13" t="n">
        <f aca="false">IFERROR(H2616/$Z2616,"")</f>
        <v>0</v>
      </c>
      <c r="J2616" s="12" t="n">
        <f aca="false">COUNTIFS(Cleaned!$D$2:$D$125,8,Cleaned!DW$2:DW$125,5)</f>
        <v>0</v>
      </c>
      <c r="K2616" s="13" t="n">
        <f aca="false">IFERROR(J2616/$Z2616,"")</f>
        <v>0</v>
      </c>
      <c r="L2616" s="12" t="n">
        <f aca="false">COUNTIFS(Cleaned!$D$2:$D$125,8,Cleaned!DW$2:DW$125,6)</f>
        <v>0</v>
      </c>
      <c r="M2616" s="13" t="n">
        <f aca="false">IFERROR(L2616/$Z2616,"")</f>
        <v>0</v>
      </c>
      <c r="N2616" s="12" t="n">
        <f aca="false">COUNTIFS(Cleaned!$D$2:$D$125,8,Cleaned!DW$2:DW$125,7)</f>
        <v>0</v>
      </c>
      <c r="O2616" s="13" t="n">
        <f aca="false">IFERROR(N2616/$Z2616,"")</f>
        <v>0</v>
      </c>
      <c r="P2616" s="12" t="n">
        <f aca="false">COUNTIFS(Cleaned!$D$2:$D$125,8,Cleaned!DW$2:DW$125,8)</f>
        <v>0</v>
      </c>
      <c r="Q2616" s="13" t="n">
        <f aca="false">IFERROR(P2616/$Z2616,"")</f>
        <v>0</v>
      </c>
      <c r="R2616" s="12" t="n">
        <f aca="false">COUNTIFS(Cleaned!$D$2:$D$125,8,Cleaned!DW$2:DW$125,9)</f>
        <v>0</v>
      </c>
      <c r="S2616" s="13" t="n">
        <f aca="false">IFERROR(R2616/$Z2616,"")</f>
        <v>0</v>
      </c>
      <c r="T2616" s="12" t="n">
        <f aca="false">COUNTIFS(Cleaned!$D$2:$D$125,8,Cleaned!DW$2:DW$125,10)</f>
        <v>0</v>
      </c>
      <c r="U2616" s="13" t="n">
        <f aca="false">IFERROR(T2616/$Z2616,"")</f>
        <v>0</v>
      </c>
      <c r="V2616" s="12" t="n">
        <f aca="false">COUNTIFS(Cleaned!$D$2:$D$125,8,Cleaned!DW$2:DW$125,11)</f>
        <v>0</v>
      </c>
      <c r="W2616" s="13" t="n">
        <f aca="false">IFERROR(V2616/$Z2616,"")</f>
        <v>0</v>
      </c>
      <c r="X2616" s="12" t="n">
        <f aca="false">COUNTIFS(Cleaned!$D$2:$D$125,8,Cleaned!DW$2:DW$125,12)</f>
        <v>0</v>
      </c>
      <c r="Y2616" s="13" t="n">
        <f aca="false">IFERROR(X2616/$Z2616,"")</f>
        <v>0</v>
      </c>
      <c r="Z2616" s="12" t="n">
        <f aca="false">B2616+D2616+F2616+H2616+J2616+L2616+N2616+P2616+R2616+T2616+V2616+X2616</f>
        <v>2</v>
      </c>
    </row>
    <row r="2617" customFormat="false" ht="15" hidden="false" customHeight="false" outlineLevel="0" collapsed="false">
      <c r="A2617" s="12" t="s">
        <v>712</v>
      </c>
      <c r="B2617" s="12" t="n">
        <f aca="false">COUNTIFS(Cleaned!$D$2:$D$125,9,Cleaned!DW$2:DW$125,1)</f>
        <v>0</v>
      </c>
      <c r="C2617" s="13" t="str">
        <f aca="false">IFERROR(B2617/$Z2617,"")</f>
        <v/>
      </c>
      <c r="D2617" s="12" t="n">
        <f aca="false">COUNTIFS(Cleaned!$D$2:$D$125,9,Cleaned!DW$2:DW$125,2)</f>
        <v>0</v>
      </c>
      <c r="E2617" s="13" t="str">
        <f aca="false">IFERROR(D2617/$Z2617,"")</f>
        <v/>
      </c>
      <c r="F2617" s="12" t="n">
        <f aca="false">COUNTIFS(Cleaned!$D$2:$D$125,9,Cleaned!DW$2:DW$125,3)</f>
        <v>0</v>
      </c>
      <c r="G2617" s="13" t="str">
        <f aca="false">IFERROR(F2617/$Z2617,"")</f>
        <v/>
      </c>
      <c r="H2617" s="12" t="n">
        <f aca="false">COUNTIFS(Cleaned!$D$2:$D$125,9,Cleaned!DW$2:DW$125,4)</f>
        <v>0</v>
      </c>
      <c r="I2617" s="13" t="str">
        <f aca="false">IFERROR(H2617/$Z2617,"")</f>
        <v/>
      </c>
      <c r="J2617" s="12" t="n">
        <f aca="false">COUNTIFS(Cleaned!$D$2:$D$125,9,Cleaned!DW$2:DW$125,5)</f>
        <v>0</v>
      </c>
      <c r="K2617" s="13" t="str">
        <f aca="false">IFERROR(J2617/$Z2617,"")</f>
        <v/>
      </c>
      <c r="L2617" s="12" t="n">
        <f aca="false">COUNTIFS(Cleaned!$D$2:$D$125,9,Cleaned!DW$2:DW$125,6)</f>
        <v>0</v>
      </c>
      <c r="M2617" s="13" t="str">
        <f aca="false">IFERROR(L2617/$Z2617,"")</f>
        <v/>
      </c>
      <c r="N2617" s="12" t="n">
        <f aca="false">COUNTIFS(Cleaned!$D$2:$D$125,9,Cleaned!DW$2:DW$125,7)</f>
        <v>0</v>
      </c>
      <c r="O2617" s="13" t="str">
        <f aca="false">IFERROR(N2617/$Z2617,"")</f>
        <v/>
      </c>
      <c r="P2617" s="12" t="n">
        <f aca="false">COUNTIFS(Cleaned!$D$2:$D$125,9,Cleaned!DW$2:DW$125,8)</f>
        <v>0</v>
      </c>
      <c r="Q2617" s="13" t="str">
        <f aca="false">IFERROR(P2617/$Z2617,"")</f>
        <v/>
      </c>
      <c r="R2617" s="12" t="n">
        <f aca="false">COUNTIFS(Cleaned!$D$2:$D$125,9,Cleaned!DW$2:DW$125,9)</f>
        <v>0</v>
      </c>
      <c r="S2617" s="13" t="str">
        <f aca="false">IFERROR(R2617/$Z2617,"")</f>
        <v/>
      </c>
      <c r="T2617" s="12" t="n">
        <f aca="false">COUNTIFS(Cleaned!$D$2:$D$125,9,Cleaned!DW$2:DW$125,10)</f>
        <v>0</v>
      </c>
      <c r="U2617" s="13" t="str">
        <f aca="false">IFERROR(T2617/$Z2617,"")</f>
        <v/>
      </c>
      <c r="V2617" s="12" t="n">
        <f aca="false">COUNTIFS(Cleaned!$D$2:$D$125,9,Cleaned!DW$2:DW$125,11)</f>
        <v>0</v>
      </c>
      <c r="W2617" s="13" t="str">
        <f aca="false">IFERROR(V2617/$Z2617,"")</f>
        <v/>
      </c>
      <c r="X2617" s="12" t="n">
        <f aca="false">COUNTIFS(Cleaned!$D$2:$D$125,9,Cleaned!DW$2:DW$125,12)</f>
        <v>0</v>
      </c>
      <c r="Y2617" s="13" t="str">
        <f aca="false">IFERROR(X2617/$Z2617,"")</f>
        <v/>
      </c>
      <c r="Z2617" s="12" t="n">
        <f aca="false">B2617+D2617+F2617+H2617+J2617+L2617+N2617+P2617+R2617+T2617+V2617+X2617</f>
        <v>0</v>
      </c>
    </row>
    <row r="2618" customFormat="false" ht="15" hidden="false" customHeight="false" outlineLevel="0" collapsed="false">
      <c r="A2618" s="12" t="s">
        <v>713</v>
      </c>
      <c r="B2618" s="12" t="n">
        <f aca="false">COUNTIFS(Cleaned!$D$2:$D$125,10,Cleaned!DW$2:DW$125,1)</f>
        <v>0</v>
      </c>
      <c r="C2618" s="13" t="str">
        <f aca="false">IFERROR(B2618/$Z2618,"")</f>
        <v/>
      </c>
      <c r="D2618" s="12" t="n">
        <f aca="false">COUNTIFS(Cleaned!$D$2:$D$125,10,Cleaned!DW$2:DW$125,2)</f>
        <v>0</v>
      </c>
      <c r="E2618" s="13" t="str">
        <f aca="false">IFERROR(D2618/$Z2618,"")</f>
        <v/>
      </c>
      <c r="F2618" s="12" t="n">
        <f aca="false">COUNTIFS(Cleaned!$D$2:$D$125,10,Cleaned!DW$2:DW$125,3)</f>
        <v>0</v>
      </c>
      <c r="G2618" s="13" t="str">
        <f aca="false">IFERROR(F2618/$Z2618,"")</f>
        <v/>
      </c>
      <c r="H2618" s="12" t="n">
        <f aca="false">COUNTIFS(Cleaned!$D$2:$D$125,10,Cleaned!DW$2:DW$125,4)</f>
        <v>0</v>
      </c>
      <c r="I2618" s="13" t="str">
        <f aca="false">IFERROR(H2618/$Z2618,"")</f>
        <v/>
      </c>
      <c r="J2618" s="12" t="n">
        <f aca="false">COUNTIFS(Cleaned!$D$2:$D$125,10,Cleaned!DW$2:DW$125,5)</f>
        <v>0</v>
      </c>
      <c r="K2618" s="13" t="str">
        <f aca="false">IFERROR(J2618/$Z2618,"")</f>
        <v/>
      </c>
      <c r="L2618" s="12" t="n">
        <f aca="false">COUNTIFS(Cleaned!$D$2:$D$125,10,Cleaned!DW$2:DW$125,6)</f>
        <v>0</v>
      </c>
      <c r="M2618" s="13" t="str">
        <f aca="false">IFERROR(L2618/$Z2618,"")</f>
        <v/>
      </c>
      <c r="N2618" s="12" t="n">
        <f aca="false">COUNTIFS(Cleaned!$D$2:$D$125,10,Cleaned!DW$2:DW$125,7)</f>
        <v>0</v>
      </c>
      <c r="O2618" s="13" t="str">
        <f aca="false">IFERROR(N2618/$Z2618,"")</f>
        <v/>
      </c>
      <c r="P2618" s="12" t="n">
        <f aca="false">COUNTIFS(Cleaned!$D$2:$D$125,10,Cleaned!DW$2:DW$125,8)</f>
        <v>0</v>
      </c>
      <c r="Q2618" s="13" t="str">
        <f aca="false">IFERROR(P2618/$Z2618,"")</f>
        <v/>
      </c>
      <c r="R2618" s="12" t="n">
        <f aca="false">COUNTIFS(Cleaned!$D$2:$D$125,10,Cleaned!DW$2:DW$125,9)</f>
        <v>0</v>
      </c>
      <c r="S2618" s="13" t="str">
        <f aca="false">IFERROR(R2618/$Z2618,"")</f>
        <v/>
      </c>
      <c r="T2618" s="12" t="n">
        <f aca="false">COUNTIFS(Cleaned!$D$2:$D$125,10,Cleaned!DW$2:DW$125,10)</f>
        <v>0</v>
      </c>
      <c r="U2618" s="13" t="str">
        <f aca="false">IFERROR(T2618/$Z2618,"")</f>
        <v/>
      </c>
      <c r="V2618" s="12" t="n">
        <f aca="false">COUNTIFS(Cleaned!$D$2:$D$125,10,Cleaned!DW$2:DW$125,11)</f>
        <v>0</v>
      </c>
      <c r="W2618" s="13" t="str">
        <f aca="false">IFERROR(V2618/$Z2618,"")</f>
        <v/>
      </c>
      <c r="X2618" s="12" t="n">
        <f aca="false">COUNTIFS(Cleaned!$D$2:$D$125,10,Cleaned!DW$2:DW$125,12)</f>
        <v>0</v>
      </c>
      <c r="Y2618" s="13" t="str">
        <f aca="false">IFERROR(X2618/$Z2618,"")</f>
        <v/>
      </c>
      <c r="Z2618" s="12" t="n">
        <f aca="false">B2618+D2618+F2618+H2618+J2618+L2618+N2618+P2618+R2618+T2618+V2618+X2618</f>
        <v>0</v>
      </c>
    </row>
    <row r="2619" customFormat="false" ht="15" hidden="false" customHeight="false" outlineLevel="0" collapsed="false">
      <c r="A2619" s="12" t="s">
        <v>714</v>
      </c>
      <c r="B2619" s="12" t="n">
        <f aca="false">COUNTIFS(Cleaned!$D$2:$D$125,11,Cleaned!DW$2:DW$125,1)</f>
        <v>1</v>
      </c>
      <c r="C2619" s="13" t="n">
        <f aca="false">IFERROR(B2619/$Z2619,"")</f>
        <v>0.5</v>
      </c>
      <c r="D2619" s="12" t="n">
        <f aca="false">COUNTIFS(Cleaned!$D$2:$D$125,11,Cleaned!DW$2:DW$125,2)</f>
        <v>0</v>
      </c>
      <c r="E2619" s="13" t="n">
        <f aca="false">IFERROR(D2619/$Z2619,"")</f>
        <v>0</v>
      </c>
      <c r="F2619" s="12" t="n">
        <f aca="false">COUNTIFS(Cleaned!$D$2:$D$125,11,Cleaned!DW$2:DW$125,3)</f>
        <v>0</v>
      </c>
      <c r="G2619" s="13" t="n">
        <f aca="false">IFERROR(F2619/$Z2619,"")</f>
        <v>0</v>
      </c>
      <c r="H2619" s="12" t="n">
        <f aca="false">COUNTIFS(Cleaned!$D$2:$D$125,11,Cleaned!DW$2:DW$125,4)</f>
        <v>0</v>
      </c>
      <c r="I2619" s="13" t="n">
        <f aca="false">IFERROR(H2619/$Z2619,"")</f>
        <v>0</v>
      </c>
      <c r="J2619" s="12" t="n">
        <f aca="false">COUNTIFS(Cleaned!$D$2:$D$125,11,Cleaned!DW$2:DW$125,5)</f>
        <v>0</v>
      </c>
      <c r="K2619" s="13" t="n">
        <f aca="false">IFERROR(J2619/$Z2619,"")</f>
        <v>0</v>
      </c>
      <c r="L2619" s="12" t="n">
        <f aca="false">COUNTIFS(Cleaned!$D$2:$D$125,11,Cleaned!DW$2:DW$125,6)</f>
        <v>0</v>
      </c>
      <c r="M2619" s="13" t="n">
        <f aca="false">IFERROR(L2619/$Z2619,"")</f>
        <v>0</v>
      </c>
      <c r="N2619" s="12" t="n">
        <f aca="false">COUNTIFS(Cleaned!$D$2:$D$125,11,Cleaned!DW$2:DW$125,7)</f>
        <v>0</v>
      </c>
      <c r="O2619" s="13" t="n">
        <f aca="false">IFERROR(N2619/$Z2619,"")</f>
        <v>0</v>
      </c>
      <c r="P2619" s="12" t="n">
        <f aca="false">COUNTIFS(Cleaned!$D$2:$D$125,11,Cleaned!DW$2:DW$125,8)</f>
        <v>0</v>
      </c>
      <c r="Q2619" s="13" t="n">
        <f aca="false">IFERROR(P2619/$Z2619,"")</f>
        <v>0</v>
      </c>
      <c r="R2619" s="12" t="n">
        <f aca="false">COUNTIFS(Cleaned!$D$2:$D$125,11,Cleaned!DW$2:DW$125,9)</f>
        <v>0</v>
      </c>
      <c r="S2619" s="13" t="n">
        <f aca="false">IFERROR(R2619/$Z2619,"")</f>
        <v>0</v>
      </c>
      <c r="T2619" s="12" t="n">
        <f aca="false">COUNTIFS(Cleaned!$D$2:$D$125,11,Cleaned!DW$2:DW$125,10)</f>
        <v>0</v>
      </c>
      <c r="U2619" s="13" t="n">
        <f aca="false">IFERROR(T2619/$Z2619,"")</f>
        <v>0</v>
      </c>
      <c r="V2619" s="12" t="n">
        <f aca="false">COUNTIFS(Cleaned!$D$2:$D$125,11,Cleaned!DW$2:DW$125,11)</f>
        <v>1</v>
      </c>
      <c r="W2619" s="13" t="n">
        <f aca="false">IFERROR(V2619/$Z2619,"")</f>
        <v>0.5</v>
      </c>
      <c r="X2619" s="12" t="n">
        <f aca="false">COUNTIFS(Cleaned!$D$2:$D$125,11,Cleaned!DW$2:DW$125,12)</f>
        <v>0</v>
      </c>
      <c r="Y2619" s="13" t="n">
        <f aca="false">IFERROR(X2619/$Z2619,"")</f>
        <v>0</v>
      </c>
      <c r="Z2619" s="12" t="n">
        <f aca="false">B2619+D2619+F2619+H2619+J2619+L2619+N2619+P2619+R2619+T2619+V2619+X2619</f>
        <v>2</v>
      </c>
    </row>
    <row r="2620" customFormat="false" ht="15" hidden="false" customHeight="false" outlineLevel="0" collapsed="false">
      <c r="A2620" s="12" t="s">
        <v>715</v>
      </c>
      <c r="B2620" s="12" t="n">
        <f aca="false">COUNTIFS(Cleaned!$D$2:$D$125,12,Cleaned!DW$2:DW$125,1)</f>
        <v>1</v>
      </c>
      <c r="C2620" s="13" t="n">
        <f aca="false">IFERROR(B2620/$Z2620,"")</f>
        <v>1</v>
      </c>
      <c r="D2620" s="12" t="n">
        <f aca="false">COUNTIFS(Cleaned!$D$2:$D$125,12,Cleaned!DW$2:DW$125,2)</f>
        <v>0</v>
      </c>
      <c r="E2620" s="13" t="n">
        <f aca="false">IFERROR(D2620/$Z2620,"")</f>
        <v>0</v>
      </c>
      <c r="F2620" s="12" t="n">
        <f aca="false">COUNTIFS(Cleaned!$D$2:$D$125,12,Cleaned!DW$2:DW$125,3)</f>
        <v>0</v>
      </c>
      <c r="G2620" s="13" t="n">
        <f aca="false">IFERROR(F2620/$Z2620,"")</f>
        <v>0</v>
      </c>
      <c r="H2620" s="12" t="n">
        <f aca="false">COUNTIFS(Cleaned!$D$2:$D$125,12,Cleaned!DW$2:DW$125,4)</f>
        <v>0</v>
      </c>
      <c r="I2620" s="13" t="n">
        <f aca="false">IFERROR(H2620/$Z2620,"")</f>
        <v>0</v>
      </c>
      <c r="J2620" s="12" t="n">
        <f aca="false">COUNTIFS(Cleaned!$D$2:$D$125,12,Cleaned!DW$2:DW$125,5)</f>
        <v>0</v>
      </c>
      <c r="K2620" s="13" t="n">
        <f aca="false">IFERROR(J2620/$Z2620,"")</f>
        <v>0</v>
      </c>
      <c r="L2620" s="12" t="n">
        <f aca="false">COUNTIFS(Cleaned!$D$2:$D$125,12,Cleaned!DW$2:DW$125,6)</f>
        <v>0</v>
      </c>
      <c r="M2620" s="13" t="n">
        <f aca="false">IFERROR(L2620/$Z2620,"")</f>
        <v>0</v>
      </c>
      <c r="N2620" s="12" t="n">
        <f aca="false">COUNTIFS(Cleaned!$D$2:$D$125,12,Cleaned!DW$2:DW$125,7)</f>
        <v>0</v>
      </c>
      <c r="O2620" s="13" t="n">
        <f aca="false">IFERROR(N2620/$Z2620,"")</f>
        <v>0</v>
      </c>
      <c r="P2620" s="12" t="n">
        <f aca="false">COUNTIFS(Cleaned!$D$2:$D$125,12,Cleaned!DW$2:DW$125,8)</f>
        <v>0</v>
      </c>
      <c r="Q2620" s="13" t="n">
        <f aca="false">IFERROR(P2620/$Z2620,"")</f>
        <v>0</v>
      </c>
      <c r="R2620" s="12" t="n">
        <f aca="false">COUNTIFS(Cleaned!$D$2:$D$125,12,Cleaned!DW$2:DW$125,9)</f>
        <v>0</v>
      </c>
      <c r="S2620" s="13" t="n">
        <f aca="false">IFERROR(R2620/$Z2620,"")</f>
        <v>0</v>
      </c>
      <c r="T2620" s="12" t="n">
        <f aca="false">COUNTIFS(Cleaned!$D$2:$D$125,12,Cleaned!DW$2:DW$125,10)</f>
        <v>0</v>
      </c>
      <c r="U2620" s="13" t="n">
        <f aca="false">IFERROR(T2620/$Z2620,"")</f>
        <v>0</v>
      </c>
      <c r="V2620" s="12" t="n">
        <f aca="false">COUNTIFS(Cleaned!$D$2:$D$125,12,Cleaned!DW$2:DW$125,11)</f>
        <v>0</v>
      </c>
      <c r="W2620" s="13" t="n">
        <f aca="false">IFERROR(V2620/$Z2620,"")</f>
        <v>0</v>
      </c>
      <c r="X2620" s="12" t="n">
        <f aca="false">COUNTIFS(Cleaned!$D$2:$D$125,12,Cleaned!DW$2:DW$125,12)</f>
        <v>0</v>
      </c>
      <c r="Y2620" s="13" t="n">
        <f aca="false">IFERROR(X2620/$Z2620,"")</f>
        <v>0</v>
      </c>
      <c r="Z2620" s="12" t="n">
        <f aca="false">B2620+D2620+F2620+H2620+J2620+L2620+N2620+P2620+R2620+T2620+V2620+X2620</f>
        <v>1</v>
      </c>
    </row>
    <row r="2621" customFormat="false" ht="15" hidden="false" customHeight="false" outlineLevel="0" collapsed="false">
      <c r="A2621" s="11" t="s">
        <v>716</v>
      </c>
      <c r="B2621" s="11" t="n">
        <f aca="false">SUM(B2609:B2620)</f>
        <v>11</v>
      </c>
      <c r="C2621" s="14" t="n">
        <f aca="false">IFERROR(B2621/$Z2621,"")</f>
        <v>0.44</v>
      </c>
      <c r="D2621" s="11" t="n">
        <f aca="false">SUM(D2609:D2620)</f>
        <v>3</v>
      </c>
      <c r="E2621" s="14" t="n">
        <f aca="false">IFERROR(D2621/$Z2621,"")</f>
        <v>0.12</v>
      </c>
      <c r="F2621" s="11" t="n">
        <f aca="false">SUM(F2609:F2620)</f>
        <v>1</v>
      </c>
      <c r="G2621" s="14" t="n">
        <f aca="false">IFERROR(F2621/$Z2621,"")</f>
        <v>0.04</v>
      </c>
      <c r="H2621" s="11" t="n">
        <f aca="false">SUM(H2609:H2620)</f>
        <v>1</v>
      </c>
      <c r="I2621" s="14" t="n">
        <f aca="false">IFERROR(H2621/$Z2621,"")</f>
        <v>0.04</v>
      </c>
      <c r="J2621" s="11" t="n">
        <f aca="false">SUM(J2609:J2620)</f>
        <v>1</v>
      </c>
      <c r="K2621" s="14" t="n">
        <f aca="false">IFERROR(J2621/$Z2621,"")</f>
        <v>0.04</v>
      </c>
      <c r="L2621" s="11" t="n">
        <f aca="false">SUM(L2609:L2620)</f>
        <v>1</v>
      </c>
      <c r="M2621" s="14" t="n">
        <f aca="false">IFERROR(L2621/$Z2621,"")</f>
        <v>0.04</v>
      </c>
      <c r="N2621" s="11" t="n">
        <f aca="false">SUM(N2609:N2620)</f>
        <v>1</v>
      </c>
      <c r="O2621" s="14" t="n">
        <f aca="false">IFERROR(N2621/$Z2621,"")</f>
        <v>0.04</v>
      </c>
      <c r="P2621" s="11" t="n">
        <f aca="false">SUM(P2609:P2620)</f>
        <v>2</v>
      </c>
      <c r="Q2621" s="14" t="n">
        <f aca="false">IFERROR(P2621/$Z2621,"")</f>
        <v>0.08</v>
      </c>
      <c r="R2621" s="11" t="n">
        <f aca="false">SUM(R2609:R2620)</f>
        <v>1</v>
      </c>
      <c r="S2621" s="14" t="n">
        <f aca="false">IFERROR(R2621/$Z2621,"")</f>
        <v>0.04</v>
      </c>
      <c r="T2621" s="11" t="n">
        <f aca="false">SUM(T2609:T2620)</f>
        <v>1</v>
      </c>
      <c r="U2621" s="14" t="n">
        <f aca="false">IFERROR(T2621/$Z2621,"")</f>
        <v>0.04</v>
      </c>
      <c r="V2621" s="11" t="n">
        <f aca="false">SUM(V2609:V2620)</f>
        <v>1</v>
      </c>
      <c r="W2621" s="14" t="n">
        <f aca="false">IFERROR(V2621/$Z2621,"")</f>
        <v>0.04</v>
      </c>
      <c r="X2621" s="11" t="n">
        <f aca="false">SUM(X2609:X2620)</f>
        <v>1</v>
      </c>
      <c r="Y2621" s="14" t="n">
        <f aca="false">IFERROR(X2621/$Z2621,"")</f>
        <v>0.04</v>
      </c>
      <c r="Z2621" s="11" t="n">
        <f aca="false">SUM(Z2609:Z2620)</f>
        <v>25</v>
      </c>
    </row>
    <row r="2624" customFormat="false" ht="15" hidden="false" customHeight="false" outlineLevel="0" collapsed="false">
      <c r="A2624" s="6" t="s">
        <v>127</v>
      </c>
      <c r="B2624" s="7" t="s">
        <v>856</v>
      </c>
    </row>
    <row r="2625" customFormat="false" ht="15" hidden="false" customHeight="false" outlineLevel="0" collapsed="false">
      <c r="A2625" s="11" t="s">
        <v>734</v>
      </c>
      <c r="B2625" s="9" t="s">
        <v>694</v>
      </c>
      <c r="C2625" s="9" t="s">
        <v>735</v>
      </c>
      <c r="D2625" s="9" t="s">
        <v>736</v>
      </c>
      <c r="E2625" s="9" t="s">
        <v>737</v>
      </c>
      <c r="F2625" s="9" t="s">
        <v>738</v>
      </c>
    </row>
    <row r="2626" customFormat="false" ht="15" hidden="false" customHeight="false" outlineLevel="0" collapsed="false">
      <c r="B2626" s="12" t="n">
        <f aca="false">COUNT(Cleaned!$DX$2:$DX$125)</f>
        <v>28</v>
      </c>
      <c r="C2626" s="12" t="n">
        <f aca="false">IFERROR(AVERAGE(Cleaned!$DX$2:$DX$125),"")</f>
        <v>489.392857142857</v>
      </c>
      <c r="D2626" s="12" t="n">
        <f aca="false">IFERROR(MEDIAN(Cleaned!$DX$2:$DX$125),"")</f>
        <v>58.5</v>
      </c>
      <c r="E2626" s="12" t="n">
        <f aca="false">IFERROR(MIN(Cleaned!$DX$2:$DX$125),"")</f>
        <v>0</v>
      </c>
      <c r="F2626" s="12" t="n">
        <f aca="false">IFERROR(MAX(Cleaned!$DX$2:$DX$125),"")</f>
        <v>4600</v>
      </c>
    </row>
    <row r="2627" customFormat="false" ht="15" hidden="false" customHeight="false" outlineLevel="0" collapsed="false">
      <c r="A2627" s="11" t="s">
        <v>697</v>
      </c>
      <c r="B2627" s="9" t="s">
        <v>739</v>
      </c>
      <c r="C2627" s="9" t="s">
        <v>735</v>
      </c>
    </row>
    <row r="2628" customFormat="false" ht="15" hidden="false" customHeight="false" outlineLevel="0" collapsed="false">
      <c r="A2628" s="12" t="s">
        <v>698</v>
      </c>
      <c r="B2628" s="12" t="n">
        <f aca="false">COUNTIFS(Cleaned!$C$2:$C$125,1,Cleaned!DX$2:DX$125,"&lt;&gt;")</f>
        <v>3</v>
      </c>
      <c r="C2628" s="15" t="n">
        <f aca="false">IF(B2628=0,"",AVERAGEIF(Cleaned!$C$2:$C$125,1,Cleaned!DX$2:DX$125))</f>
        <v>5.33333333333333</v>
      </c>
    </row>
    <row r="2629" customFormat="false" ht="15" hidden="false" customHeight="false" outlineLevel="0" collapsed="false">
      <c r="A2629" s="12" t="s">
        <v>699</v>
      </c>
      <c r="B2629" s="12" t="n">
        <f aca="false">COUNTIFS(Cleaned!$C$2:$C$125,2,Cleaned!DX$2:DX$125,"&lt;&gt;")</f>
        <v>2</v>
      </c>
      <c r="C2629" s="15" t="n">
        <f aca="false">IF(B2629=0,"",AVERAGEIF(Cleaned!$C$2:$C$125,2,Cleaned!DX$2:DX$125))</f>
        <v>6.5</v>
      </c>
    </row>
    <row r="2630" customFormat="false" ht="15" hidden="false" customHeight="false" outlineLevel="0" collapsed="false">
      <c r="A2630" s="12" t="s">
        <v>700</v>
      </c>
      <c r="B2630" s="12" t="n">
        <f aca="false">COUNTIFS(Cleaned!$C$2:$C$125,3,Cleaned!DX$2:DX$125,"&lt;&gt;")</f>
        <v>7</v>
      </c>
      <c r="C2630" s="15" t="n">
        <f aca="false">IF(B2630=0,"",AVERAGEIF(Cleaned!$C$2:$C$125,3,Cleaned!DX$2:DX$125))</f>
        <v>15</v>
      </c>
    </row>
    <row r="2631" customFormat="false" ht="15" hidden="false" customHeight="false" outlineLevel="0" collapsed="false">
      <c r="A2631" s="12" t="s">
        <v>701</v>
      </c>
      <c r="B2631" s="12" t="n">
        <f aca="false">COUNTIFS(Cleaned!$C$2:$C$125,4,Cleaned!DX$2:DX$125,"&lt;&gt;")</f>
        <v>5</v>
      </c>
      <c r="C2631" s="15" t="n">
        <f aca="false">IF(B2631=0,"",AVERAGEIF(Cleaned!$C$2:$C$125,4,Cleaned!DX$2:DX$125))</f>
        <v>105.8</v>
      </c>
    </row>
    <row r="2632" customFormat="false" ht="15" hidden="false" customHeight="false" outlineLevel="0" collapsed="false">
      <c r="A2632" s="12" t="s">
        <v>702</v>
      </c>
      <c r="B2632" s="12" t="n">
        <f aca="false">COUNTIFS(Cleaned!$C$2:$C$125,5,Cleaned!DX$2:DX$125,"&lt;&gt;")</f>
        <v>11</v>
      </c>
      <c r="C2632" s="15" t="n">
        <f aca="false">IF(B2632=0,"",AVERAGEIF(Cleaned!$C$2:$C$125,5,Cleaned!DX$2:DX$125))</f>
        <v>1185.45454545455</v>
      </c>
    </row>
    <row r="2633" customFormat="false" ht="15" hidden="false" customHeight="false" outlineLevel="0" collapsed="false">
      <c r="A2633" s="11" t="s">
        <v>3</v>
      </c>
      <c r="B2633" s="9" t="s">
        <v>739</v>
      </c>
      <c r="C2633" s="9" t="s">
        <v>735</v>
      </c>
    </row>
    <row r="2634" customFormat="false" ht="15" hidden="false" customHeight="false" outlineLevel="0" collapsed="false">
      <c r="A2634" s="12" t="s">
        <v>704</v>
      </c>
      <c r="B2634" s="12" t="n">
        <f aca="false">COUNTIFS(Cleaned!$D$2:$D$125,1,Cleaned!DX$2:DX$125,"&lt;&gt;")</f>
        <v>3</v>
      </c>
      <c r="C2634" s="15" t="n">
        <f aca="false">IF(B2634=0,"",AVERAGEIF(Cleaned!$D$2:$D$125,1,Cleaned!DX$2:DX$125))</f>
        <v>14.6666666666667</v>
      </c>
    </row>
    <row r="2635" customFormat="false" ht="15" hidden="false" customHeight="false" outlineLevel="0" collapsed="false">
      <c r="A2635" s="12" t="s">
        <v>705</v>
      </c>
      <c r="B2635" s="12" t="n">
        <f aca="false">COUNTIFS(Cleaned!$D$2:$D$125,2,Cleaned!DX$2:DX$125,"&lt;&gt;")</f>
        <v>5</v>
      </c>
      <c r="C2635" s="15" t="n">
        <f aca="false">IF(B2635=0,"",AVERAGEIF(Cleaned!$D$2:$D$125,2,Cleaned!DX$2:DX$125))</f>
        <v>1301.6</v>
      </c>
    </row>
    <row r="2636" customFormat="false" ht="15" hidden="false" customHeight="false" outlineLevel="0" collapsed="false">
      <c r="A2636" s="12" t="s">
        <v>706</v>
      </c>
      <c r="B2636" s="12" t="n">
        <f aca="false">COUNTIFS(Cleaned!$D$2:$D$125,3,Cleaned!DX$2:DX$125,"&lt;&gt;")</f>
        <v>6</v>
      </c>
      <c r="C2636" s="15" t="n">
        <f aca="false">IF(B2636=0,"",AVERAGEIF(Cleaned!$D$2:$D$125,3,Cleaned!DX$2:DX$125))</f>
        <v>1010.66666666667</v>
      </c>
    </row>
    <row r="2637" customFormat="false" ht="15" hidden="false" customHeight="false" outlineLevel="0" collapsed="false">
      <c r="A2637" s="12" t="s">
        <v>707</v>
      </c>
      <c r="B2637" s="12" t="n">
        <f aca="false">COUNTIFS(Cleaned!$D$2:$D$125,4,Cleaned!DX$2:DX$125,"&lt;&gt;")</f>
        <v>2</v>
      </c>
      <c r="C2637" s="15" t="n">
        <f aca="false">IF(B2637=0,"",AVERAGEIF(Cleaned!$D$2:$D$125,4,Cleaned!DX$2:DX$125))</f>
        <v>6</v>
      </c>
    </row>
    <row r="2638" customFormat="false" ht="15" hidden="false" customHeight="false" outlineLevel="0" collapsed="false">
      <c r="A2638" s="12" t="s">
        <v>708</v>
      </c>
      <c r="B2638" s="12" t="n">
        <f aca="false">COUNTIFS(Cleaned!$D$2:$D$125,5,Cleaned!DX$2:DX$125,"&lt;&gt;")</f>
        <v>1</v>
      </c>
      <c r="C2638" s="15" t="n">
        <f aca="false">IF(B2638=0,"",AVERAGEIF(Cleaned!$D$2:$D$125,5,Cleaned!DX$2:DX$125))</f>
        <v>215</v>
      </c>
    </row>
    <row r="2639" customFormat="false" ht="15" hidden="false" customHeight="false" outlineLevel="0" collapsed="false">
      <c r="A2639" s="12" t="s">
        <v>709</v>
      </c>
      <c r="B2639" s="12" t="n">
        <f aca="false">COUNTIFS(Cleaned!$D$2:$D$125,6,Cleaned!DX$2:DX$125,"&lt;&gt;")</f>
        <v>1</v>
      </c>
      <c r="C2639" s="15" t="n">
        <f aca="false">IF(B2639=0,"",AVERAGEIF(Cleaned!$D$2:$D$125,6,Cleaned!DX$2:DX$125))</f>
        <v>56</v>
      </c>
    </row>
    <row r="2640" customFormat="false" ht="15" hidden="false" customHeight="false" outlineLevel="0" collapsed="false">
      <c r="A2640" s="12" t="s">
        <v>710</v>
      </c>
      <c r="B2640" s="12" t="n">
        <f aca="false">COUNTIFS(Cleaned!$D$2:$D$125,7,Cleaned!DX$2:DX$125,"&lt;&gt;")</f>
        <v>5</v>
      </c>
      <c r="C2640" s="15" t="n">
        <f aca="false">IF(B2640=0,"",AVERAGEIF(Cleaned!$D$2:$D$125,7,Cleaned!DX$2:DX$125))</f>
        <v>118.2</v>
      </c>
    </row>
    <row r="2641" customFormat="false" ht="15" hidden="false" customHeight="false" outlineLevel="0" collapsed="false">
      <c r="A2641" s="12" t="s">
        <v>711</v>
      </c>
      <c r="B2641" s="12" t="n">
        <f aca="false">COUNTIFS(Cleaned!$D$2:$D$125,8,Cleaned!DX$2:DX$125,"&lt;&gt;")</f>
        <v>1</v>
      </c>
      <c r="C2641" s="15" t="n">
        <f aca="false">IF(B2641=0,"",AVERAGEIF(Cleaned!$D$2:$D$125,8,Cleaned!DX$2:DX$125))</f>
        <v>142</v>
      </c>
    </row>
    <row r="2642" customFormat="false" ht="15" hidden="false" customHeight="false" outlineLevel="0" collapsed="false">
      <c r="A2642" s="12" t="s">
        <v>712</v>
      </c>
      <c r="B2642" s="12" t="n">
        <f aca="false">COUNTIFS(Cleaned!$D$2:$D$125,9,Cleaned!DX$2:DX$125,"&lt;&gt;")</f>
        <v>0</v>
      </c>
      <c r="C2642" s="15" t="str">
        <f aca="false">IF(B2642=0,"",AVERAGEIF(Cleaned!$D$2:$D$125,9,Cleaned!DX$2:DX$125))</f>
        <v/>
      </c>
    </row>
    <row r="2643" customFormat="false" ht="15" hidden="false" customHeight="false" outlineLevel="0" collapsed="false">
      <c r="A2643" s="12" t="s">
        <v>713</v>
      </c>
      <c r="B2643" s="12" t="n">
        <f aca="false">COUNTIFS(Cleaned!$D$2:$D$125,10,Cleaned!DX$2:DX$125,"&lt;&gt;")</f>
        <v>0</v>
      </c>
      <c r="C2643" s="15" t="str">
        <f aca="false">IF(B2643=0,"",AVERAGEIF(Cleaned!$D$2:$D$125,10,Cleaned!DX$2:DX$125))</f>
        <v/>
      </c>
    </row>
    <row r="2644" customFormat="false" ht="15" hidden="false" customHeight="false" outlineLevel="0" collapsed="false">
      <c r="A2644" s="12" t="s">
        <v>714</v>
      </c>
      <c r="B2644" s="12" t="n">
        <f aca="false">COUNTIFS(Cleaned!$D$2:$D$125,11,Cleaned!DX$2:DX$125,"&lt;&gt;")</f>
        <v>2</v>
      </c>
      <c r="C2644" s="15" t="n">
        <f aca="false">IF(B2644=0,"",AVERAGEIF(Cleaned!$D$2:$D$125,11,Cleaned!DX$2:DX$125))</f>
        <v>30.5</v>
      </c>
    </row>
    <row r="2645" customFormat="false" ht="15" hidden="false" customHeight="false" outlineLevel="0" collapsed="false">
      <c r="A2645" s="12" t="s">
        <v>715</v>
      </c>
      <c r="B2645" s="12" t="n">
        <f aca="false">COUNTIFS(Cleaned!$D$2:$D$125,12,Cleaned!DX$2:DX$125,"&lt;&gt;")</f>
        <v>2</v>
      </c>
      <c r="C2645" s="15" t="n">
        <f aca="false">IF(B2645=0,"",AVERAGEIF(Cleaned!$D$2:$D$125,12,Cleaned!DX$2:DX$125))</f>
        <v>5</v>
      </c>
    </row>
    <row r="2648" customFormat="false" ht="15" hidden="false" customHeight="false" outlineLevel="0" collapsed="false">
      <c r="A2648" s="6" t="s">
        <v>128</v>
      </c>
      <c r="B2648" s="7" t="s">
        <v>857</v>
      </c>
    </row>
    <row r="2649" customFormat="false" ht="15" hidden="false" customHeight="false" outlineLevel="0" collapsed="false">
      <c r="A2649" s="8"/>
      <c r="B2649" s="9" t="s">
        <v>372</v>
      </c>
      <c r="C2649" s="8"/>
      <c r="D2649" s="9" t="s">
        <v>858</v>
      </c>
      <c r="E2649" s="8"/>
      <c r="F2649" s="9" t="s">
        <v>859</v>
      </c>
      <c r="G2649" s="8"/>
      <c r="H2649" s="9" t="s">
        <v>860</v>
      </c>
      <c r="I2649" s="8"/>
      <c r="J2649" s="9" t="s">
        <v>221</v>
      </c>
      <c r="K2649" s="8"/>
      <c r="L2649" s="9" t="s">
        <v>694</v>
      </c>
    </row>
    <row r="2650" customFormat="false" ht="15" hidden="false" customHeight="false" outlineLevel="0" collapsed="false">
      <c r="B2650" s="10" t="s">
        <v>695</v>
      </c>
      <c r="C2650" s="10" t="s">
        <v>696</v>
      </c>
      <c r="D2650" s="10" t="s">
        <v>695</v>
      </c>
      <c r="E2650" s="10" t="s">
        <v>696</v>
      </c>
      <c r="F2650" s="10" t="s">
        <v>695</v>
      </c>
      <c r="G2650" s="10" t="s">
        <v>696</v>
      </c>
      <c r="H2650" s="10" t="s">
        <v>695</v>
      </c>
      <c r="I2650" s="10" t="s">
        <v>696</v>
      </c>
      <c r="J2650" s="10" t="s">
        <v>695</v>
      </c>
      <c r="K2650" s="10" t="s">
        <v>696</v>
      </c>
    </row>
    <row r="2651" customFormat="false" ht="15" hidden="false" customHeight="false" outlineLevel="0" collapsed="false">
      <c r="A2651" s="11" t="s">
        <v>697</v>
      </c>
    </row>
    <row r="2652" customFormat="false" ht="15" hidden="false" customHeight="false" outlineLevel="0" collapsed="false">
      <c r="A2652" s="12" t="s">
        <v>698</v>
      </c>
      <c r="B2652" s="12" t="n">
        <f aca="false">COUNTIFS(Cleaned!$C$2:$C$125,1,Cleaned!DY$2:DY$125,1)</f>
        <v>1</v>
      </c>
      <c r="C2652" s="13" t="n">
        <f aca="false">IFERROR(B2652/$L2652,"")</f>
        <v>1</v>
      </c>
      <c r="D2652" s="12" t="n">
        <f aca="false">COUNTIFS(Cleaned!$C$2:$C$125,1,Cleaned!DY$2:DY$125,2)</f>
        <v>0</v>
      </c>
      <c r="E2652" s="13" t="n">
        <f aca="false">IFERROR(D2652/$L2652,"")</f>
        <v>0</v>
      </c>
      <c r="F2652" s="12" t="n">
        <f aca="false">COUNTIFS(Cleaned!$C$2:$C$125,1,Cleaned!DY$2:DY$125,3)</f>
        <v>0</v>
      </c>
      <c r="G2652" s="13" t="n">
        <f aca="false">IFERROR(F2652/$L2652,"")</f>
        <v>0</v>
      </c>
      <c r="H2652" s="12" t="n">
        <f aca="false">COUNTIFS(Cleaned!$C$2:$C$125,1,Cleaned!DY$2:DY$125,4)</f>
        <v>0</v>
      </c>
      <c r="I2652" s="13" t="n">
        <f aca="false">IFERROR(H2652/$L2652,"")</f>
        <v>0</v>
      </c>
      <c r="J2652" s="12" t="n">
        <f aca="false">COUNTIFS(Cleaned!$C$2:$C$125,1,Cleaned!DY$2:DY$125,5)</f>
        <v>0</v>
      </c>
      <c r="K2652" s="13" t="n">
        <f aca="false">IFERROR(J2652/$L2652,"")</f>
        <v>0</v>
      </c>
      <c r="L2652" s="12" t="n">
        <f aca="false">B2652+D2652+F2652+H2652+J2652</f>
        <v>1</v>
      </c>
    </row>
    <row r="2653" customFormat="false" ht="15" hidden="false" customHeight="false" outlineLevel="0" collapsed="false">
      <c r="A2653" s="12" t="s">
        <v>699</v>
      </c>
      <c r="B2653" s="12" t="n">
        <f aca="false">COUNTIFS(Cleaned!$C$2:$C$125,2,Cleaned!DY$2:DY$125,1)</f>
        <v>1</v>
      </c>
      <c r="C2653" s="13" t="n">
        <f aca="false">IFERROR(B2653/$L2653,"")</f>
        <v>1</v>
      </c>
      <c r="D2653" s="12" t="n">
        <f aca="false">COUNTIFS(Cleaned!$C$2:$C$125,2,Cleaned!DY$2:DY$125,2)</f>
        <v>0</v>
      </c>
      <c r="E2653" s="13" t="n">
        <f aca="false">IFERROR(D2653/$L2653,"")</f>
        <v>0</v>
      </c>
      <c r="F2653" s="12" t="n">
        <f aca="false">COUNTIFS(Cleaned!$C$2:$C$125,2,Cleaned!DY$2:DY$125,3)</f>
        <v>0</v>
      </c>
      <c r="G2653" s="13" t="n">
        <f aca="false">IFERROR(F2653/$L2653,"")</f>
        <v>0</v>
      </c>
      <c r="H2653" s="12" t="n">
        <f aca="false">COUNTIFS(Cleaned!$C$2:$C$125,2,Cleaned!DY$2:DY$125,4)</f>
        <v>0</v>
      </c>
      <c r="I2653" s="13" t="n">
        <f aca="false">IFERROR(H2653/$L2653,"")</f>
        <v>0</v>
      </c>
      <c r="J2653" s="12" t="n">
        <f aca="false">COUNTIFS(Cleaned!$C$2:$C$125,2,Cleaned!DY$2:DY$125,5)</f>
        <v>0</v>
      </c>
      <c r="K2653" s="13" t="n">
        <f aca="false">IFERROR(J2653/$L2653,"")</f>
        <v>0</v>
      </c>
      <c r="L2653" s="12" t="n">
        <f aca="false">B2653+D2653+F2653+H2653+J2653</f>
        <v>1</v>
      </c>
    </row>
    <row r="2654" customFormat="false" ht="15" hidden="false" customHeight="false" outlineLevel="0" collapsed="false">
      <c r="A2654" s="12" t="s">
        <v>700</v>
      </c>
      <c r="B2654" s="12" t="n">
        <f aca="false">COUNTIFS(Cleaned!$C$2:$C$125,3,Cleaned!DY$2:DY$125,1)</f>
        <v>3</v>
      </c>
      <c r="C2654" s="13" t="n">
        <f aca="false">IFERROR(B2654/$L2654,"")</f>
        <v>0.75</v>
      </c>
      <c r="D2654" s="12" t="n">
        <f aca="false">COUNTIFS(Cleaned!$C$2:$C$125,3,Cleaned!DY$2:DY$125,2)</f>
        <v>0</v>
      </c>
      <c r="E2654" s="13" t="n">
        <f aca="false">IFERROR(D2654/$L2654,"")</f>
        <v>0</v>
      </c>
      <c r="F2654" s="12" t="n">
        <f aca="false">COUNTIFS(Cleaned!$C$2:$C$125,3,Cleaned!DY$2:DY$125,3)</f>
        <v>0</v>
      </c>
      <c r="G2654" s="13" t="n">
        <f aca="false">IFERROR(F2654/$L2654,"")</f>
        <v>0</v>
      </c>
      <c r="H2654" s="12" t="n">
        <f aca="false">COUNTIFS(Cleaned!$C$2:$C$125,3,Cleaned!DY$2:DY$125,4)</f>
        <v>0</v>
      </c>
      <c r="I2654" s="13" t="n">
        <f aca="false">IFERROR(H2654/$L2654,"")</f>
        <v>0</v>
      </c>
      <c r="J2654" s="12" t="n">
        <f aca="false">COUNTIFS(Cleaned!$C$2:$C$125,3,Cleaned!DY$2:DY$125,5)</f>
        <v>1</v>
      </c>
      <c r="K2654" s="13" t="n">
        <f aca="false">IFERROR(J2654/$L2654,"")</f>
        <v>0.25</v>
      </c>
      <c r="L2654" s="12" t="n">
        <f aca="false">B2654+D2654+F2654+H2654+J2654</f>
        <v>4</v>
      </c>
    </row>
    <row r="2655" customFormat="false" ht="15" hidden="false" customHeight="false" outlineLevel="0" collapsed="false">
      <c r="A2655" s="12" t="s">
        <v>701</v>
      </c>
      <c r="B2655" s="12" t="n">
        <f aca="false">COUNTIFS(Cleaned!$C$2:$C$125,4,Cleaned!DY$2:DY$125,1)</f>
        <v>3</v>
      </c>
      <c r="C2655" s="13" t="n">
        <f aca="false">IFERROR(B2655/$L2655,"")</f>
        <v>1</v>
      </c>
      <c r="D2655" s="12" t="n">
        <f aca="false">COUNTIFS(Cleaned!$C$2:$C$125,4,Cleaned!DY$2:DY$125,2)</f>
        <v>0</v>
      </c>
      <c r="E2655" s="13" t="n">
        <f aca="false">IFERROR(D2655/$L2655,"")</f>
        <v>0</v>
      </c>
      <c r="F2655" s="12" t="n">
        <f aca="false">COUNTIFS(Cleaned!$C$2:$C$125,4,Cleaned!DY$2:DY$125,3)</f>
        <v>0</v>
      </c>
      <c r="G2655" s="13" t="n">
        <f aca="false">IFERROR(F2655/$L2655,"")</f>
        <v>0</v>
      </c>
      <c r="H2655" s="12" t="n">
        <f aca="false">COUNTIFS(Cleaned!$C$2:$C$125,4,Cleaned!DY$2:DY$125,4)</f>
        <v>0</v>
      </c>
      <c r="I2655" s="13" t="n">
        <f aca="false">IFERROR(H2655/$L2655,"")</f>
        <v>0</v>
      </c>
      <c r="J2655" s="12" t="n">
        <f aca="false">COUNTIFS(Cleaned!$C$2:$C$125,4,Cleaned!DY$2:DY$125,5)</f>
        <v>0</v>
      </c>
      <c r="K2655" s="13" t="n">
        <f aca="false">IFERROR(J2655/$L2655,"")</f>
        <v>0</v>
      </c>
      <c r="L2655" s="12" t="n">
        <f aca="false">B2655+D2655+F2655+H2655+J2655</f>
        <v>3</v>
      </c>
    </row>
    <row r="2656" customFormat="false" ht="15" hidden="false" customHeight="false" outlineLevel="0" collapsed="false">
      <c r="A2656" s="12" t="s">
        <v>702</v>
      </c>
      <c r="B2656" s="12" t="n">
        <f aca="false">COUNTIFS(Cleaned!$C$2:$C$125,5,Cleaned!DY$2:DY$125,1)</f>
        <v>4</v>
      </c>
      <c r="C2656" s="13" t="n">
        <f aca="false">IFERROR(B2656/$L2656,"")</f>
        <v>0.5</v>
      </c>
      <c r="D2656" s="12" t="n">
        <f aca="false">COUNTIFS(Cleaned!$C$2:$C$125,5,Cleaned!DY$2:DY$125,2)</f>
        <v>1</v>
      </c>
      <c r="E2656" s="13" t="n">
        <f aca="false">IFERROR(D2656/$L2656,"")</f>
        <v>0.125</v>
      </c>
      <c r="F2656" s="12" t="n">
        <f aca="false">COUNTIFS(Cleaned!$C$2:$C$125,5,Cleaned!DY$2:DY$125,3)</f>
        <v>1</v>
      </c>
      <c r="G2656" s="13" t="n">
        <f aca="false">IFERROR(F2656/$L2656,"")</f>
        <v>0.125</v>
      </c>
      <c r="H2656" s="12" t="n">
        <f aca="false">COUNTIFS(Cleaned!$C$2:$C$125,5,Cleaned!DY$2:DY$125,4)</f>
        <v>2</v>
      </c>
      <c r="I2656" s="13" t="n">
        <f aca="false">IFERROR(H2656/$L2656,"")</f>
        <v>0.25</v>
      </c>
      <c r="J2656" s="12" t="n">
        <f aca="false">COUNTIFS(Cleaned!$C$2:$C$125,5,Cleaned!DY$2:DY$125,5)</f>
        <v>0</v>
      </c>
      <c r="K2656" s="13" t="n">
        <f aca="false">IFERROR(J2656/$L2656,"")</f>
        <v>0</v>
      </c>
      <c r="L2656" s="12" t="n">
        <f aca="false">B2656+D2656+F2656+H2656+J2656</f>
        <v>8</v>
      </c>
    </row>
    <row r="2657" customFormat="false" ht="15" hidden="false" customHeight="false" outlineLevel="0" collapsed="false">
      <c r="A2657" s="11" t="s">
        <v>703</v>
      </c>
      <c r="B2657" s="11" t="n">
        <f aca="false">SUM(B2652:B2656)</f>
        <v>12</v>
      </c>
      <c r="C2657" s="14" t="n">
        <f aca="false">IFERROR(B2657/$L2657,"")</f>
        <v>0.705882352941177</v>
      </c>
      <c r="D2657" s="11" t="n">
        <f aca="false">SUM(D2652:D2656)</f>
        <v>1</v>
      </c>
      <c r="E2657" s="14" t="n">
        <f aca="false">IFERROR(D2657/$L2657,"")</f>
        <v>0.0588235294117647</v>
      </c>
      <c r="F2657" s="11" t="n">
        <f aca="false">SUM(F2652:F2656)</f>
        <v>1</v>
      </c>
      <c r="G2657" s="14" t="n">
        <f aca="false">IFERROR(F2657/$L2657,"")</f>
        <v>0.0588235294117647</v>
      </c>
      <c r="H2657" s="11" t="n">
        <f aca="false">SUM(H2652:H2656)</f>
        <v>2</v>
      </c>
      <c r="I2657" s="14" t="n">
        <f aca="false">IFERROR(H2657/$L2657,"")</f>
        <v>0.117647058823529</v>
      </c>
      <c r="J2657" s="11" t="n">
        <f aca="false">SUM(J2652:J2656)</f>
        <v>1</v>
      </c>
      <c r="K2657" s="14" t="n">
        <f aca="false">IFERROR(J2657/$L2657,"")</f>
        <v>0.0588235294117647</v>
      </c>
      <c r="L2657" s="11" t="n">
        <f aca="false">SUM(L2652:L2656)</f>
        <v>17</v>
      </c>
    </row>
    <row r="2658" customFormat="false" ht="15" hidden="false" customHeight="false" outlineLevel="0" collapsed="false">
      <c r="A2658" s="11" t="s">
        <v>3</v>
      </c>
    </row>
    <row r="2659" customFormat="false" ht="15" hidden="false" customHeight="false" outlineLevel="0" collapsed="false">
      <c r="A2659" s="12" t="s">
        <v>704</v>
      </c>
      <c r="B2659" s="12" t="n">
        <f aca="false">COUNTIFS(Cleaned!$D$2:$D$125,1,Cleaned!DY$2:DY$125,1)</f>
        <v>2</v>
      </c>
      <c r="C2659" s="13" t="n">
        <f aca="false">IFERROR(B2659/$L2659,"")</f>
        <v>1</v>
      </c>
      <c r="D2659" s="12" t="n">
        <f aca="false">COUNTIFS(Cleaned!$D$2:$D$125,1,Cleaned!DY$2:DY$125,2)</f>
        <v>0</v>
      </c>
      <c r="E2659" s="13" t="n">
        <f aca="false">IFERROR(D2659/$L2659,"")</f>
        <v>0</v>
      </c>
      <c r="F2659" s="12" t="n">
        <f aca="false">COUNTIFS(Cleaned!$D$2:$D$125,1,Cleaned!DY$2:DY$125,3)</f>
        <v>0</v>
      </c>
      <c r="G2659" s="13" t="n">
        <f aca="false">IFERROR(F2659/$L2659,"")</f>
        <v>0</v>
      </c>
      <c r="H2659" s="12" t="n">
        <f aca="false">COUNTIFS(Cleaned!$D$2:$D$125,1,Cleaned!DY$2:DY$125,4)</f>
        <v>0</v>
      </c>
      <c r="I2659" s="13" t="n">
        <f aca="false">IFERROR(H2659/$L2659,"")</f>
        <v>0</v>
      </c>
      <c r="J2659" s="12" t="n">
        <f aca="false">COUNTIFS(Cleaned!$D$2:$D$125,1,Cleaned!DY$2:DY$125,5)</f>
        <v>0</v>
      </c>
      <c r="K2659" s="13" t="n">
        <f aca="false">IFERROR(J2659/$L2659,"")</f>
        <v>0</v>
      </c>
      <c r="L2659" s="12" t="n">
        <f aca="false">B2659+D2659+F2659+H2659+J2659</f>
        <v>2</v>
      </c>
    </row>
    <row r="2660" customFormat="false" ht="15" hidden="false" customHeight="false" outlineLevel="0" collapsed="false">
      <c r="A2660" s="12" t="s">
        <v>705</v>
      </c>
      <c r="B2660" s="12" t="n">
        <f aca="false">COUNTIFS(Cleaned!$D$2:$D$125,2,Cleaned!DY$2:DY$125,1)</f>
        <v>3</v>
      </c>
      <c r="C2660" s="13" t="n">
        <f aca="false">IFERROR(B2660/$L2660,"")</f>
        <v>0.75</v>
      </c>
      <c r="D2660" s="12" t="n">
        <f aca="false">COUNTIFS(Cleaned!$D$2:$D$125,2,Cleaned!DY$2:DY$125,2)</f>
        <v>1</v>
      </c>
      <c r="E2660" s="13" t="n">
        <f aca="false">IFERROR(D2660/$L2660,"")</f>
        <v>0.25</v>
      </c>
      <c r="F2660" s="12" t="n">
        <f aca="false">COUNTIFS(Cleaned!$D$2:$D$125,2,Cleaned!DY$2:DY$125,3)</f>
        <v>0</v>
      </c>
      <c r="G2660" s="13" t="n">
        <f aca="false">IFERROR(F2660/$L2660,"")</f>
        <v>0</v>
      </c>
      <c r="H2660" s="12" t="n">
        <f aca="false">COUNTIFS(Cleaned!$D$2:$D$125,2,Cleaned!DY$2:DY$125,4)</f>
        <v>0</v>
      </c>
      <c r="I2660" s="13" t="n">
        <f aca="false">IFERROR(H2660/$L2660,"")</f>
        <v>0</v>
      </c>
      <c r="J2660" s="12" t="n">
        <f aca="false">COUNTIFS(Cleaned!$D$2:$D$125,2,Cleaned!DY$2:DY$125,5)</f>
        <v>0</v>
      </c>
      <c r="K2660" s="13" t="n">
        <f aca="false">IFERROR(J2660/$L2660,"")</f>
        <v>0</v>
      </c>
      <c r="L2660" s="12" t="n">
        <f aca="false">B2660+D2660+F2660+H2660+J2660</f>
        <v>4</v>
      </c>
    </row>
    <row r="2661" customFormat="false" ht="15" hidden="false" customHeight="false" outlineLevel="0" collapsed="false">
      <c r="A2661" s="12" t="s">
        <v>706</v>
      </c>
      <c r="B2661" s="12" t="n">
        <f aca="false">COUNTIFS(Cleaned!$D$2:$D$125,3,Cleaned!DY$2:DY$125,1)</f>
        <v>1</v>
      </c>
      <c r="C2661" s="13" t="n">
        <f aca="false">IFERROR(B2661/$L2661,"")</f>
        <v>0.25</v>
      </c>
      <c r="D2661" s="12" t="n">
        <f aca="false">COUNTIFS(Cleaned!$D$2:$D$125,3,Cleaned!DY$2:DY$125,2)</f>
        <v>0</v>
      </c>
      <c r="E2661" s="13" t="n">
        <f aca="false">IFERROR(D2661/$L2661,"")</f>
        <v>0</v>
      </c>
      <c r="F2661" s="12" t="n">
        <f aca="false">COUNTIFS(Cleaned!$D$2:$D$125,3,Cleaned!DY$2:DY$125,3)</f>
        <v>0</v>
      </c>
      <c r="G2661" s="13" t="n">
        <f aca="false">IFERROR(F2661/$L2661,"")</f>
        <v>0</v>
      </c>
      <c r="H2661" s="12" t="n">
        <f aca="false">COUNTIFS(Cleaned!$D$2:$D$125,3,Cleaned!DY$2:DY$125,4)</f>
        <v>2</v>
      </c>
      <c r="I2661" s="13" t="n">
        <f aca="false">IFERROR(H2661/$L2661,"")</f>
        <v>0.5</v>
      </c>
      <c r="J2661" s="12" t="n">
        <f aca="false">COUNTIFS(Cleaned!$D$2:$D$125,3,Cleaned!DY$2:DY$125,5)</f>
        <v>1</v>
      </c>
      <c r="K2661" s="13" t="n">
        <f aca="false">IFERROR(J2661/$L2661,"")</f>
        <v>0.25</v>
      </c>
      <c r="L2661" s="12" t="n">
        <f aca="false">B2661+D2661+F2661+H2661+J2661</f>
        <v>4</v>
      </c>
    </row>
    <row r="2662" customFormat="false" ht="15" hidden="false" customHeight="false" outlineLevel="0" collapsed="false">
      <c r="A2662" s="12" t="s">
        <v>707</v>
      </c>
      <c r="B2662" s="12" t="n">
        <f aca="false">COUNTIFS(Cleaned!$D$2:$D$125,4,Cleaned!DY$2:DY$125,1)</f>
        <v>3</v>
      </c>
      <c r="C2662" s="13" t="n">
        <f aca="false">IFERROR(B2662/$L2662,"")</f>
        <v>1</v>
      </c>
      <c r="D2662" s="12" t="n">
        <f aca="false">COUNTIFS(Cleaned!$D$2:$D$125,4,Cleaned!DY$2:DY$125,2)</f>
        <v>0</v>
      </c>
      <c r="E2662" s="13" t="n">
        <f aca="false">IFERROR(D2662/$L2662,"")</f>
        <v>0</v>
      </c>
      <c r="F2662" s="12" t="n">
        <f aca="false">COUNTIFS(Cleaned!$D$2:$D$125,4,Cleaned!DY$2:DY$125,3)</f>
        <v>0</v>
      </c>
      <c r="G2662" s="13" t="n">
        <f aca="false">IFERROR(F2662/$L2662,"")</f>
        <v>0</v>
      </c>
      <c r="H2662" s="12" t="n">
        <f aca="false">COUNTIFS(Cleaned!$D$2:$D$125,4,Cleaned!DY$2:DY$125,4)</f>
        <v>0</v>
      </c>
      <c r="I2662" s="13" t="n">
        <f aca="false">IFERROR(H2662/$L2662,"")</f>
        <v>0</v>
      </c>
      <c r="J2662" s="12" t="n">
        <f aca="false">COUNTIFS(Cleaned!$D$2:$D$125,4,Cleaned!DY$2:DY$125,5)</f>
        <v>0</v>
      </c>
      <c r="K2662" s="13" t="n">
        <f aca="false">IFERROR(J2662/$L2662,"")</f>
        <v>0</v>
      </c>
      <c r="L2662" s="12" t="n">
        <f aca="false">B2662+D2662+F2662+H2662+J2662</f>
        <v>3</v>
      </c>
    </row>
    <row r="2663" customFormat="false" ht="15" hidden="false" customHeight="false" outlineLevel="0" collapsed="false">
      <c r="A2663" s="12" t="s">
        <v>708</v>
      </c>
      <c r="B2663" s="12" t="n">
        <f aca="false">COUNTIFS(Cleaned!$D$2:$D$125,5,Cleaned!DY$2:DY$125,1)</f>
        <v>0</v>
      </c>
      <c r="C2663" s="13" t="str">
        <f aca="false">IFERROR(B2663/$L2663,"")</f>
        <v/>
      </c>
      <c r="D2663" s="12" t="n">
        <f aca="false">COUNTIFS(Cleaned!$D$2:$D$125,5,Cleaned!DY$2:DY$125,2)</f>
        <v>0</v>
      </c>
      <c r="E2663" s="13" t="str">
        <f aca="false">IFERROR(D2663/$L2663,"")</f>
        <v/>
      </c>
      <c r="F2663" s="12" t="n">
        <f aca="false">COUNTIFS(Cleaned!$D$2:$D$125,5,Cleaned!DY$2:DY$125,3)</f>
        <v>0</v>
      </c>
      <c r="G2663" s="13" t="str">
        <f aca="false">IFERROR(F2663/$L2663,"")</f>
        <v/>
      </c>
      <c r="H2663" s="12" t="n">
        <f aca="false">COUNTIFS(Cleaned!$D$2:$D$125,5,Cleaned!DY$2:DY$125,4)</f>
        <v>0</v>
      </c>
      <c r="I2663" s="13" t="str">
        <f aca="false">IFERROR(H2663/$L2663,"")</f>
        <v/>
      </c>
      <c r="J2663" s="12" t="n">
        <f aca="false">COUNTIFS(Cleaned!$D$2:$D$125,5,Cleaned!DY$2:DY$125,5)</f>
        <v>0</v>
      </c>
      <c r="K2663" s="13" t="str">
        <f aca="false">IFERROR(J2663/$L2663,"")</f>
        <v/>
      </c>
      <c r="L2663" s="12" t="n">
        <f aca="false">B2663+D2663+F2663+H2663+J2663</f>
        <v>0</v>
      </c>
    </row>
    <row r="2664" customFormat="false" ht="15" hidden="false" customHeight="false" outlineLevel="0" collapsed="false">
      <c r="A2664" s="12" t="s">
        <v>709</v>
      </c>
      <c r="B2664" s="12" t="n">
        <f aca="false">COUNTIFS(Cleaned!$D$2:$D$125,6,Cleaned!DY$2:DY$125,1)</f>
        <v>0</v>
      </c>
      <c r="C2664" s="13" t="str">
        <f aca="false">IFERROR(B2664/$L2664,"")</f>
        <v/>
      </c>
      <c r="D2664" s="12" t="n">
        <f aca="false">COUNTIFS(Cleaned!$D$2:$D$125,6,Cleaned!DY$2:DY$125,2)</f>
        <v>0</v>
      </c>
      <c r="E2664" s="13" t="str">
        <f aca="false">IFERROR(D2664/$L2664,"")</f>
        <v/>
      </c>
      <c r="F2664" s="12" t="n">
        <f aca="false">COUNTIFS(Cleaned!$D$2:$D$125,6,Cleaned!DY$2:DY$125,3)</f>
        <v>0</v>
      </c>
      <c r="G2664" s="13" t="str">
        <f aca="false">IFERROR(F2664/$L2664,"")</f>
        <v/>
      </c>
      <c r="H2664" s="12" t="n">
        <f aca="false">COUNTIFS(Cleaned!$D$2:$D$125,6,Cleaned!DY$2:DY$125,4)</f>
        <v>0</v>
      </c>
      <c r="I2664" s="13" t="str">
        <f aca="false">IFERROR(H2664/$L2664,"")</f>
        <v/>
      </c>
      <c r="J2664" s="12" t="n">
        <f aca="false">COUNTIFS(Cleaned!$D$2:$D$125,6,Cleaned!DY$2:DY$125,5)</f>
        <v>0</v>
      </c>
      <c r="K2664" s="13" t="str">
        <f aca="false">IFERROR(J2664/$L2664,"")</f>
        <v/>
      </c>
      <c r="L2664" s="12" t="n">
        <f aca="false">B2664+D2664+F2664+H2664+J2664</f>
        <v>0</v>
      </c>
    </row>
    <row r="2665" customFormat="false" ht="15" hidden="false" customHeight="false" outlineLevel="0" collapsed="false">
      <c r="A2665" s="12" t="s">
        <v>710</v>
      </c>
      <c r="B2665" s="12" t="n">
        <f aca="false">COUNTIFS(Cleaned!$D$2:$D$125,7,Cleaned!DY$2:DY$125,1)</f>
        <v>0</v>
      </c>
      <c r="C2665" s="13" t="n">
        <f aca="false">IFERROR(B2665/$L2665,"")</f>
        <v>0</v>
      </c>
      <c r="D2665" s="12" t="n">
        <f aca="false">COUNTIFS(Cleaned!$D$2:$D$125,7,Cleaned!DY$2:DY$125,2)</f>
        <v>0</v>
      </c>
      <c r="E2665" s="13" t="n">
        <f aca="false">IFERROR(D2665/$L2665,"")</f>
        <v>0</v>
      </c>
      <c r="F2665" s="12" t="n">
        <f aca="false">COUNTIFS(Cleaned!$D$2:$D$125,7,Cleaned!DY$2:DY$125,3)</f>
        <v>1</v>
      </c>
      <c r="G2665" s="13" t="n">
        <f aca="false">IFERROR(F2665/$L2665,"")</f>
        <v>1</v>
      </c>
      <c r="H2665" s="12" t="n">
        <f aca="false">COUNTIFS(Cleaned!$D$2:$D$125,7,Cleaned!DY$2:DY$125,4)</f>
        <v>0</v>
      </c>
      <c r="I2665" s="13" t="n">
        <f aca="false">IFERROR(H2665/$L2665,"")</f>
        <v>0</v>
      </c>
      <c r="J2665" s="12" t="n">
        <f aca="false">COUNTIFS(Cleaned!$D$2:$D$125,7,Cleaned!DY$2:DY$125,5)</f>
        <v>0</v>
      </c>
      <c r="K2665" s="13" t="n">
        <f aca="false">IFERROR(J2665/$L2665,"")</f>
        <v>0</v>
      </c>
      <c r="L2665" s="12" t="n">
        <f aca="false">B2665+D2665+F2665+H2665+J2665</f>
        <v>1</v>
      </c>
    </row>
    <row r="2666" customFormat="false" ht="15" hidden="false" customHeight="false" outlineLevel="0" collapsed="false">
      <c r="A2666" s="12" t="s">
        <v>711</v>
      </c>
      <c r="B2666" s="12" t="n">
        <f aca="false">COUNTIFS(Cleaned!$D$2:$D$125,8,Cleaned!DY$2:DY$125,1)</f>
        <v>1</v>
      </c>
      <c r="C2666" s="13" t="n">
        <f aca="false">IFERROR(B2666/$L2666,"")</f>
        <v>1</v>
      </c>
      <c r="D2666" s="12" t="n">
        <f aca="false">COUNTIFS(Cleaned!$D$2:$D$125,8,Cleaned!DY$2:DY$125,2)</f>
        <v>0</v>
      </c>
      <c r="E2666" s="13" t="n">
        <f aca="false">IFERROR(D2666/$L2666,"")</f>
        <v>0</v>
      </c>
      <c r="F2666" s="12" t="n">
        <f aca="false">COUNTIFS(Cleaned!$D$2:$D$125,8,Cleaned!DY$2:DY$125,3)</f>
        <v>0</v>
      </c>
      <c r="G2666" s="13" t="n">
        <f aca="false">IFERROR(F2666/$L2666,"")</f>
        <v>0</v>
      </c>
      <c r="H2666" s="12" t="n">
        <f aca="false">COUNTIFS(Cleaned!$D$2:$D$125,8,Cleaned!DY$2:DY$125,4)</f>
        <v>0</v>
      </c>
      <c r="I2666" s="13" t="n">
        <f aca="false">IFERROR(H2666/$L2666,"")</f>
        <v>0</v>
      </c>
      <c r="J2666" s="12" t="n">
        <f aca="false">COUNTIFS(Cleaned!$D$2:$D$125,8,Cleaned!DY$2:DY$125,5)</f>
        <v>0</v>
      </c>
      <c r="K2666" s="13" t="n">
        <f aca="false">IFERROR(J2666/$L2666,"")</f>
        <v>0</v>
      </c>
      <c r="L2666" s="12" t="n">
        <f aca="false">B2666+D2666+F2666+H2666+J2666</f>
        <v>1</v>
      </c>
    </row>
    <row r="2667" customFormat="false" ht="15" hidden="false" customHeight="false" outlineLevel="0" collapsed="false">
      <c r="A2667" s="12" t="s">
        <v>712</v>
      </c>
      <c r="B2667" s="12" t="n">
        <f aca="false">COUNTIFS(Cleaned!$D$2:$D$125,9,Cleaned!DY$2:DY$125,1)</f>
        <v>0</v>
      </c>
      <c r="C2667" s="13" t="str">
        <f aca="false">IFERROR(B2667/$L2667,"")</f>
        <v/>
      </c>
      <c r="D2667" s="12" t="n">
        <f aca="false">COUNTIFS(Cleaned!$D$2:$D$125,9,Cleaned!DY$2:DY$125,2)</f>
        <v>0</v>
      </c>
      <c r="E2667" s="13" t="str">
        <f aca="false">IFERROR(D2667/$L2667,"")</f>
        <v/>
      </c>
      <c r="F2667" s="12" t="n">
        <f aca="false">COUNTIFS(Cleaned!$D$2:$D$125,9,Cleaned!DY$2:DY$125,3)</f>
        <v>0</v>
      </c>
      <c r="G2667" s="13" t="str">
        <f aca="false">IFERROR(F2667/$L2667,"")</f>
        <v/>
      </c>
      <c r="H2667" s="12" t="n">
        <f aca="false">COUNTIFS(Cleaned!$D$2:$D$125,9,Cleaned!DY$2:DY$125,4)</f>
        <v>0</v>
      </c>
      <c r="I2667" s="13" t="str">
        <f aca="false">IFERROR(H2667/$L2667,"")</f>
        <v/>
      </c>
      <c r="J2667" s="12" t="n">
        <f aca="false">COUNTIFS(Cleaned!$D$2:$D$125,9,Cleaned!DY$2:DY$125,5)</f>
        <v>0</v>
      </c>
      <c r="K2667" s="13" t="str">
        <f aca="false">IFERROR(J2667/$L2667,"")</f>
        <v/>
      </c>
      <c r="L2667" s="12" t="n">
        <f aca="false">B2667+D2667+F2667+H2667+J2667</f>
        <v>0</v>
      </c>
    </row>
    <row r="2668" customFormat="false" ht="15" hidden="false" customHeight="false" outlineLevel="0" collapsed="false">
      <c r="A2668" s="12" t="s">
        <v>713</v>
      </c>
      <c r="B2668" s="12" t="n">
        <f aca="false">COUNTIFS(Cleaned!$D$2:$D$125,10,Cleaned!DY$2:DY$125,1)</f>
        <v>0</v>
      </c>
      <c r="C2668" s="13" t="str">
        <f aca="false">IFERROR(B2668/$L2668,"")</f>
        <v/>
      </c>
      <c r="D2668" s="12" t="n">
        <f aca="false">COUNTIFS(Cleaned!$D$2:$D$125,10,Cleaned!DY$2:DY$125,2)</f>
        <v>0</v>
      </c>
      <c r="E2668" s="13" t="str">
        <f aca="false">IFERROR(D2668/$L2668,"")</f>
        <v/>
      </c>
      <c r="F2668" s="12" t="n">
        <f aca="false">COUNTIFS(Cleaned!$D$2:$D$125,10,Cleaned!DY$2:DY$125,3)</f>
        <v>0</v>
      </c>
      <c r="G2668" s="13" t="str">
        <f aca="false">IFERROR(F2668/$L2668,"")</f>
        <v/>
      </c>
      <c r="H2668" s="12" t="n">
        <f aca="false">COUNTIFS(Cleaned!$D$2:$D$125,10,Cleaned!DY$2:DY$125,4)</f>
        <v>0</v>
      </c>
      <c r="I2668" s="13" t="str">
        <f aca="false">IFERROR(H2668/$L2668,"")</f>
        <v/>
      </c>
      <c r="J2668" s="12" t="n">
        <f aca="false">COUNTIFS(Cleaned!$D$2:$D$125,10,Cleaned!DY$2:DY$125,5)</f>
        <v>0</v>
      </c>
      <c r="K2668" s="13" t="str">
        <f aca="false">IFERROR(J2668/$L2668,"")</f>
        <v/>
      </c>
      <c r="L2668" s="12" t="n">
        <f aca="false">B2668+D2668+F2668+H2668+J2668</f>
        <v>0</v>
      </c>
    </row>
    <row r="2669" customFormat="false" ht="15" hidden="false" customHeight="false" outlineLevel="0" collapsed="false">
      <c r="A2669" s="12" t="s">
        <v>714</v>
      </c>
      <c r="B2669" s="12" t="n">
        <f aca="false">COUNTIFS(Cleaned!$D$2:$D$125,11,Cleaned!DY$2:DY$125,1)</f>
        <v>2</v>
      </c>
      <c r="C2669" s="13" t="n">
        <f aca="false">IFERROR(B2669/$L2669,"")</f>
        <v>1</v>
      </c>
      <c r="D2669" s="12" t="n">
        <f aca="false">COUNTIFS(Cleaned!$D$2:$D$125,11,Cleaned!DY$2:DY$125,2)</f>
        <v>0</v>
      </c>
      <c r="E2669" s="13" t="n">
        <f aca="false">IFERROR(D2669/$L2669,"")</f>
        <v>0</v>
      </c>
      <c r="F2669" s="12" t="n">
        <f aca="false">COUNTIFS(Cleaned!$D$2:$D$125,11,Cleaned!DY$2:DY$125,3)</f>
        <v>0</v>
      </c>
      <c r="G2669" s="13" t="n">
        <f aca="false">IFERROR(F2669/$L2669,"")</f>
        <v>0</v>
      </c>
      <c r="H2669" s="12" t="n">
        <f aca="false">COUNTIFS(Cleaned!$D$2:$D$125,11,Cleaned!DY$2:DY$125,4)</f>
        <v>0</v>
      </c>
      <c r="I2669" s="13" t="n">
        <f aca="false">IFERROR(H2669/$L2669,"")</f>
        <v>0</v>
      </c>
      <c r="J2669" s="12" t="n">
        <f aca="false">COUNTIFS(Cleaned!$D$2:$D$125,11,Cleaned!DY$2:DY$125,5)</f>
        <v>0</v>
      </c>
      <c r="K2669" s="13" t="n">
        <f aca="false">IFERROR(J2669/$L2669,"")</f>
        <v>0</v>
      </c>
      <c r="L2669" s="12" t="n">
        <f aca="false">B2669+D2669+F2669+H2669+J2669</f>
        <v>2</v>
      </c>
    </row>
    <row r="2670" customFormat="false" ht="15" hidden="false" customHeight="false" outlineLevel="0" collapsed="false">
      <c r="A2670" s="12" t="s">
        <v>715</v>
      </c>
      <c r="B2670" s="12" t="n">
        <f aca="false">COUNTIFS(Cleaned!$D$2:$D$125,12,Cleaned!DY$2:DY$125,1)</f>
        <v>0</v>
      </c>
      <c r="C2670" s="13" t="str">
        <f aca="false">IFERROR(B2670/$L2670,"")</f>
        <v/>
      </c>
      <c r="D2670" s="12" t="n">
        <f aca="false">COUNTIFS(Cleaned!$D$2:$D$125,12,Cleaned!DY$2:DY$125,2)</f>
        <v>0</v>
      </c>
      <c r="E2670" s="13" t="str">
        <f aca="false">IFERROR(D2670/$L2670,"")</f>
        <v/>
      </c>
      <c r="F2670" s="12" t="n">
        <f aca="false">COUNTIFS(Cleaned!$D$2:$D$125,12,Cleaned!DY$2:DY$125,3)</f>
        <v>0</v>
      </c>
      <c r="G2670" s="13" t="str">
        <f aca="false">IFERROR(F2670/$L2670,"")</f>
        <v/>
      </c>
      <c r="H2670" s="12" t="n">
        <f aca="false">COUNTIFS(Cleaned!$D$2:$D$125,12,Cleaned!DY$2:DY$125,4)</f>
        <v>0</v>
      </c>
      <c r="I2670" s="13" t="str">
        <f aca="false">IFERROR(H2670/$L2670,"")</f>
        <v/>
      </c>
      <c r="J2670" s="12" t="n">
        <f aca="false">COUNTIFS(Cleaned!$D$2:$D$125,12,Cleaned!DY$2:DY$125,5)</f>
        <v>0</v>
      </c>
      <c r="K2670" s="13" t="str">
        <f aca="false">IFERROR(J2670/$L2670,"")</f>
        <v/>
      </c>
      <c r="L2670" s="12" t="n">
        <f aca="false">B2670+D2670+F2670+H2670+J2670</f>
        <v>0</v>
      </c>
    </row>
    <row r="2671" customFormat="false" ht="15" hidden="false" customHeight="false" outlineLevel="0" collapsed="false">
      <c r="A2671" s="11" t="s">
        <v>716</v>
      </c>
      <c r="B2671" s="11" t="n">
        <f aca="false">SUM(B2659:B2670)</f>
        <v>12</v>
      </c>
      <c r="C2671" s="14" t="n">
        <f aca="false">IFERROR(B2671/$L2671,"")</f>
        <v>0.705882352941177</v>
      </c>
      <c r="D2671" s="11" t="n">
        <f aca="false">SUM(D2659:D2670)</f>
        <v>1</v>
      </c>
      <c r="E2671" s="14" t="n">
        <f aca="false">IFERROR(D2671/$L2671,"")</f>
        <v>0.0588235294117647</v>
      </c>
      <c r="F2671" s="11" t="n">
        <f aca="false">SUM(F2659:F2670)</f>
        <v>1</v>
      </c>
      <c r="G2671" s="14" t="n">
        <f aca="false">IFERROR(F2671/$L2671,"")</f>
        <v>0.0588235294117647</v>
      </c>
      <c r="H2671" s="11" t="n">
        <f aca="false">SUM(H2659:H2670)</f>
        <v>2</v>
      </c>
      <c r="I2671" s="14" t="n">
        <f aca="false">IFERROR(H2671/$L2671,"")</f>
        <v>0.117647058823529</v>
      </c>
      <c r="J2671" s="11" t="n">
        <f aca="false">SUM(J2659:J2670)</f>
        <v>1</v>
      </c>
      <c r="K2671" s="14" t="n">
        <f aca="false">IFERROR(J2671/$L2671,"")</f>
        <v>0.0588235294117647</v>
      </c>
      <c r="L2671" s="11" t="n">
        <f aca="false">SUM(L2659:L2670)</f>
        <v>17</v>
      </c>
    </row>
    <row r="2674" customFormat="false" ht="15" hidden="false" customHeight="false" outlineLevel="0" collapsed="false">
      <c r="A2674" s="6" t="s">
        <v>129</v>
      </c>
      <c r="B2674" s="7" t="s">
        <v>861</v>
      </c>
    </row>
    <row r="2675" customFormat="false" ht="15" hidden="false" customHeight="false" outlineLevel="0" collapsed="false">
      <c r="A2675" s="11" t="s">
        <v>734</v>
      </c>
      <c r="B2675" s="9" t="s">
        <v>694</v>
      </c>
      <c r="C2675" s="9" t="s">
        <v>735</v>
      </c>
      <c r="D2675" s="9" t="s">
        <v>736</v>
      </c>
      <c r="E2675" s="9" t="s">
        <v>737</v>
      </c>
      <c r="F2675" s="9" t="s">
        <v>738</v>
      </c>
    </row>
    <row r="2676" customFormat="false" ht="15" hidden="false" customHeight="false" outlineLevel="0" collapsed="false">
      <c r="B2676" s="12" t="n">
        <f aca="false">COUNT(Cleaned!$DZ$2:$DZ$125)</f>
        <v>39</v>
      </c>
      <c r="C2676" s="12" t="n">
        <f aca="false">IFERROR(AVERAGE(Cleaned!$DZ$2:$DZ$125),"")</f>
        <v>38435258.4871795</v>
      </c>
      <c r="D2676" s="12" t="n">
        <f aca="false">IFERROR(MEDIAN(Cleaned!$DZ$2:$DZ$125),"")</f>
        <v>60000</v>
      </c>
      <c r="E2676" s="12" t="n">
        <f aca="false">IFERROR(MIN(Cleaned!$DZ$2:$DZ$125),"")</f>
        <v>1</v>
      </c>
      <c r="F2676" s="12" t="n">
        <f aca="false">IFERROR(MAX(Cleaned!$DZ$2:$DZ$125),"")</f>
        <v>748022440</v>
      </c>
    </row>
    <row r="2677" customFormat="false" ht="15" hidden="false" customHeight="false" outlineLevel="0" collapsed="false">
      <c r="A2677" s="11" t="s">
        <v>697</v>
      </c>
      <c r="B2677" s="9" t="s">
        <v>739</v>
      </c>
      <c r="C2677" s="9" t="s">
        <v>735</v>
      </c>
    </row>
    <row r="2678" customFormat="false" ht="15" hidden="false" customHeight="false" outlineLevel="0" collapsed="false">
      <c r="A2678" s="12" t="s">
        <v>698</v>
      </c>
      <c r="B2678" s="12" t="n">
        <f aca="false">COUNTIFS(Cleaned!$C$2:$C$125,1,Cleaned!DZ$2:DZ$125,"&lt;&gt;")</f>
        <v>4</v>
      </c>
      <c r="C2678" s="15" t="n">
        <f aca="false">IF(B2678=0,"",AVERAGEIF(Cleaned!$C$2:$C$125,1,Cleaned!DZ$2:DZ$125))</f>
        <v>9487129.25</v>
      </c>
    </row>
    <row r="2679" customFormat="false" ht="15" hidden="false" customHeight="false" outlineLevel="0" collapsed="false">
      <c r="A2679" s="12" t="s">
        <v>699</v>
      </c>
      <c r="B2679" s="12" t="n">
        <f aca="false">COUNTIFS(Cleaned!$C$2:$C$125,2,Cleaned!DZ$2:DZ$125,"&lt;&gt;")</f>
        <v>5</v>
      </c>
      <c r="C2679" s="15" t="n">
        <f aca="false">IF(B2679=0,"",AVERAGEIF(Cleaned!$C$2:$C$125,2,Cleaned!DZ$2:DZ$125))</f>
        <v>28813524.6</v>
      </c>
    </row>
    <row r="2680" customFormat="false" ht="15" hidden="false" customHeight="false" outlineLevel="0" collapsed="false">
      <c r="A2680" s="12" t="s">
        <v>700</v>
      </c>
      <c r="B2680" s="12" t="n">
        <f aca="false">COUNTIFS(Cleaned!$C$2:$C$125,3,Cleaned!DZ$2:DZ$125,"&lt;&gt;")</f>
        <v>8</v>
      </c>
      <c r="C2680" s="15" t="n">
        <f aca="false">IF(B2680=0,"",AVERAGEIF(Cleaned!$C$2:$C$125,3,Cleaned!DZ$2:DZ$125))</f>
        <v>27398894.125</v>
      </c>
    </row>
    <row r="2681" customFormat="false" ht="15" hidden="false" customHeight="false" outlineLevel="0" collapsed="false">
      <c r="A2681" s="12" t="s">
        <v>701</v>
      </c>
      <c r="B2681" s="12" t="n">
        <f aca="false">COUNTIFS(Cleaned!$C$2:$C$125,4,Cleaned!DZ$2:DZ$125,"&lt;&gt;")</f>
        <v>7</v>
      </c>
      <c r="C2681" s="15" t="n">
        <f aca="false">IF(B2681=0,"",AVERAGEIF(Cleaned!$C$2:$C$125,4,Cleaned!DZ$2:DZ$125))</f>
        <v>49874352.4285714</v>
      </c>
    </row>
    <row r="2682" customFormat="false" ht="15" hidden="false" customHeight="false" outlineLevel="0" collapsed="false">
      <c r="A2682" s="12" t="s">
        <v>702</v>
      </c>
      <c r="B2682" s="12" t="n">
        <f aca="false">COUNTIFS(Cleaned!$C$2:$C$125,5,Cleaned!DZ$2:DZ$125,"&lt;&gt;")</f>
        <v>15</v>
      </c>
      <c r="C2682" s="15" t="n">
        <f aca="false">IF(B2682=0,"",AVERAGEIF(Cleaned!$C$2:$C$125,5,Cleaned!DZ$2:DZ$125))</f>
        <v>49909821.4</v>
      </c>
    </row>
    <row r="2683" customFormat="false" ht="15" hidden="false" customHeight="false" outlineLevel="0" collapsed="false">
      <c r="A2683" s="11" t="s">
        <v>3</v>
      </c>
      <c r="B2683" s="9" t="s">
        <v>739</v>
      </c>
      <c r="C2683" s="9" t="s">
        <v>735</v>
      </c>
    </row>
    <row r="2684" customFormat="false" ht="15" hidden="false" customHeight="false" outlineLevel="0" collapsed="false">
      <c r="A2684" s="12" t="s">
        <v>704</v>
      </c>
      <c r="B2684" s="12" t="n">
        <f aca="false">COUNTIFS(Cleaned!$D$2:$D$125,1,Cleaned!DZ$2:DZ$125,"&lt;&gt;")</f>
        <v>5</v>
      </c>
      <c r="C2684" s="15" t="n">
        <f aca="false">IF(B2684=0,"",AVERAGEIF(Cleaned!$D$2:$D$125,1,Cleaned!DZ$2:DZ$125))</f>
        <v>10005503.4</v>
      </c>
    </row>
    <row r="2685" customFormat="false" ht="15" hidden="false" customHeight="false" outlineLevel="0" collapsed="false">
      <c r="A2685" s="12" t="s">
        <v>705</v>
      </c>
      <c r="B2685" s="12" t="n">
        <f aca="false">COUNTIFS(Cleaned!$D$2:$D$125,2,Cleaned!DZ$2:DZ$125,"&lt;&gt;")</f>
        <v>9</v>
      </c>
      <c r="C2685" s="15" t="n">
        <f aca="false">IF(B2685=0,"",AVERAGEIF(Cleaned!$D$2:$D$125,2,Cleaned!DZ$2:DZ$125))</f>
        <v>83133680</v>
      </c>
    </row>
    <row r="2686" customFormat="false" ht="15" hidden="false" customHeight="false" outlineLevel="0" collapsed="false">
      <c r="A2686" s="12" t="s">
        <v>706</v>
      </c>
      <c r="B2686" s="12" t="n">
        <f aca="false">COUNTIFS(Cleaned!$D$2:$D$125,3,Cleaned!DZ$2:DZ$125,"&lt;&gt;")</f>
        <v>6</v>
      </c>
      <c r="C2686" s="15" t="n">
        <f aca="false">IF(B2686=0,"",AVERAGEIF(Cleaned!$D$2:$D$125,3,Cleaned!DZ$2:DZ$125))</f>
        <v>58612495.5</v>
      </c>
    </row>
    <row r="2687" customFormat="false" ht="15" hidden="false" customHeight="false" outlineLevel="0" collapsed="false">
      <c r="A2687" s="12" t="s">
        <v>707</v>
      </c>
      <c r="B2687" s="12" t="n">
        <f aca="false">COUNTIFS(Cleaned!$D$2:$D$125,4,Cleaned!DZ$2:DZ$125,"&lt;&gt;")</f>
        <v>4</v>
      </c>
      <c r="C2687" s="15" t="n">
        <f aca="false">IF(B2687=0,"",AVERAGEIF(Cleaned!$D$2:$D$125,4,Cleaned!DZ$2:DZ$125))</f>
        <v>29016810</v>
      </c>
    </row>
    <row r="2688" customFormat="false" ht="15" hidden="false" customHeight="false" outlineLevel="0" collapsed="false">
      <c r="A2688" s="12" t="s">
        <v>708</v>
      </c>
      <c r="B2688" s="12" t="n">
        <f aca="false">COUNTIFS(Cleaned!$D$2:$D$125,5,Cleaned!DZ$2:DZ$125,"&lt;&gt;")</f>
        <v>0</v>
      </c>
      <c r="C2688" s="15" t="str">
        <f aca="false">IF(B2688=0,"",AVERAGEIF(Cleaned!$D$2:$D$125,5,Cleaned!DZ$2:DZ$125))</f>
        <v/>
      </c>
    </row>
    <row r="2689" customFormat="false" ht="15" hidden="false" customHeight="false" outlineLevel="0" collapsed="false">
      <c r="A2689" s="12" t="s">
        <v>709</v>
      </c>
      <c r="B2689" s="12" t="n">
        <f aca="false">COUNTIFS(Cleaned!$D$2:$D$125,6,Cleaned!DZ$2:DZ$125,"&lt;&gt;")</f>
        <v>2</v>
      </c>
      <c r="C2689" s="15" t="n">
        <f aca="false">IF(B2689=0,"",AVERAGEIF(Cleaned!$D$2:$D$125,6,Cleaned!DZ$2:DZ$125))</f>
        <v>37798363.5</v>
      </c>
    </row>
    <row r="2690" customFormat="false" ht="15" hidden="false" customHeight="false" outlineLevel="0" collapsed="false">
      <c r="A2690" s="12" t="s">
        <v>710</v>
      </c>
      <c r="B2690" s="12" t="n">
        <f aca="false">COUNTIFS(Cleaned!$D$2:$D$125,7,Cleaned!DZ$2:DZ$125,"&lt;&gt;")</f>
        <v>6</v>
      </c>
      <c r="C2690" s="15" t="n">
        <f aca="false">IF(B2690=0,"",AVERAGEIF(Cleaned!$D$2:$D$125,7,Cleaned!DZ$2:DZ$125))</f>
        <v>2025896.83333333</v>
      </c>
    </row>
    <row r="2691" customFormat="false" ht="15" hidden="false" customHeight="false" outlineLevel="0" collapsed="false">
      <c r="A2691" s="12" t="s">
        <v>711</v>
      </c>
      <c r="B2691" s="12" t="n">
        <f aca="false">COUNTIFS(Cleaned!$D$2:$D$125,8,Cleaned!DZ$2:DZ$125,"&lt;&gt;")</f>
        <v>2</v>
      </c>
      <c r="C2691" s="15" t="n">
        <f aca="false">IF(B2691=0,"",AVERAGEIF(Cleaned!$D$2:$D$125,8,Cleaned!DZ$2:DZ$125))</f>
        <v>48000</v>
      </c>
    </row>
    <row r="2692" customFormat="false" ht="15" hidden="false" customHeight="false" outlineLevel="0" collapsed="false">
      <c r="A2692" s="12" t="s">
        <v>712</v>
      </c>
      <c r="B2692" s="12" t="n">
        <f aca="false">COUNTIFS(Cleaned!$D$2:$D$125,9,Cleaned!DZ$2:DZ$125,"&lt;&gt;")</f>
        <v>0</v>
      </c>
      <c r="C2692" s="15" t="str">
        <f aca="false">IF(B2692=0,"",AVERAGEIF(Cleaned!$D$2:$D$125,9,Cleaned!DZ$2:DZ$125))</f>
        <v/>
      </c>
    </row>
    <row r="2693" customFormat="false" ht="15" hidden="false" customHeight="false" outlineLevel="0" collapsed="false">
      <c r="A2693" s="12" t="s">
        <v>713</v>
      </c>
      <c r="B2693" s="12" t="n">
        <f aca="false">COUNTIFS(Cleaned!$D$2:$D$125,10,Cleaned!DZ$2:DZ$125,"&lt;&gt;")</f>
        <v>0</v>
      </c>
      <c r="C2693" s="15" t="str">
        <f aca="false">IF(B2693=0,"",AVERAGEIF(Cleaned!$D$2:$D$125,10,Cleaned!DZ$2:DZ$125))</f>
        <v/>
      </c>
    </row>
    <row r="2694" customFormat="false" ht="15" hidden="false" customHeight="false" outlineLevel="0" collapsed="false">
      <c r="A2694" s="12" t="s">
        <v>714</v>
      </c>
      <c r="B2694" s="12" t="n">
        <f aca="false">COUNTIFS(Cleaned!$D$2:$D$125,11,Cleaned!DZ$2:DZ$125,"&lt;&gt;")</f>
        <v>3</v>
      </c>
      <c r="C2694" s="15" t="n">
        <f aca="false">IF(B2694=0,"",AVERAGEIF(Cleaned!$D$2:$D$125,11,Cleaned!DZ$2:DZ$125))</f>
        <v>48047333.3333333</v>
      </c>
    </row>
    <row r="2695" customFormat="false" ht="15" hidden="false" customHeight="false" outlineLevel="0" collapsed="false">
      <c r="A2695" s="12" t="s">
        <v>715</v>
      </c>
      <c r="B2695" s="12" t="n">
        <f aca="false">COUNTIFS(Cleaned!$D$2:$D$125,12,Cleaned!DZ$2:DZ$125,"&lt;&gt;")</f>
        <v>2</v>
      </c>
      <c r="C2695" s="15" t="n">
        <f aca="false">IF(B2695=0,"",AVERAGEIF(Cleaned!$D$2:$D$125,12,Cleaned!DZ$2:DZ$125))</f>
        <v>506061.5</v>
      </c>
    </row>
    <row r="2698" customFormat="false" ht="15" hidden="false" customHeight="false" outlineLevel="0" collapsed="false">
      <c r="A2698" s="6" t="s">
        <v>130</v>
      </c>
      <c r="B2698" s="7" t="s">
        <v>862</v>
      </c>
    </row>
    <row r="2699" customFormat="false" ht="15" hidden="false" customHeight="false" outlineLevel="0" collapsed="false">
      <c r="A2699" s="11" t="s">
        <v>734</v>
      </c>
      <c r="B2699" s="9" t="s">
        <v>694</v>
      </c>
      <c r="C2699" s="9" t="s">
        <v>735</v>
      </c>
      <c r="D2699" s="9" t="s">
        <v>736</v>
      </c>
      <c r="E2699" s="9" t="s">
        <v>737</v>
      </c>
      <c r="F2699" s="9" t="s">
        <v>738</v>
      </c>
    </row>
    <row r="2700" customFormat="false" ht="15" hidden="false" customHeight="false" outlineLevel="0" collapsed="false">
      <c r="B2700" s="12" t="n">
        <f aca="false">COUNT(Cleaned!$EA$2:$EA$125)</f>
        <v>38</v>
      </c>
      <c r="C2700" s="12" t="n">
        <f aca="false">IFERROR(AVERAGE(Cleaned!$EA$2:$EA$125),"")</f>
        <v>171.089868421053</v>
      </c>
      <c r="D2700" s="12" t="n">
        <f aca="false">IFERROR(MEDIAN(Cleaned!$EA$2:$EA$125),"")</f>
        <v>44.7</v>
      </c>
      <c r="E2700" s="12" t="n">
        <f aca="false">IFERROR(MIN(Cleaned!$EA$2:$EA$125),"")</f>
        <v>2.21</v>
      </c>
      <c r="F2700" s="12" t="n">
        <f aca="false">IFERROR(MAX(Cleaned!$EA$2:$EA$125),"")</f>
        <v>2313</v>
      </c>
    </row>
    <row r="2701" customFormat="false" ht="15" hidden="false" customHeight="false" outlineLevel="0" collapsed="false">
      <c r="A2701" s="11" t="s">
        <v>697</v>
      </c>
      <c r="B2701" s="9" t="s">
        <v>739</v>
      </c>
      <c r="C2701" s="9" t="s">
        <v>735</v>
      </c>
    </row>
    <row r="2702" customFormat="false" ht="15" hidden="false" customHeight="false" outlineLevel="0" collapsed="false">
      <c r="A2702" s="12" t="s">
        <v>698</v>
      </c>
      <c r="B2702" s="12" t="n">
        <f aca="false">COUNTIFS(Cleaned!$C$2:$C$125,1,Cleaned!EA$2:EA$125,"&lt;&gt;")</f>
        <v>3</v>
      </c>
      <c r="C2702" s="15" t="n">
        <f aca="false">IF(B2702=0,"",AVERAGEIF(Cleaned!$C$2:$C$125,1,Cleaned!EA$2:EA$125))</f>
        <v>3.39666666666667</v>
      </c>
    </row>
    <row r="2703" customFormat="false" ht="15" hidden="false" customHeight="false" outlineLevel="0" collapsed="false">
      <c r="A2703" s="12" t="s">
        <v>699</v>
      </c>
      <c r="B2703" s="12" t="n">
        <f aca="false">COUNTIFS(Cleaned!$C$2:$C$125,2,Cleaned!EA$2:EA$125,"&lt;&gt;")</f>
        <v>2</v>
      </c>
      <c r="C2703" s="15" t="n">
        <f aca="false">IF(B2703=0,"",AVERAGEIF(Cleaned!$C$2:$C$125,2,Cleaned!EA$2:EA$125))</f>
        <v>7.25</v>
      </c>
    </row>
    <row r="2704" customFormat="false" ht="15" hidden="false" customHeight="false" outlineLevel="0" collapsed="false">
      <c r="A2704" s="12" t="s">
        <v>700</v>
      </c>
      <c r="B2704" s="12" t="n">
        <f aca="false">COUNTIFS(Cleaned!$C$2:$C$125,3,Cleaned!EA$2:EA$125,"&lt;&gt;")</f>
        <v>9</v>
      </c>
      <c r="C2704" s="15" t="n">
        <f aca="false">IF(B2704=0,"",AVERAGEIF(Cleaned!$C$2:$C$125,3,Cleaned!EA$2:EA$125))</f>
        <v>17.1555555555556</v>
      </c>
    </row>
    <row r="2705" customFormat="false" ht="15" hidden="false" customHeight="false" outlineLevel="0" collapsed="false">
      <c r="A2705" s="12" t="s">
        <v>701</v>
      </c>
      <c r="B2705" s="12" t="n">
        <f aca="false">COUNTIFS(Cleaned!$C$2:$C$125,4,Cleaned!EA$2:EA$125,"&lt;&gt;")</f>
        <v>7</v>
      </c>
      <c r="C2705" s="15" t="n">
        <f aca="false">IF(B2705=0,"",AVERAGEIF(Cleaned!$C$2:$C$125,4,Cleaned!EA$2:EA$125))</f>
        <v>49.1642857142857</v>
      </c>
    </row>
    <row r="2706" customFormat="false" ht="15" hidden="false" customHeight="false" outlineLevel="0" collapsed="false">
      <c r="A2706" s="12" t="s">
        <v>702</v>
      </c>
      <c r="B2706" s="12" t="n">
        <f aca="false">COUNTIFS(Cleaned!$C$2:$C$125,5,Cleaned!EA$2:EA$125,"&lt;&gt;")</f>
        <v>17</v>
      </c>
      <c r="C2706" s="15" t="n">
        <f aca="false">IF(B2706=0,"",AVERAGEIF(Cleaned!$C$2:$C$125,5,Cleaned!EA$2:EA$125))</f>
        <v>351.657352941177</v>
      </c>
    </row>
    <row r="2707" customFormat="false" ht="15" hidden="false" customHeight="false" outlineLevel="0" collapsed="false">
      <c r="A2707" s="11" t="s">
        <v>3</v>
      </c>
      <c r="B2707" s="9" t="s">
        <v>739</v>
      </c>
      <c r="C2707" s="9" t="s">
        <v>735</v>
      </c>
    </row>
    <row r="2708" customFormat="false" ht="15" hidden="false" customHeight="false" outlineLevel="0" collapsed="false">
      <c r="A2708" s="12" t="s">
        <v>704</v>
      </c>
      <c r="B2708" s="12" t="n">
        <f aca="false">COUNTIFS(Cleaned!$D$2:$D$125,1,Cleaned!EA$2:EA$125,"&lt;&gt;")</f>
        <v>6</v>
      </c>
      <c r="C2708" s="15" t="n">
        <f aca="false">IF(B2708=0,"",AVERAGEIF(Cleaned!$D$2:$D$125,1,Cleaned!EA$2:EA$125))</f>
        <v>28.25</v>
      </c>
    </row>
    <row r="2709" customFormat="false" ht="15" hidden="false" customHeight="false" outlineLevel="0" collapsed="false">
      <c r="A2709" s="12" t="s">
        <v>705</v>
      </c>
      <c r="B2709" s="12" t="n">
        <f aca="false">COUNTIFS(Cleaned!$D$2:$D$125,2,Cleaned!EA$2:EA$125,"&lt;&gt;")</f>
        <v>10</v>
      </c>
      <c r="C2709" s="15" t="n">
        <f aca="false">IF(B2709=0,"",AVERAGEIF(Cleaned!$D$2:$D$125,2,Cleaned!EA$2:EA$125))</f>
        <v>375.5675</v>
      </c>
    </row>
    <row r="2710" customFormat="false" ht="15" hidden="false" customHeight="false" outlineLevel="0" collapsed="false">
      <c r="A2710" s="12" t="s">
        <v>706</v>
      </c>
      <c r="B2710" s="12" t="n">
        <f aca="false">COUNTIFS(Cleaned!$D$2:$D$125,3,Cleaned!EA$2:EA$125,"&lt;&gt;")</f>
        <v>6</v>
      </c>
      <c r="C2710" s="15" t="n">
        <f aca="false">IF(B2710=0,"",AVERAGEIF(Cleaned!$D$2:$D$125,3,Cleaned!EA$2:EA$125))</f>
        <v>285.083333333333</v>
      </c>
    </row>
    <row r="2711" customFormat="false" ht="15" hidden="false" customHeight="false" outlineLevel="0" collapsed="false">
      <c r="A2711" s="12" t="s">
        <v>707</v>
      </c>
      <c r="B2711" s="12" t="n">
        <f aca="false">COUNTIFS(Cleaned!$D$2:$D$125,4,Cleaned!EA$2:EA$125,"&lt;&gt;")</f>
        <v>3</v>
      </c>
      <c r="C2711" s="15" t="n">
        <f aca="false">IF(B2711=0,"",AVERAGEIF(Cleaned!$D$2:$D$125,4,Cleaned!EA$2:EA$125))</f>
        <v>31.0733333333333</v>
      </c>
    </row>
    <row r="2712" customFormat="false" ht="15" hidden="false" customHeight="false" outlineLevel="0" collapsed="false">
      <c r="A2712" s="12" t="s">
        <v>708</v>
      </c>
      <c r="B2712" s="12" t="n">
        <f aca="false">COUNTIFS(Cleaned!$D$2:$D$125,5,Cleaned!EA$2:EA$125,"&lt;&gt;")</f>
        <v>1</v>
      </c>
      <c r="C2712" s="15" t="n">
        <f aca="false">IF(B2712=0,"",AVERAGEIF(Cleaned!$D$2:$D$125,5,Cleaned!EA$2:EA$125))</f>
        <v>67.93</v>
      </c>
    </row>
    <row r="2713" customFormat="false" ht="15" hidden="false" customHeight="false" outlineLevel="0" collapsed="false">
      <c r="A2713" s="12" t="s">
        <v>709</v>
      </c>
      <c r="B2713" s="12" t="n">
        <f aca="false">COUNTIFS(Cleaned!$D$2:$D$125,6,Cleaned!EA$2:EA$125,"&lt;&gt;")</f>
        <v>2</v>
      </c>
      <c r="C2713" s="15" t="n">
        <f aca="false">IF(B2713=0,"",AVERAGEIF(Cleaned!$D$2:$D$125,6,Cleaned!EA$2:EA$125))</f>
        <v>31.5</v>
      </c>
    </row>
    <row r="2714" customFormat="false" ht="15" hidden="false" customHeight="false" outlineLevel="0" collapsed="false">
      <c r="A2714" s="12" t="s">
        <v>710</v>
      </c>
      <c r="B2714" s="12" t="n">
        <f aca="false">COUNTIFS(Cleaned!$D$2:$D$125,7,Cleaned!EA$2:EA$125,"&lt;&gt;")</f>
        <v>6</v>
      </c>
      <c r="C2714" s="15" t="n">
        <f aca="false">IF(B2714=0,"",AVERAGEIF(Cleaned!$D$2:$D$125,7,Cleaned!EA$2:EA$125))</f>
        <v>88.4</v>
      </c>
    </row>
    <row r="2715" customFormat="false" ht="15" hidden="false" customHeight="false" outlineLevel="0" collapsed="false">
      <c r="A2715" s="12" t="s">
        <v>711</v>
      </c>
      <c r="B2715" s="12" t="n">
        <f aca="false">COUNTIFS(Cleaned!$D$2:$D$125,8,Cleaned!EA$2:EA$125,"&lt;&gt;")</f>
        <v>2</v>
      </c>
      <c r="C2715" s="15" t="n">
        <f aca="false">IF(B2715=0,"",AVERAGEIF(Cleaned!$D$2:$D$125,8,Cleaned!EA$2:EA$125))</f>
        <v>42.605</v>
      </c>
    </row>
    <row r="2716" customFormat="false" ht="15" hidden="false" customHeight="false" outlineLevel="0" collapsed="false">
      <c r="A2716" s="12" t="s">
        <v>712</v>
      </c>
      <c r="B2716" s="12" t="n">
        <f aca="false">COUNTIFS(Cleaned!$D$2:$D$125,9,Cleaned!EA$2:EA$125,"&lt;&gt;")</f>
        <v>0</v>
      </c>
      <c r="C2716" s="15" t="str">
        <f aca="false">IF(B2716=0,"",AVERAGEIF(Cleaned!$D$2:$D$125,9,Cleaned!EA$2:EA$125))</f>
        <v/>
      </c>
    </row>
    <row r="2717" customFormat="false" ht="15" hidden="false" customHeight="false" outlineLevel="0" collapsed="false">
      <c r="A2717" s="12" t="s">
        <v>713</v>
      </c>
      <c r="B2717" s="12" t="n">
        <f aca="false">COUNTIFS(Cleaned!$D$2:$D$125,10,Cleaned!EA$2:EA$125,"&lt;&gt;")</f>
        <v>0</v>
      </c>
      <c r="C2717" s="15" t="str">
        <f aca="false">IF(B2717=0,"",AVERAGEIF(Cleaned!$D$2:$D$125,10,Cleaned!EA$2:EA$125))</f>
        <v/>
      </c>
    </row>
    <row r="2718" customFormat="false" ht="15" hidden="false" customHeight="false" outlineLevel="0" collapsed="false">
      <c r="A2718" s="12" t="s">
        <v>714</v>
      </c>
      <c r="B2718" s="12" t="n">
        <f aca="false">COUNTIFS(Cleaned!$D$2:$D$125,11,Cleaned!EA$2:EA$125,"&lt;&gt;")</f>
        <v>1</v>
      </c>
      <c r="C2718" s="15" t="n">
        <f aca="false">IF(B2718=0,"",AVERAGEIF(Cleaned!$D$2:$D$125,11,Cleaned!EA$2:EA$125))</f>
        <v>22</v>
      </c>
    </row>
    <row r="2719" customFormat="false" ht="15" hidden="false" customHeight="false" outlineLevel="0" collapsed="false">
      <c r="A2719" s="12" t="s">
        <v>715</v>
      </c>
      <c r="B2719" s="12" t="n">
        <f aca="false">COUNTIFS(Cleaned!$D$2:$D$125,12,Cleaned!EA$2:EA$125,"&lt;&gt;")</f>
        <v>1</v>
      </c>
      <c r="C2719" s="15" t="n">
        <f aca="false">IF(B2719=0,"",AVERAGEIF(Cleaned!$D$2:$D$125,12,Cleaned!EA$2:EA$125))</f>
        <v>3.98</v>
      </c>
    </row>
    <row r="2722" customFormat="false" ht="15" hidden="false" customHeight="false" outlineLevel="0" collapsed="false">
      <c r="A2722" s="6" t="s">
        <v>131</v>
      </c>
      <c r="B2722" s="7" t="s">
        <v>863</v>
      </c>
    </row>
    <row r="2723" customFormat="false" ht="15" hidden="false" customHeight="false" outlineLevel="0" collapsed="false">
      <c r="A2723" s="11" t="s">
        <v>734</v>
      </c>
      <c r="B2723" s="9" t="s">
        <v>694</v>
      </c>
      <c r="C2723" s="9" t="s">
        <v>735</v>
      </c>
      <c r="D2723" s="9" t="s">
        <v>736</v>
      </c>
      <c r="E2723" s="9" t="s">
        <v>737</v>
      </c>
      <c r="F2723" s="9" t="s">
        <v>738</v>
      </c>
    </row>
    <row r="2724" customFormat="false" ht="15" hidden="false" customHeight="false" outlineLevel="0" collapsed="false">
      <c r="B2724" s="12" t="n">
        <f aca="false">COUNT(Cleaned!$EB$2:$EB$125)</f>
        <v>36</v>
      </c>
      <c r="C2724" s="12" t="n">
        <f aca="false">IFERROR(AVERAGE(Cleaned!$EB$2:$EB$125),"")</f>
        <v>3.91666666666667</v>
      </c>
      <c r="D2724" s="12" t="n">
        <f aca="false">IFERROR(MEDIAN(Cleaned!$EB$2:$EB$125),"")</f>
        <v>2.5</v>
      </c>
      <c r="E2724" s="12" t="n">
        <f aca="false">IFERROR(MIN(Cleaned!$EB$2:$EB$125),"")</f>
        <v>0</v>
      </c>
      <c r="F2724" s="12" t="n">
        <f aca="false">IFERROR(MAX(Cleaned!$EB$2:$EB$125),"")</f>
        <v>21</v>
      </c>
    </row>
    <row r="2725" customFormat="false" ht="15" hidden="false" customHeight="false" outlineLevel="0" collapsed="false">
      <c r="A2725" s="11" t="s">
        <v>697</v>
      </c>
      <c r="B2725" s="9" t="s">
        <v>739</v>
      </c>
      <c r="C2725" s="9" t="s">
        <v>735</v>
      </c>
    </row>
    <row r="2726" customFormat="false" ht="15" hidden="false" customHeight="false" outlineLevel="0" collapsed="false">
      <c r="A2726" s="12" t="s">
        <v>698</v>
      </c>
      <c r="B2726" s="12" t="n">
        <f aca="false">COUNTIFS(Cleaned!$C$2:$C$125,1,Cleaned!EB$2:EB$125,"&lt;&gt;")</f>
        <v>5</v>
      </c>
      <c r="C2726" s="15" t="n">
        <f aca="false">IF(B2726=0,"",AVERAGEIF(Cleaned!$C$2:$C$125,1,Cleaned!EB$2:EB$125))</f>
        <v>2</v>
      </c>
    </row>
    <row r="2727" customFormat="false" ht="15" hidden="false" customHeight="false" outlineLevel="0" collapsed="false">
      <c r="A2727" s="12" t="s">
        <v>699</v>
      </c>
      <c r="B2727" s="12" t="n">
        <f aca="false">COUNTIFS(Cleaned!$C$2:$C$125,2,Cleaned!EB$2:EB$125,"&lt;&gt;")</f>
        <v>3</v>
      </c>
      <c r="C2727" s="15" t="n">
        <f aca="false">IF(B2727=0,"",AVERAGEIF(Cleaned!$C$2:$C$125,2,Cleaned!EB$2:EB$125))</f>
        <v>2</v>
      </c>
    </row>
    <row r="2728" customFormat="false" ht="15" hidden="false" customHeight="false" outlineLevel="0" collapsed="false">
      <c r="A2728" s="12" t="s">
        <v>700</v>
      </c>
      <c r="B2728" s="12" t="n">
        <f aca="false">COUNTIFS(Cleaned!$C$2:$C$125,3,Cleaned!EB$2:EB$125,"&lt;&gt;")</f>
        <v>9</v>
      </c>
      <c r="C2728" s="15" t="n">
        <f aca="false">IF(B2728=0,"",AVERAGEIF(Cleaned!$C$2:$C$125,3,Cleaned!EB$2:EB$125))</f>
        <v>3.66666666666667</v>
      </c>
    </row>
    <row r="2729" customFormat="false" ht="15" hidden="false" customHeight="false" outlineLevel="0" collapsed="false">
      <c r="A2729" s="12" t="s">
        <v>701</v>
      </c>
      <c r="B2729" s="12" t="n">
        <f aca="false">COUNTIFS(Cleaned!$C$2:$C$125,4,Cleaned!EB$2:EB$125,"&lt;&gt;")</f>
        <v>8</v>
      </c>
      <c r="C2729" s="15" t="n">
        <f aca="false">IF(B2729=0,"",AVERAGEIF(Cleaned!$C$2:$C$125,4,Cleaned!EB$2:EB$125))</f>
        <v>2.75</v>
      </c>
    </row>
    <row r="2730" customFormat="false" ht="15" hidden="false" customHeight="false" outlineLevel="0" collapsed="false">
      <c r="A2730" s="12" t="s">
        <v>702</v>
      </c>
      <c r="B2730" s="12" t="n">
        <f aca="false">COUNTIFS(Cleaned!$C$2:$C$125,5,Cleaned!EB$2:EB$125,"&lt;&gt;")</f>
        <v>11</v>
      </c>
      <c r="C2730" s="15" t="n">
        <f aca="false">IF(B2730=0,"",AVERAGEIF(Cleaned!$C$2:$C$125,5,Cleaned!EB$2:EB$125))</f>
        <v>6.36363636363636</v>
      </c>
    </row>
    <row r="2731" customFormat="false" ht="15" hidden="false" customHeight="false" outlineLevel="0" collapsed="false">
      <c r="A2731" s="11" t="s">
        <v>3</v>
      </c>
      <c r="B2731" s="9" t="s">
        <v>739</v>
      </c>
      <c r="C2731" s="9" t="s">
        <v>735</v>
      </c>
    </row>
    <row r="2732" customFormat="false" ht="15" hidden="false" customHeight="false" outlineLevel="0" collapsed="false">
      <c r="A2732" s="12" t="s">
        <v>704</v>
      </c>
      <c r="B2732" s="12" t="n">
        <f aca="false">COUNTIFS(Cleaned!$D$2:$D$125,1,Cleaned!EB$2:EB$125,"&lt;&gt;")</f>
        <v>6</v>
      </c>
      <c r="C2732" s="15" t="n">
        <f aca="false">IF(B2732=0,"",AVERAGEIF(Cleaned!$D$2:$D$125,1,Cleaned!EB$2:EB$125))</f>
        <v>3</v>
      </c>
    </row>
    <row r="2733" customFormat="false" ht="15" hidden="false" customHeight="false" outlineLevel="0" collapsed="false">
      <c r="A2733" s="12" t="s">
        <v>705</v>
      </c>
      <c r="B2733" s="12" t="n">
        <f aca="false">COUNTIFS(Cleaned!$D$2:$D$125,2,Cleaned!EB$2:EB$125,"&lt;&gt;")</f>
        <v>6</v>
      </c>
      <c r="C2733" s="15" t="n">
        <f aca="false">IF(B2733=0,"",AVERAGEIF(Cleaned!$D$2:$D$125,2,Cleaned!EB$2:EB$125))</f>
        <v>4.66666666666667</v>
      </c>
    </row>
    <row r="2734" customFormat="false" ht="15" hidden="false" customHeight="false" outlineLevel="0" collapsed="false">
      <c r="A2734" s="12" t="s">
        <v>706</v>
      </c>
      <c r="B2734" s="12" t="n">
        <f aca="false">COUNTIFS(Cleaned!$D$2:$D$125,3,Cleaned!EB$2:EB$125,"&lt;&gt;")</f>
        <v>4</v>
      </c>
      <c r="C2734" s="15" t="n">
        <f aca="false">IF(B2734=0,"",AVERAGEIF(Cleaned!$D$2:$D$125,3,Cleaned!EB$2:EB$125))</f>
        <v>2.25</v>
      </c>
    </row>
    <row r="2735" customFormat="false" ht="15" hidden="false" customHeight="false" outlineLevel="0" collapsed="false">
      <c r="A2735" s="12" t="s">
        <v>707</v>
      </c>
      <c r="B2735" s="12" t="n">
        <f aca="false">COUNTIFS(Cleaned!$D$2:$D$125,4,Cleaned!EB$2:EB$125,"&lt;&gt;")</f>
        <v>4</v>
      </c>
      <c r="C2735" s="15" t="n">
        <f aca="false">IF(B2735=0,"",AVERAGEIF(Cleaned!$D$2:$D$125,4,Cleaned!EB$2:EB$125))</f>
        <v>1.5</v>
      </c>
    </row>
    <row r="2736" customFormat="false" ht="15" hidden="false" customHeight="false" outlineLevel="0" collapsed="false">
      <c r="A2736" s="12" t="s">
        <v>708</v>
      </c>
      <c r="B2736" s="12" t="n">
        <f aca="false">COUNTIFS(Cleaned!$D$2:$D$125,5,Cleaned!EB$2:EB$125,"&lt;&gt;")</f>
        <v>1</v>
      </c>
      <c r="C2736" s="15" t="n">
        <f aca="false">IF(B2736=0,"",AVERAGEIF(Cleaned!$D$2:$D$125,5,Cleaned!EB$2:EB$125))</f>
        <v>3</v>
      </c>
    </row>
    <row r="2737" customFormat="false" ht="15" hidden="false" customHeight="false" outlineLevel="0" collapsed="false">
      <c r="A2737" s="12" t="s">
        <v>709</v>
      </c>
      <c r="B2737" s="12" t="n">
        <f aca="false">COUNTIFS(Cleaned!$D$2:$D$125,6,Cleaned!EB$2:EB$125,"&lt;&gt;")</f>
        <v>2</v>
      </c>
      <c r="C2737" s="15" t="n">
        <f aca="false">IF(B2737=0,"",AVERAGEIF(Cleaned!$D$2:$D$125,6,Cleaned!EB$2:EB$125))</f>
        <v>2.5</v>
      </c>
    </row>
    <row r="2738" customFormat="false" ht="15" hidden="false" customHeight="false" outlineLevel="0" collapsed="false">
      <c r="A2738" s="12" t="s">
        <v>710</v>
      </c>
      <c r="B2738" s="12" t="n">
        <f aca="false">COUNTIFS(Cleaned!$D$2:$D$125,7,Cleaned!EB$2:EB$125,"&lt;&gt;")</f>
        <v>6</v>
      </c>
      <c r="C2738" s="15" t="n">
        <f aca="false">IF(B2738=0,"",AVERAGEIF(Cleaned!$D$2:$D$125,7,Cleaned!EB$2:EB$125))</f>
        <v>9.16666666666667</v>
      </c>
    </row>
    <row r="2739" customFormat="false" ht="15" hidden="false" customHeight="false" outlineLevel="0" collapsed="false">
      <c r="A2739" s="12" t="s">
        <v>711</v>
      </c>
      <c r="B2739" s="12" t="n">
        <f aca="false">COUNTIFS(Cleaned!$D$2:$D$125,8,Cleaned!EB$2:EB$125,"&lt;&gt;")</f>
        <v>2</v>
      </c>
      <c r="C2739" s="15" t="n">
        <f aca="false">IF(B2739=0,"",AVERAGEIF(Cleaned!$D$2:$D$125,8,Cleaned!EB$2:EB$125))</f>
        <v>3</v>
      </c>
    </row>
    <row r="2740" customFormat="false" ht="15" hidden="false" customHeight="false" outlineLevel="0" collapsed="false">
      <c r="A2740" s="12" t="s">
        <v>712</v>
      </c>
      <c r="B2740" s="12" t="n">
        <f aca="false">COUNTIFS(Cleaned!$D$2:$D$125,9,Cleaned!EB$2:EB$125,"&lt;&gt;")</f>
        <v>1</v>
      </c>
      <c r="C2740" s="15" t="n">
        <f aca="false">IF(B2740=0,"",AVERAGEIF(Cleaned!$D$2:$D$125,9,Cleaned!EB$2:EB$125))</f>
        <v>1</v>
      </c>
    </row>
    <row r="2741" customFormat="false" ht="15" hidden="false" customHeight="false" outlineLevel="0" collapsed="false">
      <c r="A2741" s="12" t="s">
        <v>713</v>
      </c>
      <c r="B2741" s="12" t="n">
        <f aca="false">COUNTIFS(Cleaned!$D$2:$D$125,10,Cleaned!EB$2:EB$125,"&lt;&gt;")</f>
        <v>0</v>
      </c>
      <c r="C2741" s="15" t="str">
        <f aca="false">IF(B2741=0,"",AVERAGEIF(Cleaned!$D$2:$D$125,10,Cleaned!EB$2:EB$125))</f>
        <v/>
      </c>
    </row>
    <row r="2742" customFormat="false" ht="15" hidden="false" customHeight="false" outlineLevel="0" collapsed="false">
      <c r="A2742" s="12" t="s">
        <v>714</v>
      </c>
      <c r="B2742" s="12" t="n">
        <f aca="false">COUNTIFS(Cleaned!$D$2:$D$125,11,Cleaned!EB$2:EB$125,"&lt;&gt;")</f>
        <v>2</v>
      </c>
      <c r="C2742" s="15" t="n">
        <f aca="false">IF(B2742=0,"",AVERAGEIF(Cleaned!$D$2:$D$125,11,Cleaned!EB$2:EB$125))</f>
        <v>4.5</v>
      </c>
    </row>
    <row r="2743" customFormat="false" ht="15" hidden="false" customHeight="false" outlineLevel="0" collapsed="false">
      <c r="A2743" s="12" t="s">
        <v>715</v>
      </c>
      <c r="B2743" s="12" t="n">
        <f aca="false">COUNTIFS(Cleaned!$D$2:$D$125,12,Cleaned!EB$2:EB$125,"&lt;&gt;")</f>
        <v>2</v>
      </c>
      <c r="C2743" s="15" t="n">
        <f aca="false">IF(B2743=0,"",AVERAGEIF(Cleaned!$D$2:$D$125,12,Cleaned!EB$2:EB$125))</f>
        <v>0.5</v>
      </c>
    </row>
    <row r="2746" customFormat="false" ht="15" hidden="false" customHeight="false" outlineLevel="0" collapsed="false">
      <c r="A2746" s="6" t="s">
        <v>132</v>
      </c>
      <c r="B2746" s="7" t="s">
        <v>864</v>
      </c>
    </row>
    <row r="2747" customFormat="false" ht="15" hidden="false" customHeight="false" outlineLevel="0" collapsed="false">
      <c r="A2747" s="11" t="s">
        <v>734</v>
      </c>
      <c r="B2747" s="9" t="s">
        <v>694</v>
      </c>
      <c r="C2747" s="9" t="s">
        <v>735</v>
      </c>
      <c r="D2747" s="9" t="s">
        <v>736</v>
      </c>
      <c r="E2747" s="9" t="s">
        <v>737</v>
      </c>
      <c r="F2747" s="9" t="s">
        <v>738</v>
      </c>
    </row>
    <row r="2748" customFormat="false" ht="15" hidden="false" customHeight="false" outlineLevel="0" collapsed="false">
      <c r="B2748" s="12" t="n">
        <f aca="false">COUNT(Cleaned!$EC$2:$EC$125)</f>
        <v>36</v>
      </c>
      <c r="C2748" s="12" t="n">
        <f aca="false">IFERROR(AVERAGE(Cleaned!$EC$2:$EC$125),"")</f>
        <v>10.75</v>
      </c>
      <c r="D2748" s="12" t="n">
        <f aca="false">IFERROR(MEDIAN(Cleaned!$EC$2:$EC$125),"")</f>
        <v>3.5</v>
      </c>
      <c r="E2748" s="12" t="n">
        <f aca="false">IFERROR(MIN(Cleaned!$EC$2:$EC$125),"")</f>
        <v>0</v>
      </c>
      <c r="F2748" s="12" t="n">
        <f aca="false">IFERROR(MAX(Cleaned!$EC$2:$EC$125),"")</f>
        <v>154</v>
      </c>
    </row>
    <row r="2749" customFormat="false" ht="15" hidden="false" customHeight="false" outlineLevel="0" collapsed="false">
      <c r="A2749" s="11" t="s">
        <v>697</v>
      </c>
      <c r="B2749" s="9" t="s">
        <v>739</v>
      </c>
      <c r="C2749" s="9" t="s">
        <v>735</v>
      </c>
    </row>
    <row r="2750" customFormat="false" ht="15" hidden="false" customHeight="false" outlineLevel="0" collapsed="false">
      <c r="A2750" s="12" t="s">
        <v>698</v>
      </c>
      <c r="B2750" s="12" t="n">
        <f aca="false">COUNTIFS(Cleaned!$C$2:$C$125,1,Cleaned!EC$2:EC$125,"&lt;&gt;")</f>
        <v>3</v>
      </c>
      <c r="C2750" s="15" t="n">
        <f aca="false">IF(B2750=0,"",AVERAGEIF(Cleaned!$C$2:$C$125,1,Cleaned!EC$2:EC$125))</f>
        <v>1.33333333333333</v>
      </c>
    </row>
    <row r="2751" customFormat="false" ht="15" hidden="false" customHeight="false" outlineLevel="0" collapsed="false">
      <c r="A2751" s="12" t="s">
        <v>699</v>
      </c>
      <c r="B2751" s="12" t="n">
        <f aca="false">COUNTIFS(Cleaned!$C$2:$C$125,2,Cleaned!EC$2:EC$125,"&lt;&gt;")</f>
        <v>2</v>
      </c>
      <c r="C2751" s="15" t="n">
        <f aca="false">IF(B2751=0,"",AVERAGEIF(Cleaned!$C$2:$C$125,2,Cleaned!EC$2:EC$125))</f>
        <v>1</v>
      </c>
    </row>
    <row r="2752" customFormat="false" ht="15" hidden="false" customHeight="false" outlineLevel="0" collapsed="false">
      <c r="A2752" s="12" t="s">
        <v>700</v>
      </c>
      <c r="B2752" s="12" t="n">
        <f aca="false">COUNTIFS(Cleaned!$C$2:$C$125,3,Cleaned!EC$2:EC$125,"&lt;&gt;")</f>
        <v>8</v>
      </c>
      <c r="C2752" s="15" t="n">
        <f aca="false">IF(B2752=0,"",AVERAGEIF(Cleaned!$C$2:$C$125,3,Cleaned!EC$2:EC$125))</f>
        <v>3.625</v>
      </c>
    </row>
    <row r="2753" customFormat="false" ht="15" hidden="false" customHeight="false" outlineLevel="0" collapsed="false">
      <c r="A2753" s="12" t="s">
        <v>701</v>
      </c>
      <c r="B2753" s="12" t="n">
        <f aca="false">COUNTIFS(Cleaned!$C$2:$C$125,4,Cleaned!EC$2:EC$125,"&lt;&gt;")</f>
        <v>7</v>
      </c>
      <c r="C2753" s="15" t="n">
        <f aca="false">IF(B2753=0,"",AVERAGEIF(Cleaned!$C$2:$C$125,4,Cleaned!EC$2:EC$125))</f>
        <v>3.28571428571429</v>
      </c>
    </row>
    <row r="2754" customFormat="false" ht="15" hidden="false" customHeight="false" outlineLevel="0" collapsed="false">
      <c r="A2754" s="12" t="s">
        <v>702</v>
      </c>
      <c r="B2754" s="12" t="n">
        <f aca="false">COUNTIFS(Cleaned!$C$2:$C$125,5,Cleaned!EC$2:EC$125,"&lt;&gt;")</f>
        <v>16</v>
      </c>
      <c r="C2754" s="15" t="n">
        <f aca="false">IF(B2754=0,"",AVERAGEIF(Cleaned!$C$2:$C$125,5,Cleaned!EC$2:EC$125))</f>
        <v>20.5625</v>
      </c>
    </row>
    <row r="2755" customFormat="false" ht="15" hidden="false" customHeight="false" outlineLevel="0" collapsed="false">
      <c r="A2755" s="11" t="s">
        <v>3</v>
      </c>
      <c r="B2755" s="9" t="s">
        <v>739</v>
      </c>
      <c r="C2755" s="9" t="s">
        <v>735</v>
      </c>
    </row>
    <row r="2756" customFormat="false" ht="15" hidden="false" customHeight="false" outlineLevel="0" collapsed="false">
      <c r="A2756" s="12" t="s">
        <v>704</v>
      </c>
      <c r="B2756" s="12" t="n">
        <f aca="false">COUNTIFS(Cleaned!$D$2:$D$125,1,Cleaned!EC$2:EC$125,"&lt;&gt;")</f>
        <v>6</v>
      </c>
      <c r="C2756" s="15" t="n">
        <f aca="false">IF(B2756=0,"",AVERAGEIF(Cleaned!$D$2:$D$125,1,Cleaned!EC$2:EC$125))</f>
        <v>4.83333333333333</v>
      </c>
    </row>
    <row r="2757" customFormat="false" ht="15" hidden="false" customHeight="false" outlineLevel="0" collapsed="false">
      <c r="A2757" s="12" t="s">
        <v>705</v>
      </c>
      <c r="B2757" s="12" t="n">
        <f aca="false">COUNTIFS(Cleaned!$D$2:$D$125,2,Cleaned!EC$2:EC$125,"&lt;&gt;")</f>
        <v>9</v>
      </c>
      <c r="C2757" s="15" t="n">
        <f aca="false">IF(B2757=0,"",AVERAGEIF(Cleaned!$D$2:$D$125,2,Cleaned!EC$2:EC$125))</f>
        <v>24.4444444444444</v>
      </c>
    </row>
    <row r="2758" customFormat="false" ht="15" hidden="false" customHeight="false" outlineLevel="0" collapsed="false">
      <c r="A2758" s="12" t="s">
        <v>706</v>
      </c>
      <c r="B2758" s="12" t="n">
        <f aca="false">COUNTIFS(Cleaned!$D$2:$D$125,3,Cleaned!EC$2:EC$125,"&lt;&gt;")</f>
        <v>6</v>
      </c>
      <c r="C2758" s="15" t="n">
        <f aca="false">IF(B2758=0,"",AVERAGEIF(Cleaned!$D$2:$D$125,3,Cleaned!EC$2:EC$125))</f>
        <v>10.6666666666667</v>
      </c>
    </row>
    <row r="2759" customFormat="false" ht="15" hidden="false" customHeight="false" outlineLevel="0" collapsed="false">
      <c r="A2759" s="12" t="s">
        <v>707</v>
      </c>
      <c r="B2759" s="12" t="n">
        <f aca="false">COUNTIFS(Cleaned!$D$2:$D$125,4,Cleaned!EC$2:EC$125,"&lt;&gt;")</f>
        <v>4</v>
      </c>
      <c r="C2759" s="15" t="n">
        <f aca="false">IF(B2759=0,"",AVERAGEIF(Cleaned!$D$2:$D$125,4,Cleaned!EC$2:EC$125))</f>
        <v>2</v>
      </c>
    </row>
    <row r="2760" customFormat="false" ht="15" hidden="false" customHeight="false" outlineLevel="0" collapsed="false">
      <c r="A2760" s="12" t="s">
        <v>708</v>
      </c>
      <c r="B2760" s="12" t="n">
        <f aca="false">COUNTIFS(Cleaned!$D$2:$D$125,5,Cleaned!EC$2:EC$125,"&lt;&gt;")</f>
        <v>1</v>
      </c>
      <c r="C2760" s="15" t="n">
        <f aca="false">IF(B2760=0,"",AVERAGEIF(Cleaned!$D$2:$D$125,5,Cleaned!EC$2:EC$125))</f>
        <v>3</v>
      </c>
    </row>
    <row r="2761" customFormat="false" ht="15" hidden="false" customHeight="false" outlineLevel="0" collapsed="false">
      <c r="A2761" s="12" t="s">
        <v>709</v>
      </c>
      <c r="B2761" s="12" t="n">
        <f aca="false">COUNTIFS(Cleaned!$D$2:$D$125,6,Cleaned!EC$2:EC$125,"&lt;&gt;")</f>
        <v>1</v>
      </c>
      <c r="C2761" s="15" t="n">
        <f aca="false">IF(B2761=0,"",AVERAGEIF(Cleaned!$D$2:$D$125,6,Cleaned!EC$2:EC$125))</f>
        <v>2</v>
      </c>
    </row>
    <row r="2762" customFormat="false" ht="15" hidden="false" customHeight="false" outlineLevel="0" collapsed="false">
      <c r="A2762" s="12" t="s">
        <v>710</v>
      </c>
      <c r="B2762" s="12" t="n">
        <f aca="false">COUNTIFS(Cleaned!$D$2:$D$125,7,Cleaned!EC$2:EC$125,"&lt;&gt;")</f>
        <v>4</v>
      </c>
      <c r="C2762" s="15" t="n">
        <f aca="false">IF(B2762=0,"",AVERAGEIF(Cleaned!$D$2:$D$125,7,Cleaned!EC$2:EC$125))</f>
        <v>12</v>
      </c>
    </row>
    <row r="2763" customFormat="false" ht="15" hidden="false" customHeight="false" outlineLevel="0" collapsed="false">
      <c r="A2763" s="12" t="s">
        <v>711</v>
      </c>
      <c r="B2763" s="12" t="n">
        <f aca="false">COUNTIFS(Cleaned!$D$2:$D$125,8,Cleaned!EC$2:EC$125,"&lt;&gt;")</f>
        <v>2</v>
      </c>
      <c r="C2763" s="15" t="n">
        <f aca="false">IF(B2763=0,"",AVERAGEIF(Cleaned!$D$2:$D$125,8,Cleaned!EC$2:EC$125))</f>
        <v>3.5</v>
      </c>
    </row>
    <row r="2764" customFormat="false" ht="15" hidden="false" customHeight="false" outlineLevel="0" collapsed="false">
      <c r="A2764" s="12" t="s">
        <v>712</v>
      </c>
      <c r="B2764" s="12" t="n">
        <f aca="false">COUNTIFS(Cleaned!$D$2:$D$125,9,Cleaned!EC$2:EC$125,"&lt;&gt;")</f>
        <v>0</v>
      </c>
      <c r="C2764" s="15" t="str">
        <f aca="false">IF(B2764=0,"",AVERAGEIF(Cleaned!$D$2:$D$125,9,Cleaned!EC$2:EC$125))</f>
        <v/>
      </c>
    </row>
    <row r="2765" customFormat="false" ht="15" hidden="false" customHeight="false" outlineLevel="0" collapsed="false">
      <c r="A2765" s="12" t="s">
        <v>713</v>
      </c>
      <c r="B2765" s="12" t="n">
        <f aca="false">COUNTIFS(Cleaned!$D$2:$D$125,10,Cleaned!EC$2:EC$125,"&lt;&gt;")</f>
        <v>0</v>
      </c>
      <c r="C2765" s="15" t="str">
        <f aca="false">IF(B2765=0,"",AVERAGEIF(Cleaned!$D$2:$D$125,10,Cleaned!EC$2:EC$125))</f>
        <v/>
      </c>
    </row>
    <row r="2766" customFormat="false" ht="15" hidden="false" customHeight="false" outlineLevel="0" collapsed="false">
      <c r="A2766" s="12" t="s">
        <v>714</v>
      </c>
      <c r="B2766" s="12" t="n">
        <f aca="false">COUNTIFS(Cleaned!$D$2:$D$125,11,Cleaned!EC$2:EC$125,"&lt;&gt;")</f>
        <v>2</v>
      </c>
      <c r="C2766" s="15" t="n">
        <f aca="false">IF(B2766=0,"",AVERAGEIF(Cleaned!$D$2:$D$125,11,Cleaned!EC$2:EC$125))</f>
        <v>2.5</v>
      </c>
    </row>
    <row r="2767" customFormat="false" ht="15" hidden="false" customHeight="false" outlineLevel="0" collapsed="false">
      <c r="A2767" s="12" t="s">
        <v>715</v>
      </c>
      <c r="B2767" s="12" t="n">
        <f aca="false">COUNTIFS(Cleaned!$D$2:$D$125,12,Cleaned!EC$2:EC$125,"&lt;&gt;")</f>
        <v>1</v>
      </c>
      <c r="C2767" s="15" t="n">
        <f aca="false">IF(B2767=0,"",AVERAGEIF(Cleaned!$D$2:$D$125,12,Cleaned!EC$2:EC$125))</f>
        <v>1</v>
      </c>
    </row>
    <row r="2770" customFormat="false" ht="15" hidden="false" customHeight="false" outlineLevel="0" collapsed="false">
      <c r="A2770" s="6" t="s">
        <v>133</v>
      </c>
      <c r="B2770" s="7" t="s">
        <v>865</v>
      </c>
    </row>
    <row r="2771" customFormat="false" ht="15" hidden="false" customHeight="false" outlineLevel="0" collapsed="false">
      <c r="A2771" s="11" t="s">
        <v>734</v>
      </c>
      <c r="B2771" s="9" t="s">
        <v>694</v>
      </c>
      <c r="C2771" s="9" t="s">
        <v>735</v>
      </c>
      <c r="D2771" s="9" t="s">
        <v>736</v>
      </c>
      <c r="E2771" s="9" t="s">
        <v>737</v>
      </c>
      <c r="F2771" s="9" t="s">
        <v>738</v>
      </c>
    </row>
    <row r="2772" customFormat="false" ht="15" hidden="false" customHeight="false" outlineLevel="0" collapsed="false">
      <c r="B2772" s="12" t="n">
        <f aca="false">COUNT(Cleaned!$ED$2:$ED$125)</f>
        <v>39</v>
      </c>
      <c r="C2772" s="12" t="n">
        <f aca="false">IFERROR(AVERAGE(Cleaned!$ED$2:$ED$125),"")</f>
        <v>3.85512820512821</v>
      </c>
      <c r="D2772" s="12" t="n">
        <f aca="false">IFERROR(MEDIAN(Cleaned!$ED$2:$ED$125),"")</f>
        <v>2</v>
      </c>
      <c r="E2772" s="12" t="n">
        <f aca="false">IFERROR(MIN(Cleaned!$ED$2:$ED$125),"")</f>
        <v>0</v>
      </c>
      <c r="F2772" s="12" t="n">
        <f aca="false">IFERROR(MAX(Cleaned!$ED$2:$ED$125),"")</f>
        <v>26</v>
      </c>
    </row>
    <row r="2773" customFormat="false" ht="15" hidden="false" customHeight="false" outlineLevel="0" collapsed="false">
      <c r="A2773" s="11" t="s">
        <v>697</v>
      </c>
      <c r="B2773" s="9" t="s">
        <v>739</v>
      </c>
      <c r="C2773" s="9" t="s">
        <v>735</v>
      </c>
    </row>
    <row r="2774" customFormat="false" ht="15" hidden="false" customHeight="false" outlineLevel="0" collapsed="false">
      <c r="A2774" s="12" t="s">
        <v>698</v>
      </c>
      <c r="B2774" s="12" t="n">
        <f aca="false">COUNTIFS(Cleaned!$C$2:$C$125,1,Cleaned!ED$2:ED$125,"&lt;&gt;")</f>
        <v>4</v>
      </c>
      <c r="C2774" s="15" t="n">
        <f aca="false">IF(B2774=0,"",AVERAGEIF(Cleaned!$C$2:$C$125,1,Cleaned!ED$2:ED$125))</f>
        <v>0.5625</v>
      </c>
    </row>
    <row r="2775" customFormat="false" ht="15" hidden="false" customHeight="false" outlineLevel="0" collapsed="false">
      <c r="A2775" s="12" t="s">
        <v>699</v>
      </c>
      <c r="B2775" s="12" t="n">
        <f aca="false">COUNTIFS(Cleaned!$C$2:$C$125,2,Cleaned!ED$2:ED$125,"&lt;&gt;")</f>
        <v>4</v>
      </c>
      <c r="C2775" s="15" t="n">
        <f aca="false">IF(B2775=0,"",AVERAGEIF(Cleaned!$C$2:$C$125,2,Cleaned!ED$2:ED$125))</f>
        <v>0.3125</v>
      </c>
    </row>
    <row r="2776" customFormat="false" ht="15" hidden="false" customHeight="false" outlineLevel="0" collapsed="false">
      <c r="A2776" s="12" t="s">
        <v>700</v>
      </c>
      <c r="B2776" s="12" t="n">
        <f aca="false">COUNTIFS(Cleaned!$C$2:$C$125,3,Cleaned!ED$2:ED$125,"&lt;&gt;")</f>
        <v>10</v>
      </c>
      <c r="C2776" s="15" t="n">
        <f aca="false">IF(B2776=0,"",AVERAGEIF(Cleaned!$C$2:$C$125,3,Cleaned!ED$2:ED$125))</f>
        <v>2.375</v>
      </c>
    </row>
    <row r="2777" customFormat="false" ht="15" hidden="false" customHeight="false" outlineLevel="0" collapsed="false">
      <c r="A2777" s="12" t="s">
        <v>701</v>
      </c>
      <c r="B2777" s="12" t="n">
        <f aca="false">COUNTIFS(Cleaned!$C$2:$C$125,4,Cleaned!ED$2:ED$125,"&lt;&gt;")</f>
        <v>7</v>
      </c>
      <c r="C2777" s="15" t="n">
        <f aca="false">IF(B2777=0,"",AVERAGEIF(Cleaned!$C$2:$C$125,4,Cleaned!ED$2:ED$125))</f>
        <v>3.51428571428571</v>
      </c>
    </row>
    <row r="2778" customFormat="false" ht="15" hidden="false" customHeight="false" outlineLevel="0" collapsed="false">
      <c r="A2778" s="12" t="s">
        <v>702</v>
      </c>
      <c r="B2778" s="12" t="n">
        <f aca="false">COUNTIFS(Cleaned!$C$2:$C$125,5,Cleaned!ED$2:ED$125,"&lt;&gt;")</f>
        <v>14</v>
      </c>
      <c r="C2778" s="15" t="n">
        <f aca="false">IF(B2778=0,"",AVERAGEIF(Cleaned!$C$2:$C$125,5,Cleaned!ED$2:ED$125))</f>
        <v>7.03571428571429</v>
      </c>
    </row>
    <row r="2779" customFormat="false" ht="15" hidden="false" customHeight="false" outlineLevel="0" collapsed="false">
      <c r="A2779" s="11" t="s">
        <v>3</v>
      </c>
      <c r="B2779" s="9" t="s">
        <v>739</v>
      </c>
      <c r="C2779" s="9" t="s">
        <v>735</v>
      </c>
    </row>
    <row r="2780" customFormat="false" ht="15" hidden="false" customHeight="false" outlineLevel="0" collapsed="false">
      <c r="A2780" s="12" t="s">
        <v>704</v>
      </c>
      <c r="B2780" s="12" t="n">
        <f aca="false">COUNTIFS(Cleaned!$D$2:$D$125,1,Cleaned!ED$2:ED$125,"&lt;&gt;")</f>
        <v>6</v>
      </c>
      <c r="C2780" s="15" t="n">
        <f aca="false">IF(B2780=0,"",AVERAGEIF(Cleaned!$D$2:$D$125,1,Cleaned!ED$2:ED$125))</f>
        <v>2.66666666666667</v>
      </c>
    </row>
    <row r="2781" customFormat="false" ht="15" hidden="false" customHeight="false" outlineLevel="0" collapsed="false">
      <c r="A2781" s="12" t="s">
        <v>705</v>
      </c>
      <c r="B2781" s="12" t="n">
        <f aca="false">COUNTIFS(Cleaned!$D$2:$D$125,2,Cleaned!ED$2:ED$125,"&lt;&gt;")</f>
        <v>7</v>
      </c>
      <c r="C2781" s="15" t="n">
        <f aca="false">IF(B2781=0,"",AVERAGEIF(Cleaned!$D$2:$D$125,2,Cleaned!ED$2:ED$125))</f>
        <v>7.92857142857143</v>
      </c>
    </row>
    <row r="2782" customFormat="false" ht="15" hidden="false" customHeight="false" outlineLevel="0" collapsed="false">
      <c r="A2782" s="12" t="s">
        <v>706</v>
      </c>
      <c r="B2782" s="12" t="n">
        <f aca="false">COUNTIFS(Cleaned!$D$2:$D$125,3,Cleaned!ED$2:ED$125,"&lt;&gt;")</f>
        <v>6</v>
      </c>
      <c r="C2782" s="15" t="n">
        <f aca="false">IF(B2782=0,"",AVERAGEIF(Cleaned!$D$2:$D$125,3,Cleaned!ED$2:ED$125))</f>
        <v>7</v>
      </c>
    </row>
    <row r="2783" customFormat="false" ht="15" hidden="false" customHeight="false" outlineLevel="0" collapsed="false">
      <c r="A2783" s="12" t="s">
        <v>707</v>
      </c>
      <c r="B2783" s="12" t="n">
        <f aca="false">COUNTIFS(Cleaned!$D$2:$D$125,4,Cleaned!ED$2:ED$125,"&lt;&gt;")</f>
        <v>3</v>
      </c>
      <c r="C2783" s="15" t="n">
        <f aca="false">IF(B2783=0,"",AVERAGEIF(Cleaned!$D$2:$D$125,4,Cleaned!ED$2:ED$125))</f>
        <v>0.833333333333333</v>
      </c>
    </row>
    <row r="2784" customFormat="false" ht="15" hidden="false" customHeight="false" outlineLevel="0" collapsed="false">
      <c r="A2784" s="12" t="s">
        <v>708</v>
      </c>
      <c r="B2784" s="12" t="n">
        <f aca="false">COUNTIFS(Cleaned!$D$2:$D$125,5,Cleaned!ED$2:ED$125,"&lt;&gt;")</f>
        <v>1</v>
      </c>
      <c r="C2784" s="15" t="n">
        <f aca="false">IF(B2784=0,"",AVERAGEIF(Cleaned!$D$2:$D$125,5,Cleaned!ED$2:ED$125))</f>
        <v>0</v>
      </c>
    </row>
    <row r="2785" customFormat="false" ht="15" hidden="false" customHeight="false" outlineLevel="0" collapsed="false">
      <c r="A2785" s="12" t="s">
        <v>709</v>
      </c>
      <c r="B2785" s="12" t="n">
        <f aca="false">COUNTIFS(Cleaned!$D$2:$D$125,6,Cleaned!ED$2:ED$125,"&lt;&gt;")</f>
        <v>2</v>
      </c>
      <c r="C2785" s="15" t="n">
        <f aca="false">IF(B2785=0,"",AVERAGEIF(Cleaned!$D$2:$D$125,6,Cleaned!ED$2:ED$125))</f>
        <v>3.5</v>
      </c>
    </row>
    <row r="2786" customFormat="false" ht="15" hidden="false" customHeight="false" outlineLevel="0" collapsed="false">
      <c r="A2786" s="12" t="s">
        <v>710</v>
      </c>
      <c r="B2786" s="12" t="n">
        <f aca="false">COUNTIFS(Cleaned!$D$2:$D$125,7,Cleaned!ED$2:ED$125,"&lt;&gt;")</f>
        <v>7</v>
      </c>
      <c r="C2786" s="15" t="n">
        <f aca="false">IF(B2786=0,"",AVERAGEIF(Cleaned!$D$2:$D$125,7,Cleaned!ED$2:ED$125))</f>
        <v>1.07142857142857</v>
      </c>
    </row>
    <row r="2787" customFormat="false" ht="15" hidden="false" customHeight="false" outlineLevel="0" collapsed="false">
      <c r="A2787" s="12" t="s">
        <v>711</v>
      </c>
      <c r="B2787" s="12" t="n">
        <f aca="false">COUNTIFS(Cleaned!$D$2:$D$125,8,Cleaned!ED$2:ED$125,"&lt;&gt;")</f>
        <v>2</v>
      </c>
      <c r="C2787" s="15" t="n">
        <f aca="false">IF(B2787=0,"",AVERAGEIF(Cleaned!$D$2:$D$125,8,Cleaned!ED$2:ED$125))</f>
        <v>8</v>
      </c>
    </row>
    <row r="2788" customFormat="false" ht="15" hidden="false" customHeight="false" outlineLevel="0" collapsed="false">
      <c r="A2788" s="12" t="s">
        <v>712</v>
      </c>
      <c r="B2788" s="12" t="n">
        <f aca="false">COUNTIFS(Cleaned!$D$2:$D$125,9,Cleaned!ED$2:ED$125,"&lt;&gt;")</f>
        <v>1</v>
      </c>
      <c r="C2788" s="15" t="n">
        <f aca="false">IF(B2788=0,"",AVERAGEIF(Cleaned!$D$2:$D$125,9,Cleaned!ED$2:ED$125))</f>
        <v>0.25</v>
      </c>
    </row>
    <row r="2789" customFormat="false" ht="15" hidden="false" customHeight="false" outlineLevel="0" collapsed="false">
      <c r="A2789" s="12" t="s">
        <v>713</v>
      </c>
      <c r="B2789" s="12" t="n">
        <f aca="false">COUNTIFS(Cleaned!$D$2:$D$125,10,Cleaned!ED$2:ED$125,"&lt;&gt;")</f>
        <v>0</v>
      </c>
      <c r="C2789" s="15" t="str">
        <f aca="false">IF(B2789=0,"",AVERAGEIF(Cleaned!$D$2:$D$125,10,Cleaned!ED$2:ED$125))</f>
        <v/>
      </c>
    </row>
    <row r="2790" customFormat="false" ht="15" hidden="false" customHeight="false" outlineLevel="0" collapsed="false">
      <c r="A2790" s="12" t="s">
        <v>714</v>
      </c>
      <c r="B2790" s="12" t="n">
        <f aca="false">COUNTIFS(Cleaned!$D$2:$D$125,11,Cleaned!ED$2:ED$125,"&lt;&gt;")</f>
        <v>3</v>
      </c>
      <c r="C2790" s="15" t="n">
        <f aca="false">IF(B2790=0,"",AVERAGEIF(Cleaned!$D$2:$D$125,11,Cleaned!ED$2:ED$125))</f>
        <v>1.2</v>
      </c>
    </row>
    <row r="2791" customFormat="false" ht="15" hidden="false" customHeight="false" outlineLevel="0" collapsed="false">
      <c r="A2791" s="12" t="s">
        <v>715</v>
      </c>
      <c r="B2791" s="12" t="n">
        <f aca="false">COUNTIFS(Cleaned!$D$2:$D$125,12,Cleaned!ED$2:ED$125,"&lt;&gt;")</f>
        <v>1</v>
      </c>
      <c r="C2791" s="15" t="n">
        <f aca="false">IF(B2791=0,"",AVERAGEIF(Cleaned!$D$2:$D$125,12,Cleaned!ED$2:ED$125))</f>
        <v>0</v>
      </c>
    </row>
    <row r="2794" customFormat="false" ht="15" hidden="false" customHeight="false" outlineLevel="0" collapsed="false">
      <c r="A2794" s="6" t="s">
        <v>134</v>
      </c>
      <c r="B2794" s="7" t="s">
        <v>866</v>
      </c>
    </row>
    <row r="2795" customFormat="false" ht="15" hidden="false" customHeight="false" outlineLevel="0" collapsed="false">
      <c r="A2795" s="11" t="s">
        <v>734</v>
      </c>
      <c r="B2795" s="9" t="s">
        <v>694</v>
      </c>
      <c r="C2795" s="9" t="s">
        <v>735</v>
      </c>
      <c r="D2795" s="9" t="s">
        <v>736</v>
      </c>
      <c r="E2795" s="9" t="s">
        <v>737</v>
      </c>
      <c r="F2795" s="9" t="s">
        <v>738</v>
      </c>
    </row>
    <row r="2796" customFormat="false" ht="15" hidden="false" customHeight="false" outlineLevel="0" collapsed="false">
      <c r="B2796" s="12" t="n">
        <f aca="false">COUNT(Cleaned!$EE$2:$EE$125)</f>
        <v>33</v>
      </c>
      <c r="C2796" s="12" t="n">
        <f aca="false">IFERROR(AVERAGE(Cleaned!$EE$2:$EE$125),"")</f>
        <v>1954.48484848485</v>
      </c>
      <c r="D2796" s="12" t="n">
        <f aca="false">IFERROR(MEDIAN(Cleaned!$EE$2:$EE$125),"")</f>
        <v>1950</v>
      </c>
      <c r="E2796" s="12" t="n">
        <f aca="false">IFERROR(MIN(Cleaned!$EE$2:$EE$125),"")</f>
        <v>1893</v>
      </c>
      <c r="F2796" s="12" t="n">
        <f aca="false">IFERROR(MAX(Cleaned!$EE$2:$EE$125),"")</f>
        <v>2010</v>
      </c>
    </row>
    <row r="2797" customFormat="false" ht="15" hidden="false" customHeight="false" outlineLevel="0" collapsed="false">
      <c r="A2797" s="11" t="s">
        <v>697</v>
      </c>
      <c r="B2797" s="9" t="s">
        <v>739</v>
      </c>
      <c r="C2797" s="9" t="s">
        <v>735</v>
      </c>
    </row>
    <row r="2798" customFormat="false" ht="15" hidden="false" customHeight="false" outlineLevel="0" collapsed="false">
      <c r="A2798" s="12" t="s">
        <v>698</v>
      </c>
      <c r="B2798" s="12" t="n">
        <f aca="false">COUNTIFS(Cleaned!$C$2:$C$125,1,Cleaned!EE$2:EE$125,"&lt;&gt;")</f>
        <v>2</v>
      </c>
      <c r="C2798" s="15" t="n">
        <f aca="false">IF(B2798=0,"",AVERAGEIF(Cleaned!$C$2:$C$125,1,Cleaned!EE$2:EE$125))</f>
        <v>1962</v>
      </c>
    </row>
    <row r="2799" customFormat="false" ht="15" hidden="false" customHeight="false" outlineLevel="0" collapsed="false">
      <c r="A2799" s="12" t="s">
        <v>699</v>
      </c>
      <c r="B2799" s="12" t="n">
        <f aca="false">COUNTIFS(Cleaned!$C$2:$C$125,2,Cleaned!EE$2:EE$125,"&lt;&gt;")</f>
        <v>3</v>
      </c>
      <c r="C2799" s="15" t="n">
        <f aca="false">IF(B2799=0,"",AVERAGEIF(Cleaned!$C$2:$C$125,2,Cleaned!EE$2:EE$125))</f>
        <v>1956.66666666667</v>
      </c>
    </row>
    <row r="2800" customFormat="false" ht="15" hidden="false" customHeight="false" outlineLevel="0" collapsed="false">
      <c r="A2800" s="12" t="s">
        <v>700</v>
      </c>
      <c r="B2800" s="12" t="n">
        <f aca="false">COUNTIFS(Cleaned!$C$2:$C$125,3,Cleaned!EE$2:EE$125,"&lt;&gt;")</f>
        <v>9</v>
      </c>
      <c r="C2800" s="15" t="n">
        <f aca="false">IF(B2800=0,"",AVERAGEIF(Cleaned!$C$2:$C$125,3,Cleaned!EE$2:EE$125))</f>
        <v>1954.44444444444</v>
      </c>
    </row>
    <row r="2801" customFormat="false" ht="15" hidden="false" customHeight="false" outlineLevel="0" collapsed="false">
      <c r="A2801" s="12" t="s">
        <v>701</v>
      </c>
      <c r="B2801" s="12" t="n">
        <f aca="false">COUNTIFS(Cleaned!$C$2:$C$125,4,Cleaned!EE$2:EE$125,"&lt;&gt;")</f>
        <v>6</v>
      </c>
      <c r="C2801" s="15" t="n">
        <f aca="false">IF(B2801=0,"",AVERAGEIF(Cleaned!$C$2:$C$125,4,Cleaned!EE$2:EE$125))</f>
        <v>1979.5</v>
      </c>
    </row>
    <row r="2802" customFormat="false" ht="15" hidden="false" customHeight="false" outlineLevel="0" collapsed="false">
      <c r="A2802" s="12" t="s">
        <v>702</v>
      </c>
      <c r="B2802" s="12" t="n">
        <f aca="false">COUNTIFS(Cleaned!$C$2:$C$125,5,Cleaned!EE$2:EE$125,"&lt;&gt;")</f>
        <v>13</v>
      </c>
      <c r="C2802" s="15" t="n">
        <f aca="false">IF(B2802=0,"",AVERAGEIF(Cleaned!$C$2:$C$125,5,Cleaned!EE$2:EE$125))</f>
        <v>1941.30769230769</v>
      </c>
    </row>
    <row r="2803" customFormat="false" ht="15" hidden="false" customHeight="false" outlineLevel="0" collapsed="false">
      <c r="A2803" s="11" t="s">
        <v>3</v>
      </c>
      <c r="B2803" s="9" t="s">
        <v>739</v>
      </c>
      <c r="C2803" s="9" t="s">
        <v>735</v>
      </c>
    </row>
    <row r="2804" customFormat="false" ht="15" hidden="false" customHeight="false" outlineLevel="0" collapsed="false">
      <c r="A2804" s="12" t="s">
        <v>704</v>
      </c>
      <c r="B2804" s="12" t="n">
        <f aca="false">COUNTIFS(Cleaned!$D$2:$D$125,1,Cleaned!EE$2:EE$125,"&lt;&gt;")</f>
        <v>5</v>
      </c>
      <c r="C2804" s="15" t="n">
        <f aca="false">IF(B2804=0,"",AVERAGEIF(Cleaned!$D$2:$D$125,1,Cleaned!EE$2:EE$125))</f>
        <v>1965.4</v>
      </c>
    </row>
    <row r="2805" customFormat="false" ht="15" hidden="false" customHeight="false" outlineLevel="0" collapsed="false">
      <c r="A2805" s="12" t="s">
        <v>705</v>
      </c>
      <c r="B2805" s="12" t="n">
        <f aca="false">COUNTIFS(Cleaned!$D$2:$D$125,2,Cleaned!EE$2:EE$125,"&lt;&gt;")</f>
        <v>6</v>
      </c>
      <c r="C2805" s="15" t="n">
        <f aca="false">IF(B2805=0,"",AVERAGEIF(Cleaned!$D$2:$D$125,2,Cleaned!EE$2:EE$125))</f>
        <v>1933.16666666667</v>
      </c>
    </row>
    <row r="2806" customFormat="false" ht="15" hidden="false" customHeight="false" outlineLevel="0" collapsed="false">
      <c r="A2806" s="12" t="s">
        <v>706</v>
      </c>
      <c r="B2806" s="12" t="n">
        <f aca="false">COUNTIFS(Cleaned!$D$2:$D$125,3,Cleaned!EE$2:EE$125,"&lt;&gt;")</f>
        <v>5</v>
      </c>
      <c r="C2806" s="15" t="n">
        <f aca="false">IF(B2806=0,"",AVERAGEIF(Cleaned!$D$2:$D$125,3,Cleaned!EE$2:EE$125))</f>
        <v>1937.8</v>
      </c>
    </row>
    <row r="2807" customFormat="false" ht="15" hidden="false" customHeight="false" outlineLevel="0" collapsed="false">
      <c r="A2807" s="12" t="s">
        <v>707</v>
      </c>
      <c r="B2807" s="12" t="n">
        <f aca="false">COUNTIFS(Cleaned!$D$2:$D$125,4,Cleaned!EE$2:EE$125,"&lt;&gt;")</f>
        <v>4</v>
      </c>
      <c r="C2807" s="15" t="n">
        <f aca="false">IF(B2807=0,"",AVERAGEIF(Cleaned!$D$2:$D$125,4,Cleaned!EE$2:EE$125))</f>
        <v>1984.75</v>
      </c>
    </row>
    <row r="2808" customFormat="false" ht="15" hidden="false" customHeight="false" outlineLevel="0" collapsed="false">
      <c r="A2808" s="12" t="s">
        <v>708</v>
      </c>
      <c r="B2808" s="12" t="n">
        <f aca="false">COUNTIFS(Cleaned!$D$2:$D$125,5,Cleaned!EE$2:EE$125,"&lt;&gt;")</f>
        <v>1</v>
      </c>
      <c r="C2808" s="15" t="n">
        <f aca="false">IF(B2808=0,"",AVERAGEIF(Cleaned!$D$2:$D$125,5,Cleaned!EE$2:EE$125))</f>
        <v>1968</v>
      </c>
    </row>
    <row r="2809" customFormat="false" ht="15" hidden="false" customHeight="false" outlineLevel="0" collapsed="false">
      <c r="A2809" s="12" t="s">
        <v>709</v>
      </c>
      <c r="B2809" s="12" t="n">
        <f aca="false">COUNTIFS(Cleaned!$D$2:$D$125,6,Cleaned!EE$2:EE$125,"&lt;&gt;")</f>
        <v>2</v>
      </c>
      <c r="C2809" s="15" t="n">
        <f aca="false">IF(B2809=0,"",AVERAGEIF(Cleaned!$D$2:$D$125,6,Cleaned!EE$2:EE$125))</f>
        <v>1970.5</v>
      </c>
    </row>
    <row r="2810" customFormat="false" ht="15" hidden="false" customHeight="false" outlineLevel="0" collapsed="false">
      <c r="A2810" s="12" t="s">
        <v>710</v>
      </c>
      <c r="B2810" s="12" t="n">
        <f aca="false">COUNTIFS(Cleaned!$D$2:$D$125,7,Cleaned!EE$2:EE$125,"&lt;&gt;")</f>
        <v>6</v>
      </c>
      <c r="C2810" s="15" t="n">
        <f aca="false">IF(B2810=0,"",AVERAGEIF(Cleaned!$D$2:$D$125,7,Cleaned!EE$2:EE$125))</f>
        <v>1943.5</v>
      </c>
    </row>
    <row r="2811" customFormat="false" ht="15" hidden="false" customHeight="false" outlineLevel="0" collapsed="false">
      <c r="A2811" s="12" t="s">
        <v>711</v>
      </c>
      <c r="B2811" s="12" t="n">
        <f aca="false">COUNTIFS(Cleaned!$D$2:$D$125,8,Cleaned!EE$2:EE$125,"&lt;&gt;")</f>
        <v>2</v>
      </c>
      <c r="C2811" s="15" t="n">
        <f aca="false">IF(B2811=0,"",AVERAGEIF(Cleaned!$D$2:$D$125,8,Cleaned!EE$2:EE$125))</f>
        <v>1966.5</v>
      </c>
    </row>
    <row r="2812" customFormat="false" ht="15" hidden="false" customHeight="false" outlineLevel="0" collapsed="false">
      <c r="A2812" s="12" t="s">
        <v>712</v>
      </c>
      <c r="B2812" s="12" t="n">
        <f aca="false">COUNTIFS(Cleaned!$D$2:$D$125,9,Cleaned!EE$2:EE$125,"&lt;&gt;")</f>
        <v>0</v>
      </c>
      <c r="C2812" s="15" t="str">
        <f aca="false">IF(B2812=0,"",AVERAGEIF(Cleaned!$D$2:$D$125,9,Cleaned!EE$2:EE$125))</f>
        <v/>
      </c>
    </row>
    <row r="2813" customFormat="false" ht="15" hidden="false" customHeight="false" outlineLevel="0" collapsed="false">
      <c r="A2813" s="12" t="s">
        <v>713</v>
      </c>
      <c r="B2813" s="12" t="n">
        <f aca="false">COUNTIFS(Cleaned!$D$2:$D$125,10,Cleaned!EE$2:EE$125,"&lt;&gt;")</f>
        <v>0</v>
      </c>
      <c r="C2813" s="15" t="str">
        <f aca="false">IF(B2813=0,"",AVERAGEIF(Cleaned!$D$2:$D$125,10,Cleaned!EE$2:EE$125))</f>
        <v/>
      </c>
    </row>
    <row r="2814" customFormat="false" ht="15" hidden="false" customHeight="false" outlineLevel="0" collapsed="false">
      <c r="A2814" s="12" t="s">
        <v>714</v>
      </c>
      <c r="B2814" s="12" t="n">
        <f aca="false">COUNTIFS(Cleaned!$D$2:$D$125,11,Cleaned!EE$2:EE$125,"&lt;&gt;")</f>
        <v>1</v>
      </c>
      <c r="C2814" s="15" t="n">
        <f aca="false">IF(B2814=0,"",AVERAGEIF(Cleaned!$D$2:$D$125,11,Cleaned!EE$2:EE$125))</f>
        <v>1965</v>
      </c>
    </row>
    <row r="2815" customFormat="false" ht="15" hidden="false" customHeight="false" outlineLevel="0" collapsed="false">
      <c r="A2815" s="12" t="s">
        <v>715</v>
      </c>
      <c r="B2815" s="12" t="n">
        <f aca="false">COUNTIFS(Cleaned!$D$2:$D$125,12,Cleaned!EE$2:EE$125,"&lt;&gt;")</f>
        <v>1</v>
      </c>
      <c r="C2815" s="15" t="n">
        <f aca="false">IF(B2815=0,"",AVERAGEIF(Cleaned!$D$2:$D$125,12,Cleaned!EE$2:EE$125))</f>
        <v>1976</v>
      </c>
    </row>
    <row r="2818" customFormat="false" ht="15" hidden="false" customHeight="false" outlineLevel="0" collapsed="false">
      <c r="A2818" s="6" t="s">
        <v>135</v>
      </c>
      <c r="B2818" s="7" t="s">
        <v>867</v>
      </c>
    </row>
    <row r="2819" customFormat="false" ht="15" hidden="false" customHeight="false" outlineLevel="0" collapsed="false">
      <c r="A2819" s="11" t="s">
        <v>734</v>
      </c>
      <c r="B2819" s="9" t="s">
        <v>694</v>
      </c>
      <c r="C2819" s="9" t="s">
        <v>735</v>
      </c>
      <c r="D2819" s="9" t="s">
        <v>736</v>
      </c>
      <c r="E2819" s="9" t="s">
        <v>737</v>
      </c>
      <c r="F2819" s="9" t="s">
        <v>738</v>
      </c>
    </row>
    <row r="2820" customFormat="false" ht="15" hidden="false" customHeight="false" outlineLevel="0" collapsed="false">
      <c r="B2820" s="12" t="n">
        <f aca="false">COUNT(Cleaned!$EF$2:$EF$125)</f>
        <v>36</v>
      </c>
      <c r="C2820" s="12" t="n">
        <f aca="false">IFERROR(AVERAGE(Cleaned!$EF$2:$EF$125),"")</f>
        <v>2011.5</v>
      </c>
      <c r="D2820" s="12" t="n">
        <f aca="false">IFERROR(MEDIAN(Cleaned!$EF$2:$EF$125),"")</f>
        <v>2012.5</v>
      </c>
      <c r="E2820" s="12" t="n">
        <f aca="false">IFERROR(MIN(Cleaned!$EF$2:$EF$125),"")</f>
        <v>1984</v>
      </c>
      <c r="F2820" s="12" t="n">
        <f aca="false">IFERROR(MAX(Cleaned!$EF$2:$EF$125),"")</f>
        <v>2025</v>
      </c>
    </row>
    <row r="2821" customFormat="false" ht="15" hidden="false" customHeight="false" outlineLevel="0" collapsed="false">
      <c r="A2821" s="11" t="s">
        <v>697</v>
      </c>
      <c r="B2821" s="9" t="s">
        <v>739</v>
      </c>
      <c r="C2821" s="9" t="s">
        <v>735</v>
      </c>
    </row>
    <row r="2822" customFormat="false" ht="15" hidden="false" customHeight="false" outlineLevel="0" collapsed="false">
      <c r="A2822" s="12" t="s">
        <v>698</v>
      </c>
      <c r="B2822" s="12" t="n">
        <f aca="false">COUNTIFS(Cleaned!$C$2:$C$125,1,Cleaned!EF$2:EF$125,"&lt;&gt;")</f>
        <v>4</v>
      </c>
      <c r="C2822" s="15" t="n">
        <f aca="false">IF(B2822=0,"",AVERAGEIF(Cleaned!$C$2:$C$125,1,Cleaned!EF$2:EF$125))</f>
        <v>2012</v>
      </c>
    </row>
    <row r="2823" customFormat="false" ht="15" hidden="false" customHeight="false" outlineLevel="0" collapsed="false">
      <c r="A2823" s="12" t="s">
        <v>699</v>
      </c>
      <c r="B2823" s="12" t="n">
        <f aca="false">COUNTIFS(Cleaned!$C$2:$C$125,2,Cleaned!EF$2:EF$125,"&lt;&gt;")</f>
        <v>4</v>
      </c>
      <c r="C2823" s="15" t="n">
        <f aca="false">IF(B2823=0,"",AVERAGEIF(Cleaned!$C$2:$C$125,2,Cleaned!EF$2:EF$125))</f>
        <v>2009.75</v>
      </c>
    </row>
    <row r="2824" customFormat="false" ht="15" hidden="false" customHeight="false" outlineLevel="0" collapsed="false">
      <c r="A2824" s="12" t="s">
        <v>700</v>
      </c>
      <c r="B2824" s="12" t="n">
        <f aca="false">COUNTIFS(Cleaned!$C$2:$C$125,3,Cleaned!EF$2:EF$125,"&lt;&gt;")</f>
        <v>7</v>
      </c>
      <c r="C2824" s="15" t="n">
        <f aca="false">IF(B2824=0,"",AVERAGEIF(Cleaned!$C$2:$C$125,3,Cleaned!EF$2:EF$125))</f>
        <v>2011.85714285714</v>
      </c>
    </row>
    <row r="2825" customFormat="false" ht="15" hidden="false" customHeight="false" outlineLevel="0" collapsed="false">
      <c r="A2825" s="12" t="s">
        <v>701</v>
      </c>
      <c r="B2825" s="12" t="n">
        <f aca="false">COUNTIFS(Cleaned!$C$2:$C$125,4,Cleaned!EF$2:EF$125,"&lt;&gt;")</f>
        <v>7</v>
      </c>
      <c r="C2825" s="15" t="n">
        <f aca="false">IF(B2825=0,"",AVERAGEIF(Cleaned!$C$2:$C$125,4,Cleaned!EF$2:EF$125))</f>
        <v>2014.14285714286</v>
      </c>
    </row>
    <row r="2826" customFormat="false" ht="15" hidden="false" customHeight="false" outlineLevel="0" collapsed="false">
      <c r="A2826" s="12" t="s">
        <v>702</v>
      </c>
      <c r="B2826" s="12" t="n">
        <f aca="false">COUNTIFS(Cleaned!$C$2:$C$125,5,Cleaned!EF$2:EF$125,"&lt;&gt;")</f>
        <v>14</v>
      </c>
      <c r="C2826" s="15" t="n">
        <f aca="false">IF(B2826=0,"",AVERAGEIF(Cleaned!$C$2:$C$125,5,Cleaned!EF$2:EF$125))</f>
        <v>2010.35714285714</v>
      </c>
    </row>
    <row r="2827" customFormat="false" ht="15" hidden="false" customHeight="false" outlineLevel="0" collapsed="false">
      <c r="A2827" s="11" t="s">
        <v>3</v>
      </c>
      <c r="B2827" s="9" t="s">
        <v>739</v>
      </c>
      <c r="C2827" s="9" t="s">
        <v>735</v>
      </c>
    </row>
    <row r="2828" customFormat="false" ht="15" hidden="false" customHeight="false" outlineLevel="0" collapsed="false">
      <c r="A2828" s="12" t="s">
        <v>704</v>
      </c>
      <c r="B2828" s="12" t="n">
        <f aca="false">COUNTIFS(Cleaned!$D$2:$D$125,1,Cleaned!EF$2:EF$125,"&lt;&gt;")</f>
        <v>6</v>
      </c>
      <c r="C2828" s="15" t="n">
        <f aca="false">IF(B2828=0,"",AVERAGEIF(Cleaned!$D$2:$D$125,1,Cleaned!EF$2:EF$125))</f>
        <v>2014.66666666667</v>
      </c>
    </row>
    <row r="2829" customFormat="false" ht="15" hidden="false" customHeight="false" outlineLevel="0" collapsed="false">
      <c r="A2829" s="12" t="s">
        <v>705</v>
      </c>
      <c r="B2829" s="12" t="n">
        <f aca="false">COUNTIFS(Cleaned!$D$2:$D$125,2,Cleaned!EF$2:EF$125,"&lt;&gt;")</f>
        <v>7</v>
      </c>
      <c r="C2829" s="15" t="n">
        <f aca="false">IF(B2829=0,"",AVERAGEIF(Cleaned!$D$2:$D$125,2,Cleaned!EF$2:EF$125))</f>
        <v>2017</v>
      </c>
    </row>
    <row r="2830" customFormat="false" ht="15" hidden="false" customHeight="false" outlineLevel="0" collapsed="false">
      <c r="A2830" s="12" t="s">
        <v>706</v>
      </c>
      <c r="B2830" s="12" t="n">
        <f aca="false">COUNTIFS(Cleaned!$D$2:$D$125,3,Cleaned!EF$2:EF$125,"&lt;&gt;")</f>
        <v>6</v>
      </c>
      <c r="C2830" s="15" t="n">
        <f aca="false">IF(B2830=0,"",AVERAGEIF(Cleaned!$D$2:$D$125,3,Cleaned!EF$2:EF$125))</f>
        <v>2015.5</v>
      </c>
    </row>
    <row r="2831" customFormat="false" ht="15" hidden="false" customHeight="false" outlineLevel="0" collapsed="false">
      <c r="A2831" s="12" t="s">
        <v>707</v>
      </c>
      <c r="B2831" s="12" t="n">
        <f aca="false">COUNTIFS(Cleaned!$D$2:$D$125,4,Cleaned!EF$2:EF$125,"&lt;&gt;")</f>
        <v>2</v>
      </c>
      <c r="C2831" s="15" t="n">
        <f aca="false">IF(B2831=0,"",AVERAGEIF(Cleaned!$D$2:$D$125,4,Cleaned!EF$2:EF$125))</f>
        <v>2008.5</v>
      </c>
    </row>
    <row r="2832" customFormat="false" ht="15" hidden="false" customHeight="false" outlineLevel="0" collapsed="false">
      <c r="A2832" s="12" t="s">
        <v>708</v>
      </c>
      <c r="B2832" s="12" t="n">
        <f aca="false">COUNTIFS(Cleaned!$D$2:$D$125,5,Cleaned!EF$2:EF$125,"&lt;&gt;")</f>
        <v>1</v>
      </c>
      <c r="C2832" s="15" t="n">
        <f aca="false">IF(B2832=0,"",AVERAGEIF(Cleaned!$D$2:$D$125,5,Cleaned!EF$2:EF$125))</f>
        <v>2004</v>
      </c>
    </row>
    <row r="2833" customFormat="false" ht="15" hidden="false" customHeight="false" outlineLevel="0" collapsed="false">
      <c r="A2833" s="12" t="s">
        <v>709</v>
      </c>
      <c r="B2833" s="12" t="n">
        <f aca="false">COUNTIFS(Cleaned!$D$2:$D$125,6,Cleaned!EF$2:EF$125,"&lt;&gt;")</f>
        <v>2</v>
      </c>
      <c r="C2833" s="15" t="n">
        <f aca="false">IF(B2833=0,"",AVERAGEIF(Cleaned!$D$2:$D$125,6,Cleaned!EF$2:EF$125))</f>
        <v>2020</v>
      </c>
    </row>
    <row r="2834" customFormat="false" ht="15" hidden="false" customHeight="false" outlineLevel="0" collapsed="false">
      <c r="A2834" s="12" t="s">
        <v>710</v>
      </c>
      <c r="B2834" s="12" t="n">
        <f aca="false">COUNTIFS(Cleaned!$D$2:$D$125,7,Cleaned!EF$2:EF$125,"&lt;&gt;")</f>
        <v>6</v>
      </c>
      <c r="C2834" s="15" t="n">
        <f aca="false">IF(B2834=0,"",AVERAGEIF(Cleaned!$D$2:$D$125,7,Cleaned!EF$2:EF$125))</f>
        <v>1993.83333333333</v>
      </c>
    </row>
    <row r="2835" customFormat="false" ht="15" hidden="false" customHeight="false" outlineLevel="0" collapsed="false">
      <c r="A2835" s="12" t="s">
        <v>711</v>
      </c>
      <c r="B2835" s="12" t="n">
        <f aca="false">COUNTIFS(Cleaned!$D$2:$D$125,8,Cleaned!EF$2:EF$125,"&lt;&gt;")</f>
        <v>2</v>
      </c>
      <c r="C2835" s="15" t="n">
        <f aca="false">IF(B2835=0,"",AVERAGEIF(Cleaned!$D$2:$D$125,8,Cleaned!EF$2:EF$125))</f>
        <v>2005.5</v>
      </c>
    </row>
    <row r="2836" customFormat="false" ht="15" hidden="false" customHeight="false" outlineLevel="0" collapsed="false">
      <c r="A2836" s="12" t="s">
        <v>712</v>
      </c>
      <c r="B2836" s="12" t="n">
        <f aca="false">COUNTIFS(Cleaned!$D$2:$D$125,9,Cleaned!EF$2:EF$125,"&lt;&gt;")</f>
        <v>0</v>
      </c>
      <c r="C2836" s="15" t="str">
        <f aca="false">IF(B2836=0,"",AVERAGEIF(Cleaned!$D$2:$D$125,9,Cleaned!EF$2:EF$125))</f>
        <v/>
      </c>
    </row>
    <row r="2837" customFormat="false" ht="15" hidden="false" customHeight="false" outlineLevel="0" collapsed="false">
      <c r="A2837" s="12" t="s">
        <v>713</v>
      </c>
      <c r="B2837" s="12" t="n">
        <f aca="false">COUNTIFS(Cleaned!$D$2:$D$125,10,Cleaned!EF$2:EF$125,"&lt;&gt;")</f>
        <v>0</v>
      </c>
      <c r="C2837" s="15" t="str">
        <f aca="false">IF(B2837=0,"",AVERAGEIF(Cleaned!$D$2:$D$125,10,Cleaned!EF$2:EF$125))</f>
        <v/>
      </c>
    </row>
    <row r="2838" customFormat="false" ht="15" hidden="false" customHeight="false" outlineLevel="0" collapsed="false">
      <c r="A2838" s="12" t="s">
        <v>714</v>
      </c>
      <c r="B2838" s="12" t="n">
        <f aca="false">COUNTIFS(Cleaned!$D$2:$D$125,11,Cleaned!EF$2:EF$125,"&lt;&gt;")</f>
        <v>3</v>
      </c>
      <c r="C2838" s="15" t="n">
        <f aca="false">IF(B2838=0,"",AVERAGEIF(Cleaned!$D$2:$D$125,11,Cleaned!EF$2:EF$125))</f>
        <v>2024</v>
      </c>
    </row>
    <row r="2839" customFormat="false" ht="15" hidden="false" customHeight="false" outlineLevel="0" collapsed="false">
      <c r="A2839" s="12" t="s">
        <v>715</v>
      </c>
      <c r="B2839" s="12" t="n">
        <f aca="false">COUNTIFS(Cleaned!$D$2:$D$125,12,Cleaned!EF$2:EF$125,"&lt;&gt;")</f>
        <v>1</v>
      </c>
      <c r="C2839" s="15" t="n">
        <f aca="false">IF(B2839=0,"",AVERAGEIF(Cleaned!$D$2:$D$125,12,Cleaned!EF$2:EF$125))</f>
        <v>2007</v>
      </c>
    </row>
    <row r="2842" customFormat="false" ht="15" hidden="false" customHeight="false" outlineLevel="0" collapsed="false">
      <c r="A2842" s="6" t="s">
        <v>136</v>
      </c>
      <c r="B2842" s="7" t="s">
        <v>868</v>
      </c>
    </row>
    <row r="2843" customFormat="false" ht="15" hidden="false" customHeight="false" outlineLevel="0" collapsed="false">
      <c r="A2843" s="11" t="s">
        <v>734</v>
      </c>
      <c r="B2843" s="9" t="s">
        <v>694</v>
      </c>
      <c r="C2843" s="9" t="s">
        <v>735</v>
      </c>
      <c r="D2843" s="9" t="s">
        <v>736</v>
      </c>
      <c r="E2843" s="9" t="s">
        <v>737</v>
      </c>
      <c r="F2843" s="9" t="s">
        <v>738</v>
      </c>
    </row>
    <row r="2844" customFormat="false" ht="15" hidden="false" customHeight="false" outlineLevel="0" collapsed="false">
      <c r="B2844" s="12" t="n">
        <f aca="false">COUNT(Cleaned!$EG$2:$EG$125)</f>
        <v>25</v>
      </c>
      <c r="C2844" s="12" t="n">
        <f aca="false">IFERROR(AVERAGE(Cleaned!$EG$2:$EG$125),"")</f>
        <v>432056716.54352</v>
      </c>
      <c r="D2844" s="12" t="n">
        <f aca="false">IFERROR(MEDIAN(Cleaned!$EG$2:$EG$125),"")</f>
        <v>42</v>
      </c>
      <c r="E2844" s="12" t="n">
        <f aca="false">IFERROR(MIN(Cleaned!$EG$2:$EG$125),"")</f>
        <v>0.8</v>
      </c>
      <c r="F2844" s="12" t="n">
        <f aca="false">IFERROR(MAX(Cleaned!$EG$2:$EG$125),"")</f>
        <v>9900000000</v>
      </c>
    </row>
    <row r="2845" customFormat="false" ht="15" hidden="false" customHeight="false" outlineLevel="0" collapsed="false">
      <c r="A2845" s="11" t="s">
        <v>697</v>
      </c>
      <c r="B2845" s="9" t="s">
        <v>739</v>
      </c>
      <c r="C2845" s="9" t="s">
        <v>735</v>
      </c>
    </row>
    <row r="2846" customFormat="false" ht="15" hidden="false" customHeight="false" outlineLevel="0" collapsed="false">
      <c r="A2846" s="12" t="s">
        <v>698</v>
      </c>
      <c r="B2846" s="12" t="n">
        <f aca="false">COUNTIFS(Cleaned!$C$2:$C$125,1,Cleaned!EG$2:EG$125,"&lt;&gt;")</f>
        <v>2</v>
      </c>
      <c r="C2846" s="15" t="n">
        <f aca="false">IF(B2846=0,"",AVERAGEIF(Cleaned!$C$2:$C$125,1,Cleaned!EG$2:EG$125))</f>
        <v>75000.4</v>
      </c>
    </row>
    <row r="2847" customFormat="false" ht="15" hidden="false" customHeight="false" outlineLevel="0" collapsed="false">
      <c r="A2847" s="12" t="s">
        <v>699</v>
      </c>
      <c r="B2847" s="12" t="n">
        <f aca="false">COUNTIFS(Cleaned!$C$2:$C$125,2,Cleaned!EG$2:EG$125,"&lt;&gt;")</f>
        <v>2</v>
      </c>
      <c r="C2847" s="15" t="n">
        <f aca="false">IF(B2847=0,"",AVERAGEIF(Cleaned!$C$2:$C$125,2,Cleaned!EG$2:EG$125))</f>
        <v>500000.5</v>
      </c>
    </row>
    <row r="2848" customFormat="false" ht="15" hidden="false" customHeight="false" outlineLevel="0" collapsed="false">
      <c r="A2848" s="12" t="s">
        <v>700</v>
      </c>
      <c r="B2848" s="12" t="n">
        <f aca="false">COUNTIFS(Cleaned!$C$2:$C$125,3,Cleaned!EG$2:EG$125,"&lt;&gt;")</f>
        <v>7</v>
      </c>
      <c r="C2848" s="15" t="n">
        <f aca="false">IF(B2848=0,"",AVERAGEIF(Cleaned!$C$2:$C$125,3,Cleaned!EG$2:EG$125))</f>
        <v>71466694</v>
      </c>
    </row>
    <row r="2849" customFormat="false" ht="15" hidden="false" customHeight="false" outlineLevel="0" collapsed="false">
      <c r="A2849" s="12" t="s">
        <v>701</v>
      </c>
      <c r="B2849" s="12" t="n">
        <f aca="false">COUNTIFS(Cleaned!$C$2:$C$125,4,Cleaned!EG$2:EG$125,"&lt;&gt;")</f>
        <v>4</v>
      </c>
      <c r="C2849" s="15" t="n">
        <f aca="false">IF(B2849=0,"",AVERAGEIF(Cleaned!$C$2:$C$125,4,Cleaned!EG$2:EG$125))</f>
        <v>13.397</v>
      </c>
    </row>
    <row r="2850" customFormat="false" ht="15" hidden="false" customHeight="false" outlineLevel="0" collapsed="false">
      <c r="A2850" s="12" t="s">
        <v>702</v>
      </c>
      <c r="B2850" s="12" t="n">
        <f aca="false">COUNTIFS(Cleaned!$C$2:$C$125,5,Cleaned!EG$2:EG$125,"&lt;&gt;")</f>
        <v>10</v>
      </c>
      <c r="C2850" s="15" t="n">
        <f aca="false">IF(B2850=0,"",AVERAGEIF(Cleaned!$C$2:$C$125,5,Cleaned!EG$2:EG$125))</f>
        <v>1030000100.02</v>
      </c>
    </row>
    <row r="2851" customFormat="false" ht="15" hidden="false" customHeight="false" outlineLevel="0" collapsed="false">
      <c r="A2851" s="11" t="s">
        <v>3</v>
      </c>
      <c r="B2851" s="9" t="s">
        <v>739</v>
      </c>
      <c r="C2851" s="9" t="s">
        <v>735</v>
      </c>
    </row>
    <row r="2852" customFormat="false" ht="15" hidden="false" customHeight="false" outlineLevel="0" collapsed="false">
      <c r="A2852" s="12" t="s">
        <v>704</v>
      </c>
      <c r="B2852" s="12" t="n">
        <f aca="false">COUNTIFS(Cleaned!$D$2:$D$125,1,Cleaned!EG$2:EG$125,"&lt;&gt;")</f>
        <v>4</v>
      </c>
      <c r="C2852" s="15" t="n">
        <f aca="false">IF(B2852=0,"",AVERAGEIF(Cleaned!$D$2:$D$125,1,Cleaned!EG$2:EG$125))</f>
        <v>125066625</v>
      </c>
    </row>
    <row r="2853" customFormat="false" ht="15" hidden="false" customHeight="false" outlineLevel="0" collapsed="false">
      <c r="A2853" s="12" t="s">
        <v>705</v>
      </c>
      <c r="B2853" s="12" t="n">
        <f aca="false">COUNTIFS(Cleaned!$D$2:$D$125,2,Cleaned!EG$2:EG$125,"&lt;&gt;")</f>
        <v>6</v>
      </c>
      <c r="C2853" s="15" t="n">
        <f aca="false">IF(B2853=0,"",AVERAGEIF(Cleaned!$D$2:$D$125,2,Cleaned!EG$2:EG$125))</f>
        <v>1650000016.28333</v>
      </c>
    </row>
    <row r="2854" customFormat="false" ht="15" hidden="false" customHeight="false" outlineLevel="0" collapsed="false">
      <c r="A2854" s="12" t="s">
        <v>706</v>
      </c>
      <c r="B2854" s="12" t="n">
        <f aca="false">COUNTIFS(Cleaned!$D$2:$D$125,3,Cleaned!EG$2:EG$125,"&lt;&gt;")</f>
        <v>2</v>
      </c>
      <c r="C2854" s="15" t="n">
        <f aca="false">IF(B2854=0,"",AVERAGEIF(Cleaned!$D$2:$D$125,3,Cleaned!EG$2:EG$125))</f>
        <v>200000006</v>
      </c>
    </row>
    <row r="2855" customFormat="false" ht="15" hidden="false" customHeight="false" outlineLevel="0" collapsed="false">
      <c r="A2855" s="12" t="s">
        <v>707</v>
      </c>
      <c r="B2855" s="12" t="n">
        <f aca="false">COUNTIFS(Cleaned!$D$2:$D$125,4,Cleaned!EG$2:EG$125,"&lt;&gt;")</f>
        <v>2</v>
      </c>
      <c r="C2855" s="15" t="n">
        <f aca="false">IF(B2855=0,"",AVERAGEIF(Cleaned!$D$2:$D$125,4,Cleaned!EG$2:EG$125))</f>
        <v>23.5</v>
      </c>
    </row>
    <row r="2856" customFormat="false" ht="15" hidden="false" customHeight="false" outlineLevel="0" collapsed="false">
      <c r="A2856" s="12" t="s">
        <v>708</v>
      </c>
      <c r="B2856" s="12" t="n">
        <f aca="false">COUNTIFS(Cleaned!$D$2:$D$125,5,Cleaned!EG$2:EG$125,"&lt;&gt;")</f>
        <v>1</v>
      </c>
      <c r="C2856" s="15" t="n">
        <f aca="false">IF(B2856=0,"",AVERAGEIF(Cleaned!$D$2:$D$125,5,Cleaned!EG$2:EG$125))</f>
        <v>3</v>
      </c>
    </row>
    <row r="2857" customFormat="false" ht="15" hidden="false" customHeight="false" outlineLevel="0" collapsed="false">
      <c r="A2857" s="12" t="s">
        <v>709</v>
      </c>
      <c r="B2857" s="12" t="n">
        <f aca="false">COUNTIFS(Cleaned!$D$2:$D$125,6,Cleaned!EG$2:EG$125,"&lt;&gt;")</f>
        <v>1</v>
      </c>
      <c r="C2857" s="15" t="n">
        <f aca="false">IF(B2857=0,"",AVERAGEIF(Cleaned!$D$2:$D$125,6,Cleaned!EG$2:EG$125))</f>
        <v>1.06</v>
      </c>
    </row>
    <row r="2858" customFormat="false" ht="15" hidden="false" customHeight="false" outlineLevel="0" collapsed="false">
      <c r="A2858" s="12" t="s">
        <v>710</v>
      </c>
      <c r="B2858" s="12" t="n">
        <f aca="false">COUNTIFS(Cleaned!$D$2:$D$125,7,Cleaned!EG$2:EG$125,"&lt;&gt;")</f>
        <v>5</v>
      </c>
      <c r="C2858" s="15" t="n">
        <f aca="false">IF(B2858=0,"",AVERAGEIF(Cleaned!$D$2:$D$125,7,Cleaned!EG$2:EG$125))</f>
        <v>200240.5</v>
      </c>
    </row>
    <row r="2859" customFormat="false" ht="15" hidden="false" customHeight="false" outlineLevel="0" collapsed="false">
      <c r="A2859" s="12" t="s">
        <v>711</v>
      </c>
      <c r="B2859" s="12" t="n">
        <f aca="false">COUNTIFS(Cleaned!$D$2:$D$125,8,Cleaned!EG$2:EG$125,"&lt;&gt;")</f>
        <v>2</v>
      </c>
      <c r="C2859" s="15" t="n">
        <f aca="false">IF(B2859=0,"",AVERAGEIF(Cleaned!$D$2:$D$125,8,Cleaned!EG$2:EG$125))</f>
        <v>12.9</v>
      </c>
    </row>
    <row r="2860" customFormat="false" ht="15" hidden="false" customHeight="false" outlineLevel="0" collapsed="false">
      <c r="A2860" s="12" t="s">
        <v>712</v>
      </c>
      <c r="B2860" s="12" t="n">
        <f aca="false">COUNTIFS(Cleaned!$D$2:$D$125,9,Cleaned!EG$2:EG$125,"&lt;&gt;")</f>
        <v>0</v>
      </c>
      <c r="C2860" s="15" t="str">
        <f aca="false">IF(B2860=0,"",AVERAGEIF(Cleaned!$D$2:$D$125,9,Cleaned!EG$2:EG$125))</f>
        <v/>
      </c>
    </row>
    <row r="2861" customFormat="false" ht="15" hidden="false" customHeight="false" outlineLevel="0" collapsed="false">
      <c r="A2861" s="12" t="s">
        <v>713</v>
      </c>
      <c r="B2861" s="12" t="n">
        <f aca="false">COUNTIFS(Cleaned!$D$2:$D$125,10,Cleaned!EG$2:EG$125,"&lt;&gt;")</f>
        <v>0</v>
      </c>
      <c r="C2861" s="15" t="str">
        <f aca="false">IF(B2861=0,"",AVERAGEIF(Cleaned!$D$2:$D$125,10,Cleaned!EG$2:EG$125))</f>
        <v/>
      </c>
    </row>
    <row r="2862" customFormat="false" ht="15" hidden="false" customHeight="false" outlineLevel="0" collapsed="false">
      <c r="A2862" s="12" t="s">
        <v>714</v>
      </c>
      <c r="B2862" s="12" t="n">
        <f aca="false">COUNTIFS(Cleaned!$D$2:$D$125,11,Cleaned!EG$2:EG$125,"&lt;&gt;")</f>
        <v>1</v>
      </c>
      <c r="C2862" s="15" t="n">
        <f aca="false">IF(B2862=0,"",AVERAGEIF(Cleaned!$D$2:$D$125,11,Cleaned!EG$2:EG$125))</f>
        <v>24.528</v>
      </c>
    </row>
    <row r="2863" customFormat="false" ht="15" hidden="false" customHeight="false" outlineLevel="0" collapsed="false">
      <c r="A2863" s="12" t="s">
        <v>715</v>
      </c>
      <c r="B2863" s="12" t="n">
        <f aca="false">COUNTIFS(Cleaned!$D$2:$D$125,12,Cleaned!EG$2:EG$125,"&lt;&gt;")</f>
        <v>1</v>
      </c>
      <c r="C2863" s="15" t="n">
        <f aca="false">IF(B2863=0,"",AVERAGEIF(Cleaned!$D$2:$D$125,12,Cleaned!EG$2:EG$125))</f>
        <v>150000</v>
      </c>
    </row>
    <row r="2866" customFormat="false" ht="15" hidden="false" customHeight="false" outlineLevel="0" collapsed="false">
      <c r="A2866" s="6" t="s">
        <v>137</v>
      </c>
      <c r="B2866" s="7" t="s">
        <v>869</v>
      </c>
    </row>
    <row r="2867" customFormat="false" ht="15" hidden="false" customHeight="false" outlineLevel="0" collapsed="false">
      <c r="A2867" s="11" t="s">
        <v>734</v>
      </c>
      <c r="B2867" s="9" t="s">
        <v>694</v>
      </c>
      <c r="C2867" s="9" t="s">
        <v>735</v>
      </c>
      <c r="D2867" s="9" t="s">
        <v>736</v>
      </c>
      <c r="E2867" s="9" t="s">
        <v>737</v>
      </c>
      <c r="F2867" s="9" t="s">
        <v>738</v>
      </c>
    </row>
    <row r="2868" customFormat="false" ht="15" hidden="false" customHeight="false" outlineLevel="0" collapsed="false">
      <c r="B2868" s="12" t="n">
        <f aca="false">COUNT(Cleaned!$EH$2:$EH$125)</f>
        <v>26</v>
      </c>
      <c r="C2868" s="12" t="n">
        <f aca="false">IFERROR(AVERAGE(Cleaned!$EH$2:$EH$125),"")</f>
        <v>32.7053076923077</v>
      </c>
      <c r="D2868" s="12" t="n">
        <f aca="false">IFERROR(MEDIAN(Cleaned!$EH$2:$EH$125),"")</f>
        <v>6</v>
      </c>
      <c r="E2868" s="12" t="n">
        <f aca="false">IFERROR(MIN(Cleaned!$EH$2:$EH$125),"")</f>
        <v>0.288</v>
      </c>
      <c r="F2868" s="12" t="n">
        <f aca="false">IFERROR(MAX(Cleaned!$EH$2:$EH$125),"")</f>
        <v>600</v>
      </c>
    </row>
    <row r="2869" customFormat="false" ht="15" hidden="false" customHeight="false" outlineLevel="0" collapsed="false">
      <c r="A2869" s="11" t="s">
        <v>697</v>
      </c>
      <c r="B2869" s="9" t="s">
        <v>739</v>
      </c>
      <c r="C2869" s="9" t="s">
        <v>735</v>
      </c>
    </row>
    <row r="2870" customFormat="false" ht="15" hidden="false" customHeight="false" outlineLevel="0" collapsed="false">
      <c r="A2870" s="12" t="s">
        <v>698</v>
      </c>
      <c r="B2870" s="12" t="n">
        <f aca="false">COUNTIFS(Cleaned!$C$2:$C$125,1,Cleaned!EH$2:EH$125,"&lt;&gt;")</f>
        <v>1</v>
      </c>
      <c r="C2870" s="15" t="n">
        <f aca="false">IF(B2870=0,"",AVERAGEIF(Cleaned!$C$2:$C$125,1,Cleaned!EH$2:EH$125))</f>
        <v>0.6</v>
      </c>
    </row>
    <row r="2871" customFormat="false" ht="15" hidden="false" customHeight="false" outlineLevel="0" collapsed="false">
      <c r="A2871" s="12" t="s">
        <v>699</v>
      </c>
      <c r="B2871" s="12" t="n">
        <f aca="false">COUNTIFS(Cleaned!$C$2:$C$125,2,Cleaned!EH$2:EH$125,"&lt;&gt;")</f>
        <v>2</v>
      </c>
      <c r="C2871" s="15" t="n">
        <f aca="false">IF(B2871=0,"",AVERAGEIF(Cleaned!$C$2:$C$125,2,Cleaned!EH$2:EH$125))</f>
        <v>0.294</v>
      </c>
    </row>
    <row r="2872" customFormat="false" ht="15" hidden="false" customHeight="false" outlineLevel="0" collapsed="false">
      <c r="A2872" s="12" t="s">
        <v>700</v>
      </c>
      <c r="B2872" s="12" t="n">
        <f aca="false">COUNTIFS(Cleaned!$C$2:$C$125,3,Cleaned!EH$2:EH$125,"&lt;&gt;")</f>
        <v>7</v>
      </c>
      <c r="C2872" s="15" t="n">
        <f aca="false">IF(B2872=0,"",AVERAGEIF(Cleaned!$C$2:$C$125,3,Cleaned!EH$2:EH$125))</f>
        <v>88.8885714285714</v>
      </c>
    </row>
    <row r="2873" customFormat="false" ht="15" hidden="false" customHeight="false" outlineLevel="0" collapsed="false">
      <c r="A2873" s="12" t="s">
        <v>701</v>
      </c>
      <c r="B2873" s="12" t="n">
        <f aca="false">COUNTIFS(Cleaned!$C$2:$C$125,4,Cleaned!EH$2:EH$125,"&lt;&gt;")</f>
        <v>6</v>
      </c>
      <c r="C2873" s="15" t="n">
        <f aca="false">IF(B2873=0,"",AVERAGEIF(Cleaned!$C$2:$C$125,4,Cleaned!EH$2:EH$125))</f>
        <v>4.28</v>
      </c>
    </row>
    <row r="2874" customFormat="false" ht="15" hidden="false" customHeight="false" outlineLevel="0" collapsed="false">
      <c r="A2874" s="12" t="s">
        <v>702</v>
      </c>
      <c r="B2874" s="12" t="n">
        <f aca="false">COUNTIFS(Cleaned!$C$2:$C$125,5,Cleaned!EH$2:EH$125,"&lt;&gt;")</f>
        <v>10</v>
      </c>
      <c r="C2874" s="15" t="n">
        <f aca="false">IF(B2874=0,"",AVERAGEIF(Cleaned!$C$2:$C$125,5,Cleaned!EH$2:EH$125))</f>
        <v>20.125</v>
      </c>
    </row>
    <row r="2875" customFormat="false" ht="15" hidden="false" customHeight="false" outlineLevel="0" collapsed="false">
      <c r="A2875" s="11" t="s">
        <v>3</v>
      </c>
      <c r="B2875" s="9" t="s">
        <v>739</v>
      </c>
      <c r="C2875" s="9" t="s">
        <v>735</v>
      </c>
    </row>
    <row r="2876" customFormat="false" ht="15" hidden="false" customHeight="false" outlineLevel="0" collapsed="false">
      <c r="A2876" s="12" t="s">
        <v>704</v>
      </c>
      <c r="B2876" s="12" t="n">
        <f aca="false">COUNTIFS(Cleaned!$D$2:$D$125,1,Cleaned!EH$2:EH$125,"&lt;&gt;")</f>
        <v>4</v>
      </c>
      <c r="C2876" s="15" t="n">
        <f aca="false">IF(B2876=0,"",AVERAGEIF(Cleaned!$D$2:$D$125,1,Cleaned!EH$2:EH$125))</f>
        <v>2.48</v>
      </c>
    </row>
    <row r="2877" customFormat="false" ht="15" hidden="false" customHeight="false" outlineLevel="0" collapsed="false">
      <c r="A2877" s="12" t="s">
        <v>705</v>
      </c>
      <c r="B2877" s="12" t="n">
        <f aca="false">COUNTIFS(Cleaned!$D$2:$D$125,2,Cleaned!EH$2:EH$125,"&lt;&gt;")</f>
        <v>5</v>
      </c>
      <c r="C2877" s="15" t="n">
        <f aca="false">IF(B2877=0,"",AVERAGEIF(Cleaned!$D$2:$D$125,2,Cleaned!EH$2:EH$125))</f>
        <v>29.95</v>
      </c>
    </row>
    <row r="2878" customFormat="false" ht="15" hidden="false" customHeight="false" outlineLevel="0" collapsed="false">
      <c r="A2878" s="12" t="s">
        <v>706</v>
      </c>
      <c r="B2878" s="12" t="n">
        <f aca="false">COUNTIFS(Cleaned!$D$2:$D$125,3,Cleaned!EH$2:EH$125,"&lt;&gt;")</f>
        <v>4</v>
      </c>
      <c r="C2878" s="15" t="n">
        <f aca="false">IF(B2878=0,"",AVERAGEIF(Cleaned!$D$2:$D$125,3,Cleaned!EH$2:EH$125))</f>
        <v>3.65</v>
      </c>
    </row>
    <row r="2879" customFormat="false" ht="15" hidden="false" customHeight="false" outlineLevel="0" collapsed="false">
      <c r="A2879" s="12" t="s">
        <v>707</v>
      </c>
      <c r="B2879" s="12" t="n">
        <f aca="false">COUNTIFS(Cleaned!$D$2:$D$125,4,Cleaned!EH$2:EH$125,"&lt;&gt;")</f>
        <v>4</v>
      </c>
      <c r="C2879" s="15" t="n">
        <f aca="false">IF(B2879=0,"",AVERAGEIF(Cleaned!$D$2:$D$125,4,Cleaned!EH$2:EH$125))</f>
        <v>5.012</v>
      </c>
    </row>
    <row r="2880" customFormat="false" ht="15" hidden="false" customHeight="false" outlineLevel="0" collapsed="false">
      <c r="A2880" s="12" t="s">
        <v>708</v>
      </c>
      <c r="B2880" s="12" t="n">
        <f aca="false">COUNTIFS(Cleaned!$D$2:$D$125,5,Cleaned!EH$2:EH$125,"&lt;&gt;")</f>
        <v>1</v>
      </c>
      <c r="C2880" s="15" t="n">
        <f aca="false">IF(B2880=0,"",AVERAGEIF(Cleaned!$D$2:$D$125,5,Cleaned!EH$2:EH$125))</f>
        <v>3</v>
      </c>
    </row>
    <row r="2881" customFormat="false" ht="15" hidden="false" customHeight="false" outlineLevel="0" collapsed="false">
      <c r="A2881" s="12" t="s">
        <v>709</v>
      </c>
      <c r="B2881" s="12" t="n">
        <f aca="false">COUNTIFS(Cleaned!$D$2:$D$125,6,Cleaned!EH$2:EH$125,"&lt;&gt;")</f>
        <v>2</v>
      </c>
      <c r="C2881" s="15" t="n">
        <f aca="false">IF(B2881=0,"",AVERAGEIF(Cleaned!$D$2:$D$125,6,Cleaned!EH$2:EH$125))</f>
        <v>3.96</v>
      </c>
    </row>
    <row r="2882" customFormat="false" ht="15" hidden="false" customHeight="false" outlineLevel="0" collapsed="false">
      <c r="A2882" s="12" t="s">
        <v>710</v>
      </c>
      <c r="B2882" s="12" t="n">
        <f aca="false">COUNTIFS(Cleaned!$D$2:$D$125,7,Cleaned!EH$2:EH$125,"&lt;&gt;")</f>
        <v>4</v>
      </c>
      <c r="C2882" s="15" t="n">
        <f aca="false">IF(B2882=0,"",AVERAGEIF(Cleaned!$D$2:$D$125,7,Cleaned!EH$2:EH$125))</f>
        <v>159.875</v>
      </c>
    </row>
    <row r="2883" customFormat="false" ht="15" hidden="false" customHeight="false" outlineLevel="0" collapsed="false">
      <c r="A2883" s="12" t="s">
        <v>711</v>
      </c>
      <c r="B2883" s="12" t="n">
        <f aca="false">COUNTIFS(Cleaned!$D$2:$D$125,8,Cleaned!EH$2:EH$125,"&lt;&gt;")</f>
        <v>1</v>
      </c>
      <c r="C2883" s="15" t="n">
        <f aca="false">IF(B2883=0,"",AVERAGEIF(Cleaned!$D$2:$D$125,8,Cleaned!EH$2:EH$125))</f>
        <v>0.6</v>
      </c>
    </row>
    <row r="2884" customFormat="false" ht="15" hidden="false" customHeight="false" outlineLevel="0" collapsed="false">
      <c r="A2884" s="12" t="s">
        <v>712</v>
      </c>
      <c r="B2884" s="12" t="n">
        <f aca="false">COUNTIFS(Cleaned!$D$2:$D$125,9,Cleaned!EH$2:EH$125,"&lt;&gt;")</f>
        <v>0</v>
      </c>
      <c r="C2884" s="15" t="str">
        <f aca="false">IF(B2884=0,"",AVERAGEIF(Cleaned!$D$2:$D$125,9,Cleaned!EH$2:EH$125))</f>
        <v/>
      </c>
    </row>
    <row r="2885" customFormat="false" ht="15" hidden="false" customHeight="false" outlineLevel="0" collapsed="false">
      <c r="A2885" s="12" t="s">
        <v>713</v>
      </c>
      <c r="B2885" s="12" t="n">
        <f aca="false">COUNTIFS(Cleaned!$D$2:$D$125,10,Cleaned!EH$2:EH$125,"&lt;&gt;")</f>
        <v>0</v>
      </c>
      <c r="C2885" s="15" t="str">
        <f aca="false">IF(B2885=0,"",AVERAGEIF(Cleaned!$D$2:$D$125,10,Cleaned!EH$2:EH$125))</f>
        <v/>
      </c>
    </row>
    <row r="2886" customFormat="false" ht="15" hidden="false" customHeight="false" outlineLevel="0" collapsed="false">
      <c r="A2886" s="12" t="s">
        <v>714</v>
      </c>
      <c r="B2886" s="12" t="n">
        <f aca="false">COUNTIFS(Cleaned!$D$2:$D$125,11,Cleaned!EH$2:EH$125,"&lt;&gt;")</f>
        <v>1</v>
      </c>
      <c r="C2886" s="15" t="n">
        <f aca="false">IF(B2886=0,"",AVERAGEIF(Cleaned!$D$2:$D$125,11,Cleaned!EH$2:EH$125))</f>
        <v>5</v>
      </c>
    </row>
    <row r="2887" customFormat="false" ht="15" hidden="false" customHeight="false" outlineLevel="0" collapsed="false">
      <c r="A2887" s="12" t="s">
        <v>715</v>
      </c>
      <c r="B2887" s="12" t="n">
        <f aca="false">COUNTIFS(Cleaned!$D$2:$D$125,12,Cleaned!EH$2:EH$125,"&lt;&gt;")</f>
        <v>0</v>
      </c>
      <c r="C2887" s="15" t="str">
        <f aca="false">IF(B2887=0,"",AVERAGEIF(Cleaned!$D$2:$D$125,12,Cleaned!EH$2:EH$125))</f>
        <v/>
      </c>
    </row>
    <row r="2890" customFormat="false" ht="15" hidden="false" customHeight="false" outlineLevel="0" collapsed="false">
      <c r="A2890" s="6" t="s">
        <v>138</v>
      </c>
      <c r="B2890" s="7" t="s">
        <v>870</v>
      </c>
    </row>
    <row r="2891" customFormat="false" ht="15" hidden="false" customHeight="false" outlineLevel="0" collapsed="false">
      <c r="A2891" s="11" t="s">
        <v>734</v>
      </c>
      <c r="B2891" s="9" t="s">
        <v>694</v>
      </c>
      <c r="C2891" s="9" t="s">
        <v>735</v>
      </c>
      <c r="D2891" s="9" t="s">
        <v>736</v>
      </c>
      <c r="E2891" s="9" t="s">
        <v>737</v>
      </c>
      <c r="F2891" s="9" t="s">
        <v>738</v>
      </c>
    </row>
    <row r="2892" customFormat="false" ht="15" hidden="false" customHeight="false" outlineLevel="0" collapsed="false">
      <c r="B2892" s="12" t="n">
        <f aca="false">COUNT(Cleaned!$EI$2:$EI$125)</f>
        <v>30</v>
      </c>
      <c r="C2892" s="12" t="n">
        <f aca="false">IFERROR(AVERAGE(Cleaned!$EI$2:$EI$125),"")</f>
        <v>212609.826806667</v>
      </c>
      <c r="D2892" s="12" t="n">
        <f aca="false">IFERROR(MEDIAN(Cleaned!$EI$2:$EI$125),"")</f>
        <v>1.62</v>
      </c>
      <c r="E2892" s="12" t="n">
        <f aca="false">IFERROR(MIN(Cleaned!$EI$2:$EI$125),"")</f>
        <v>0.127</v>
      </c>
      <c r="F2892" s="12" t="n">
        <f aca="false">IFERROR(MAX(Cleaned!$EI$2:$EI$125),"")</f>
        <v>6378000</v>
      </c>
    </row>
    <row r="2893" customFormat="false" ht="15" hidden="false" customHeight="false" outlineLevel="0" collapsed="false">
      <c r="A2893" s="11" t="s">
        <v>697</v>
      </c>
      <c r="B2893" s="9" t="s">
        <v>739</v>
      </c>
      <c r="C2893" s="9" t="s">
        <v>735</v>
      </c>
    </row>
    <row r="2894" customFormat="false" ht="15" hidden="false" customHeight="false" outlineLevel="0" collapsed="false">
      <c r="A2894" s="12" t="s">
        <v>698</v>
      </c>
      <c r="B2894" s="12" t="n">
        <f aca="false">COUNTIFS(Cleaned!$C$2:$C$125,1,Cleaned!EI$2:EI$125,"&lt;&gt;")</f>
        <v>2</v>
      </c>
      <c r="C2894" s="15" t="n">
        <f aca="false">IF(B2894=0,"",AVERAGEIF(Cleaned!$C$2:$C$125,1,Cleaned!EI$2:EI$125))</f>
        <v>41.2</v>
      </c>
    </row>
    <row r="2895" customFormat="false" ht="15" hidden="false" customHeight="false" outlineLevel="0" collapsed="false">
      <c r="A2895" s="12" t="s">
        <v>699</v>
      </c>
      <c r="B2895" s="12" t="n">
        <f aca="false">COUNTIFS(Cleaned!$C$2:$C$125,2,Cleaned!EI$2:EI$125,"&lt;&gt;")</f>
        <v>2</v>
      </c>
      <c r="C2895" s="15" t="n">
        <f aca="false">IF(B2895=0,"",AVERAGEIF(Cleaned!$C$2:$C$125,2,Cleaned!EI$2:EI$125))</f>
        <v>0.1385</v>
      </c>
    </row>
    <row r="2896" customFormat="false" ht="15" hidden="false" customHeight="false" outlineLevel="0" collapsed="false">
      <c r="A2896" s="12" t="s">
        <v>700</v>
      </c>
      <c r="B2896" s="12" t="n">
        <f aca="false">COUNTIFS(Cleaned!$C$2:$C$125,3,Cleaned!EI$2:EI$125,"&lt;&gt;")</f>
        <v>5</v>
      </c>
      <c r="C2896" s="15" t="n">
        <f aca="false">IF(B2896=0,"",AVERAGEIF(Cleaned!$C$2:$C$125,3,Cleaned!EI$2:EI$125))</f>
        <v>0.5688</v>
      </c>
    </row>
    <row r="2897" customFormat="false" ht="15" hidden="false" customHeight="false" outlineLevel="0" collapsed="false">
      <c r="A2897" s="12" t="s">
        <v>701</v>
      </c>
      <c r="B2897" s="12" t="n">
        <f aca="false">COUNTIFS(Cleaned!$C$2:$C$125,4,Cleaned!EI$2:EI$125,"&lt;&gt;")</f>
        <v>7</v>
      </c>
      <c r="C2897" s="15" t="n">
        <f aca="false">IF(B2897=0,"",AVERAGEIF(Cleaned!$C$2:$C$125,4,Cleaned!EI$2:EI$125))</f>
        <v>1.03242857142857</v>
      </c>
    </row>
    <row r="2898" customFormat="false" ht="15" hidden="false" customHeight="false" outlineLevel="0" collapsed="false">
      <c r="A2898" s="12" t="s">
        <v>702</v>
      </c>
      <c r="B2898" s="12" t="n">
        <f aca="false">COUNTIFS(Cleaned!$C$2:$C$125,5,Cleaned!EI$2:EI$125,"&lt;&gt;")</f>
        <v>14</v>
      </c>
      <c r="C2898" s="15" t="n">
        <f aca="false">IF(B2898=0,"",AVERAGEIF(Cleaned!$C$2:$C$125,5,Cleaned!EI$2:EI$125))</f>
        <v>455585.861157143</v>
      </c>
    </row>
    <row r="2899" customFormat="false" ht="15" hidden="false" customHeight="false" outlineLevel="0" collapsed="false">
      <c r="A2899" s="11" t="s">
        <v>3</v>
      </c>
      <c r="B2899" s="9" t="s">
        <v>739</v>
      </c>
      <c r="C2899" s="9" t="s">
        <v>735</v>
      </c>
    </row>
    <row r="2900" customFormat="false" ht="15" hidden="false" customHeight="false" outlineLevel="0" collapsed="false">
      <c r="A2900" s="12" t="s">
        <v>704</v>
      </c>
      <c r="B2900" s="12" t="n">
        <f aca="false">COUNTIFS(Cleaned!$D$2:$D$125,1,Cleaned!EI$2:EI$125,"&lt;&gt;")</f>
        <v>2</v>
      </c>
      <c r="C2900" s="15" t="n">
        <f aca="false">IF(B2900=0,"",AVERAGEIF(Cleaned!$D$2:$D$125,1,Cleaned!EI$2:EI$125))</f>
        <v>0.525</v>
      </c>
    </row>
    <row r="2901" customFormat="false" ht="15" hidden="false" customHeight="false" outlineLevel="0" collapsed="false">
      <c r="A2901" s="12" t="s">
        <v>705</v>
      </c>
      <c r="B2901" s="12" t="n">
        <f aca="false">COUNTIFS(Cleaned!$D$2:$D$125,2,Cleaned!EI$2:EI$125,"&lt;&gt;")</f>
        <v>8</v>
      </c>
      <c r="C2901" s="15" t="n">
        <f aca="false">IF(B2901=0,"",AVERAGEIF(Cleaned!$D$2:$D$125,2,Cleaned!EI$2:EI$125))</f>
        <v>797265.930375</v>
      </c>
    </row>
    <row r="2902" customFormat="false" ht="15" hidden="false" customHeight="false" outlineLevel="0" collapsed="false">
      <c r="A2902" s="12" t="s">
        <v>706</v>
      </c>
      <c r="B2902" s="12" t="n">
        <f aca="false">COUNTIFS(Cleaned!$D$2:$D$125,3,Cleaned!EI$2:EI$125,"&lt;&gt;")</f>
        <v>5</v>
      </c>
      <c r="C2902" s="15" t="n">
        <f aca="false">IF(B2902=0,"",AVERAGEIF(Cleaned!$D$2:$D$125,3,Cleaned!EI$2:EI$125))</f>
        <v>12.1308</v>
      </c>
    </row>
    <row r="2903" customFormat="false" ht="15" hidden="false" customHeight="false" outlineLevel="0" collapsed="false">
      <c r="A2903" s="12" t="s">
        <v>707</v>
      </c>
      <c r="B2903" s="12" t="n">
        <f aca="false">COUNTIFS(Cleaned!$D$2:$D$125,4,Cleaned!EI$2:EI$125,"&lt;&gt;")</f>
        <v>3</v>
      </c>
      <c r="C2903" s="15" t="n">
        <f aca="false">IF(B2903=0,"",AVERAGEIF(Cleaned!$D$2:$D$125,4,Cleaned!EI$2:EI$125))</f>
        <v>0.517666666666667</v>
      </c>
    </row>
    <row r="2904" customFormat="false" ht="15" hidden="false" customHeight="false" outlineLevel="0" collapsed="false">
      <c r="A2904" s="12" t="s">
        <v>708</v>
      </c>
      <c r="B2904" s="12" t="n">
        <f aca="false">COUNTIFS(Cleaned!$D$2:$D$125,5,Cleaned!EI$2:EI$125,"&lt;&gt;")</f>
        <v>1</v>
      </c>
      <c r="C2904" s="15" t="n">
        <f aca="false">IF(B2904=0,"",AVERAGEIF(Cleaned!$D$2:$D$125,5,Cleaned!EI$2:EI$125))</f>
        <v>1.302</v>
      </c>
    </row>
    <row r="2905" customFormat="false" ht="15" hidden="false" customHeight="false" outlineLevel="0" collapsed="false">
      <c r="A2905" s="12" t="s">
        <v>709</v>
      </c>
      <c r="B2905" s="12" t="n">
        <f aca="false">COUNTIFS(Cleaned!$D$2:$D$125,6,Cleaned!EI$2:EI$125,"&lt;&gt;")</f>
        <v>2</v>
      </c>
      <c r="C2905" s="15" t="n">
        <f aca="false">IF(B2905=0,"",AVERAGEIF(Cleaned!$D$2:$D$125,6,Cleaned!EI$2:EI$125))</f>
        <v>0.6345</v>
      </c>
    </row>
    <row r="2906" customFormat="false" ht="15" hidden="false" customHeight="false" outlineLevel="0" collapsed="false">
      <c r="A2906" s="12" t="s">
        <v>710</v>
      </c>
      <c r="B2906" s="12" t="n">
        <f aca="false">COUNTIFS(Cleaned!$D$2:$D$125,7,Cleaned!EI$2:EI$125,"&lt;&gt;")</f>
        <v>4</v>
      </c>
      <c r="C2906" s="15" t="n">
        <f aca="false">IF(B2906=0,"",AVERAGEIF(Cleaned!$D$2:$D$125,7,Cleaned!EI$2:EI$125))</f>
        <v>3.7258</v>
      </c>
    </row>
    <row r="2907" customFormat="false" ht="15" hidden="false" customHeight="false" outlineLevel="0" collapsed="false">
      <c r="A2907" s="12" t="s">
        <v>711</v>
      </c>
      <c r="B2907" s="12" t="n">
        <f aca="false">COUNTIFS(Cleaned!$D$2:$D$125,8,Cleaned!EI$2:EI$125,"&lt;&gt;")</f>
        <v>2</v>
      </c>
      <c r="C2907" s="15" t="n">
        <f aca="false">IF(B2907=0,"",AVERAGEIF(Cleaned!$D$2:$D$125,8,Cleaned!EI$2:EI$125))</f>
        <v>11.85</v>
      </c>
    </row>
    <row r="2908" customFormat="false" ht="15" hidden="false" customHeight="false" outlineLevel="0" collapsed="false">
      <c r="A2908" s="12" t="s">
        <v>712</v>
      </c>
      <c r="B2908" s="12" t="n">
        <f aca="false">COUNTIFS(Cleaned!$D$2:$D$125,9,Cleaned!EI$2:EI$125,"&lt;&gt;")</f>
        <v>0</v>
      </c>
      <c r="C2908" s="15" t="str">
        <f aca="false">IF(B2908=0,"",AVERAGEIF(Cleaned!$D$2:$D$125,9,Cleaned!EI$2:EI$125))</f>
        <v/>
      </c>
    </row>
    <row r="2909" customFormat="false" ht="15" hidden="false" customHeight="false" outlineLevel="0" collapsed="false">
      <c r="A2909" s="12" t="s">
        <v>713</v>
      </c>
      <c r="B2909" s="12" t="n">
        <f aca="false">COUNTIFS(Cleaned!$D$2:$D$125,10,Cleaned!EI$2:EI$125,"&lt;&gt;")</f>
        <v>0</v>
      </c>
      <c r="C2909" s="15" t="str">
        <f aca="false">IF(B2909=0,"",AVERAGEIF(Cleaned!$D$2:$D$125,10,Cleaned!EI$2:EI$125))</f>
        <v/>
      </c>
    </row>
    <row r="2910" customFormat="false" ht="15" hidden="false" customHeight="false" outlineLevel="0" collapsed="false">
      <c r="A2910" s="12" t="s">
        <v>714</v>
      </c>
      <c r="B2910" s="12" t="n">
        <f aca="false">COUNTIFS(Cleaned!$D$2:$D$125,11,Cleaned!EI$2:EI$125,"&lt;&gt;")</f>
        <v>2</v>
      </c>
      <c r="C2910" s="15" t="n">
        <f aca="false">IF(B2910=0,"",AVERAGEIF(Cleaned!$D$2:$D$125,11,Cleaned!EI$2:EI$125))</f>
        <v>1.465</v>
      </c>
    </row>
    <row r="2911" customFormat="false" ht="15" hidden="false" customHeight="false" outlineLevel="0" collapsed="false">
      <c r="A2911" s="12" t="s">
        <v>715</v>
      </c>
      <c r="B2911" s="12" t="n">
        <f aca="false">COUNTIFS(Cleaned!$D$2:$D$125,12,Cleaned!EI$2:EI$125,"&lt;&gt;")</f>
        <v>1</v>
      </c>
      <c r="C2911" s="15" t="n">
        <f aca="false">IF(B2911=0,"",AVERAGEIF(Cleaned!$D$2:$D$125,12,Cleaned!EI$2:EI$125))</f>
        <v>60</v>
      </c>
    </row>
    <row r="2914" customFormat="false" ht="15" hidden="false" customHeight="false" outlineLevel="0" collapsed="false">
      <c r="A2914" s="6" t="s">
        <v>139</v>
      </c>
      <c r="B2914" s="7" t="s">
        <v>871</v>
      </c>
    </row>
    <row r="2915" customFormat="false" ht="15" hidden="false" customHeight="false" outlineLevel="0" collapsed="false">
      <c r="A2915" s="11" t="s">
        <v>734</v>
      </c>
      <c r="B2915" s="9" t="s">
        <v>694</v>
      </c>
      <c r="C2915" s="9" t="s">
        <v>735</v>
      </c>
      <c r="D2915" s="9" t="s">
        <v>736</v>
      </c>
      <c r="E2915" s="9" t="s">
        <v>737</v>
      </c>
      <c r="F2915" s="9" t="s">
        <v>738</v>
      </c>
    </row>
    <row r="2916" customFormat="false" ht="15" hidden="false" customHeight="false" outlineLevel="0" collapsed="false">
      <c r="B2916" s="12" t="n">
        <f aca="false">COUNT(Cleaned!$EJ$2:$EJ$125)</f>
        <v>29</v>
      </c>
      <c r="C2916" s="12" t="n">
        <f aca="false">IFERROR(AVERAGE(Cleaned!$EJ$2:$EJ$125),"")</f>
        <v>251997.942344828</v>
      </c>
      <c r="D2916" s="12" t="n">
        <f aca="false">IFERROR(MEDIAN(Cleaned!$EJ$2:$EJ$125),"")</f>
        <v>1</v>
      </c>
      <c r="E2916" s="12" t="n">
        <f aca="false">IFERROR(MIN(Cleaned!$EJ$2:$EJ$125),"")</f>
        <v>0</v>
      </c>
      <c r="F2916" s="12" t="n">
        <f aca="false">IFERROR(MAX(Cleaned!$EJ$2:$EJ$125),"")</f>
        <v>6377000</v>
      </c>
    </row>
    <row r="2917" customFormat="false" ht="15" hidden="false" customHeight="false" outlineLevel="0" collapsed="false">
      <c r="A2917" s="11" t="s">
        <v>697</v>
      </c>
      <c r="B2917" s="9" t="s">
        <v>739</v>
      </c>
      <c r="C2917" s="9" t="s">
        <v>735</v>
      </c>
    </row>
    <row r="2918" customFormat="false" ht="15" hidden="false" customHeight="false" outlineLevel="0" collapsed="false">
      <c r="A2918" s="12" t="s">
        <v>698</v>
      </c>
      <c r="B2918" s="12" t="n">
        <f aca="false">COUNTIFS(Cleaned!$C$2:$C$125,1,Cleaned!EJ$2:EJ$125,"&lt;&gt;")</f>
        <v>3</v>
      </c>
      <c r="C2918" s="15" t="n">
        <f aca="false">IF(B2918=0,"",AVERAGEIF(Cleaned!$C$2:$C$125,1,Cleaned!EJ$2:EJ$125))</f>
        <v>20000.2033333333</v>
      </c>
    </row>
    <row r="2919" customFormat="false" ht="15" hidden="false" customHeight="false" outlineLevel="0" collapsed="false">
      <c r="A2919" s="12" t="s">
        <v>699</v>
      </c>
      <c r="B2919" s="12" t="n">
        <f aca="false">COUNTIFS(Cleaned!$C$2:$C$125,2,Cleaned!EJ$2:EJ$125,"&lt;&gt;")</f>
        <v>2</v>
      </c>
      <c r="C2919" s="15" t="n">
        <f aca="false">IF(B2919=0,"",AVERAGEIF(Cleaned!$C$2:$C$125,2,Cleaned!EJ$2:EJ$125))</f>
        <v>35042.5</v>
      </c>
    </row>
    <row r="2920" customFormat="false" ht="15" hidden="false" customHeight="false" outlineLevel="0" collapsed="false">
      <c r="A2920" s="12" t="s">
        <v>700</v>
      </c>
      <c r="B2920" s="12" t="n">
        <f aca="false">COUNTIFS(Cleaned!$C$2:$C$125,3,Cleaned!EJ$2:EJ$125,"&lt;&gt;")</f>
        <v>6</v>
      </c>
      <c r="C2920" s="15" t="n">
        <f aca="false">IF(B2920=0,"",AVERAGEIF(Cleaned!$C$2:$C$125,3,Cleaned!EJ$2:EJ$125))</f>
        <v>13.55</v>
      </c>
    </row>
    <row r="2921" customFormat="false" ht="15" hidden="false" customHeight="false" outlineLevel="0" collapsed="false">
      <c r="A2921" s="12" t="s">
        <v>701</v>
      </c>
      <c r="B2921" s="12" t="n">
        <f aca="false">COUNTIFS(Cleaned!$C$2:$C$125,4,Cleaned!EJ$2:EJ$125,"&lt;&gt;")</f>
        <v>5</v>
      </c>
      <c r="C2921" s="15" t="n">
        <f aca="false">IF(B2921=0,"",AVERAGEIF(Cleaned!$C$2:$C$125,4,Cleaned!EJ$2:EJ$125))</f>
        <v>160019.61</v>
      </c>
    </row>
    <row r="2922" customFormat="false" ht="15" hidden="false" customHeight="false" outlineLevel="0" collapsed="false">
      <c r="A2922" s="12" t="s">
        <v>702</v>
      </c>
      <c r="B2922" s="12" t="n">
        <f aca="false">COUNTIFS(Cleaned!$C$2:$C$125,5,Cleaned!EJ$2:EJ$125,"&lt;&gt;")</f>
        <v>13</v>
      </c>
      <c r="C2922" s="15" t="n">
        <f aca="false">IF(B2922=0,"",AVERAGEIF(Cleaned!$C$2:$C$125,5,Cleaned!EJ$2:EJ$125))</f>
        <v>490590.412923077</v>
      </c>
    </row>
    <row r="2923" customFormat="false" ht="15" hidden="false" customHeight="false" outlineLevel="0" collapsed="false">
      <c r="A2923" s="11" t="s">
        <v>3</v>
      </c>
      <c r="B2923" s="9" t="s">
        <v>739</v>
      </c>
      <c r="C2923" s="9" t="s">
        <v>735</v>
      </c>
    </row>
    <row r="2924" customFormat="false" ht="15" hidden="false" customHeight="false" outlineLevel="0" collapsed="false">
      <c r="A2924" s="12" t="s">
        <v>704</v>
      </c>
      <c r="B2924" s="12" t="n">
        <f aca="false">COUNTIFS(Cleaned!$D$2:$D$125,1,Cleaned!EJ$2:EJ$125,"&lt;&gt;")</f>
        <v>4</v>
      </c>
      <c r="C2924" s="15" t="n">
        <f aca="false">IF(B2924=0,"",AVERAGEIF(Cleaned!$D$2:$D$125,1,Cleaned!EJ$2:EJ$125))</f>
        <v>144.045</v>
      </c>
    </row>
    <row r="2925" customFormat="false" ht="15" hidden="false" customHeight="false" outlineLevel="0" collapsed="false">
      <c r="A2925" s="12" t="s">
        <v>705</v>
      </c>
      <c r="B2925" s="12" t="n">
        <f aca="false">COUNTIFS(Cleaned!$D$2:$D$125,2,Cleaned!EJ$2:EJ$125,"&lt;&gt;")</f>
        <v>6</v>
      </c>
      <c r="C2925" s="15" t="n">
        <f aca="false">IF(B2925=0,"",AVERAGEIF(Cleaned!$D$2:$D$125,2,Cleaned!EJ$2:EJ$125))</f>
        <v>1062849.11166667</v>
      </c>
    </row>
    <row r="2926" customFormat="false" ht="15" hidden="false" customHeight="false" outlineLevel="0" collapsed="false">
      <c r="A2926" s="12" t="s">
        <v>706</v>
      </c>
      <c r="B2926" s="12" t="n">
        <f aca="false">COUNTIFS(Cleaned!$D$2:$D$125,3,Cleaned!EJ$2:EJ$125,"&lt;&gt;")</f>
        <v>4</v>
      </c>
      <c r="C2926" s="15" t="n">
        <f aca="false">IF(B2926=0,"",AVERAGEIF(Cleaned!$D$2:$D$125,3,Cleaned!EJ$2:EJ$125))</f>
        <v>0.89675</v>
      </c>
    </row>
    <row r="2927" customFormat="false" ht="15" hidden="false" customHeight="false" outlineLevel="0" collapsed="false">
      <c r="A2927" s="12" t="s">
        <v>707</v>
      </c>
      <c r="B2927" s="12" t="n">
        <f aca="false">COUNTIFS(Cleaned!$D$2:$D$125,4,Cleaned!EJ$2:EJ$125,"&lt;&gt;")</f>
        <v>2</v>
      </c>
      <c r="C2927" s="15" t="n">
        <f aca="false">IF(B2927=0,"",AVERAGEIF(Cleaned!$D$2:$D$125,4,Cleaned!EJ$2:EJ$125))</f>
        <v>400042.5</v>
      </c>
    </row>
    <row r="2928" customFormat="false" ht="15" hidden="false" customHeight="false" outlineLevel="0" collapsed="false">
      <c r="A2928" s="12" t="s">
        <v>708</v>
      </c>
      <c r="B2928" s="12" t="n">
        <f aca="false">COUNTIFS(Cleaned!$D$2:$D$125,5,Cleaned!EJ$2:EJ$125,"&lt;&gt;")</f>
        <v>1</v>
      </c>
      <c r="C2928" s="15" t="n">
        <f aca="false">IF(B2928=0,"",AVERAGEIF(Cleaned!$D$2:$D$125,5,Cleaned!EJ$2:EJ$125))</f>
        <v>95</v>
      </c>
    </row>
    <row r="2929" customFormat="false" ht="15" hidden="false" customHeight="false" outlineLevel="0" collapsed="false">
      <c r="A2929" s="12" t="s">
        <v>709</v>
      </c>
      <c r="B2929" s="12" t="n">
        <f aca="false">COUNTIFS(Cleaned!$D$2:$D$125,6,Cleaned!EJ$2:EJ$125,"&lt;&gt;")</f>
        <v>2</v>
      </c>
      <c r="C2929" s="15" t="n">
        <f aca="false">IF(B2929=0,"",AVERAGEIF(Cleaned!$D$2:$D$125,6,Cleaned!EJ$2:EJ$125))</f>
        <v>0.925</v>
      </c>
    </row>
    <row r="2930" customFormat="false" ht="15" hidden="false" customHeight="false" outlineLevel="0" collapsed="false">
      <c r="A2930" s="12" t="s">
        <v>710</v>
      </c>
      <c r="B2930" s="12" t="n">
        <f aca="false">COUNTIFS(Cleaned!$D$2:$D$125,7,Cleaned!EJ$2:EJ$125,"&lt;&gt;")</f>
        <v>6</v>
      </c>
      <c r="C2930" s="15" t="n">
        <f aca="false">IF(B2930=0,"",AVERAGEIF(Cleaned!$D$2:$D$125,7,Cleaned!EJ$2:EJ$125))</f>
        <v>11680.3085</v>
      </c>
    </row>
    <row r="2931" customFormat="false" ht="15" hidden="false" customHeight="false" outlineLevel="0" collapsed="false">
      <c r="A2931" s="12" t="s">
        <v>711</v>
      </c>
      <c r="B2931" s="12" t="n">
        <f aca="false">COUNTIFS(Cleaned!$D$2:$D$125,8,Cleaned!EJ$2:EJ$125,"&lt;&gt;")</f>
        <v>2</v>
      </c>
      <c r="C2931" s="15" t="n">
        <f aca="false">IF(B2931=0,"",AVERAGEIF(Cleaned!$D$2:$D$125,8,Cleaned!EJ$2:EJ$125))</f>
        <v>30000.6</v>
      </c>
    </row>
    <row r="2932" customFormat="false" ht="15" hidden="false" customHeight="false" outlineLevel="0" collapsed="false">
      <c r="A2932" s="12" t="s">
        <v>712</v>
      </c>
      <c r="B2932" s="12" t="n">
        <f aca="false">COUNTIFS(Cleaned!$D$2:$D$125,9,Cleaned!EJ$2:EJ$125,"&lt;&gt;")</f>
        <v>0</v>
      </c>
      <c r="C2932" s="15" t="str">
        <f aca="false">IF(B2932=0,"",AVERAGEIF(Cleaned!$D$2:$D$125,9,Cleaned!EJ$2:EJ$125))</f>
        <v/>
      </c>
    </row>
    <row r="2933" customFormat="false" ht="15" hidden="false" customHeight="false" outlineLevel="0" collapsed="false">
      <c r="A2933" s="12" t="s">
        <v>713</v>
      </c>
      <c r="B2933" s="12" t="n">
        <f aca="false">COUNTIFS(Cleaned!$D$2:$D$125,10,Cleaned!EJ$2:EJ$125,"&lt;&gt;")</f>
        <v>0</v>
      </c>
      <c r="C2933" s="15" t="str">
        <f aca="false">IF(B2933=0,"",AVERAGEIF(Cleaned!$D$2:$D$125,10,Cleaned!EJ$2:EJ$125))</f>
        <v/>
      </c>
    </row>
    <row r="2934" customFormat="false" ht="15" hidden="false" customHeight="false" outlineLevel="0" collapsed="false">
      <c r="A2934" s="12" t="s">
        <v>714</v>
      </c>
      <c r="B2934" s="12" t="n">
        <f aca="false">COUNTIFS(Cleaned!$D$2:$D$125,11,Cleaned!EJ$2:EJ$125,"&lt;&gt;")</f>
        <v>1</v>
      </c>
      <c r="C2934" s="15" t="n">
        <f aca="false">IF(B2934=0,"",AVERAGEIF(Cleaned!$D$2:$D$125,11,Cleaned!EJ$2:EJ$125))</f>
        <v>0.99</v>
      </c>
    </row>
    <row r="2935" customFormat="false" ht="15" hidden="false" customHeight="false" outlineLevel="0" collapsed="false">
      <c r="A2935" s="12" t="s">
        <v>715</v>
      </c>
      <c r="B2935" s="12" t="n">
        <f aca="false">COUNTIFS(Cleaned!$D$2:$D$125,12,Cleaned!EJ$2:EJ$125,"&lt;&gt;")</f>
        <v>1</v>
      </c>
      <c r="C2935" s="15" t="n">
        <f aca="false">IF(B2935=0,"",AVERAGEIF(Cleaned!$D$2:$D$125,12,Cleaned!EJ$2:EJ$125))</f>
        <v>0</v>
      </c>
    </row>
    <row r="2938" customFormat="false" ht="15" hidden="false" customHeight="false" outlineLevel="0" collapsed="false">
      <c r="A2938" s="6" t="s">
        <v>140</v>
      </c>
      <c r="B2938" s="7" t="s">
        <v>872</v>
      </c>
    </row>
    <row r="2939" customFormat="false" ht="15" hidden="false" customHeight="false" outlineLevel="0" collapsed="false">
      <c r="A2939" s="11" t="s">
        <v>734</v>
      </c>
      <c r="B2939" s="9" t="s">
        <v>694</v>
      </c>
      <c r="C2939" s="9" t="s">
        <v>735</v>
      </c>
      <c r="D2939" s="9" t="s">
        <v>736</v>
      </c>
      <c r="E2939" s="9" t="s">
        <v>737</v>
      </c>
      <c r="F2939" s="9" t="s">
        <v>738</v>
      </c>
    </row>
    <row r="2940" customFormat="false" ht="15" hidden="false" customHeight="false" outlineLevel="0" collapsed="false">
      <c r="B2940" s="12" t="n">
        <f aca="false">COUNT(Cleaned!$EK$2:$EK$125)</f>
        <v>30</v>
      </c>
      <c r="C2940" s="12" t="n">
        <f aca="false">IFERROR(AVERAGE(Cleaned!$EK$2:$EK$125),"")</f>
        <v>418443.2305</v>
      </c>
      <c r="D2940" s="12" t="n">
        <f aca="false">IFERROR(MEDIAN(Cleaned!$EK$2:$EK$125),"")</f>
        <v>14.85</v>
      </c>
      <c r="E2940" s="12" t="n">
        <f aca="false">IFERROR(MIN(Cleaned!$EK$2:$EK$125),"")</f>
        <v>0.288</v>
      </c>
      <c r="F2940" s="12" t="n">
        <f aca="false">IFERROR(MAX(Cleaned!$EK$2:$EK$125),"")</f>
        <v>10639000</v>
      </c>
    </row>
    <row r="2941" customFormat="false" ht="15" hidden="false" customHeight="false" outlineLevel="0" collapsed="false">
      <c r="A2941" s="11" t="s">
        <v>697</v>
      </c>
      <c r="B2941" s="9" t="s">
        <v>739</v>
      </c>
      <c r="C2941" s="9" t="s">
        <v>735</v>
      </c>
    </row>
    <row r="2942" customFormat="false" ht="15" hidden="false" customHeight="false" outlineLevel="0" collapsed="false">
      <c r="A2942" s="12" t="s">
        <v>698</v>
      </c>
      <c r="B2942" s="12" t="n">
        <f aca="false">COUNTIFS(Cleaned!$C$2:$C$125,1,Cleaned!EK$2:EK$125,"&lt;&gt;")</f>
        <v>2</v>
      </c>
      <c r="C2942" s="15" t="n">
        <f aca="false">IF(B2942=0,"",AVERAGEIF(Cleaned!$C$2:$C$125,1,Cleaned!EK$2:EK$125))</f>
        <v>130000</v>
      </c>
    </row>
    <row r="2943" customFormat="false" ht="15" hidden="false" customHeight="false" outlineLevel="0" collapsed="false">
      <c r="A2943" s="12" t="s">
        <v>699</v>
      </c>
      <c r="B2943" s="12" t="n">
        <f aca="false">COUNTIFS(Cleaned!$C$2:$C$125,2,Cleaned!EK$2:EK$125,"&lt;&gt;")</f>
        <v>2</v>
      </c>
      <c r="C2943" s="15" t="n">
        <f aca="false">IF(B2943=0,"",AVERAGEIF(Cleaned!$C$2:$C$125,2,Cleaned!EK$2:EK$125))</f>
        <v>105.144</v>
      </c>
    </row>
    <row r="2944" customFormat="false" ht="15" hidden="false" customHeight="false" outlineLevel="0" collapsed="false">
      <c r="A2944" s="12" t="s">
        <v>700</v>
      </c>
      <c r="B2944" s="12" t="n">
        <f aca="false">COUNTIFS(Cleaned!$C$2:$C$125,3,Cleaned!EK$2:EK$125,"&lt;&gt;")</f>
        <v>6</v>
      </c>
      <c r="C2944" s="15" t="n">
        <f aca="false">IF(B2944=0,"",AVERAGEIF(Cleaned!$C$2:$C$125,3,Cleaned!EK$2:EK$125))</f>
        <v>110250.546666667</v>
      </c>
    </row>
    <row r="2945" customFormat="false" ht="15" hidden="false" customHeight="false" outlineLevel="0" collapsed="false">
      <c r="A2945" s="12" t="s">
        <v>701</v>
      </c>
      <c r="B2945" s="12" t="n">
        <f aca="false">COUNTIFS(Cleaned!$C$2:$C$125,4,Cleaned!EK$2:EK$125,"&lt;&gt;")</f>
        <v>7</v>
      </c>
      <c r="C2945" s="15" t="n">
        <f aca="false">IF(B2945=0,"",AVERAGEIF(Cleaned!$C$2:$C$125,4,Cleaned!EK$2:EK$125))</f>
        <v>141449.856428571</v>
      </c>
    </row>
    <row r="2946" customFormat="false" ht="15" hidden="false" customHeight="false" outlineLevel="0" collapsed="false">
      <c r="A2946" s="12" t="s">
        <v>702</v>
      </c>
      <c r="B2946" s="12" t="n">
        <f aca="false">COUNTIFS(Cleaned!$C$2:$C$125,5,Cleaned!EK$2:EK$125,"&lt;&gt;")</f>
        <v>13</v>
      </c>
      <c r="C2946" s="15" t="n">
        <f aca="false">IF(B2946=0,"",AVERAGEIF(Cleaned!$C$2:$C$125,5,Cleaned!EK$2:EK$125))</f>
        <v>818571.873230769</v>
      </c>
    </row>
    <row r="2947" customFormat="false" ht="15" hidden="false" customHeight="false" outlineLevel="0" collapsed="false">
      <c r="A2947" s="11" t="s">
        <v>3</v>
      </c>
      <c r="B2947" s="9" t="s">
        <v>739</v>
      </c>
      <c r="C2947" s="9" t="s">
        <v>735</v>
      </c>
    </row>
    <row r="2948" customFormat="false" ht="15" hidden="false" customHeight="false" outlineLevel="0" collapsed="false">
      <c r="A2948" s="12" t="s">
        <v>704</v>
      </c>
      <c r="B2948" s="12" t="n">
        <f aca="false">COUNTIFS(Cleaned!$D$2:$D$125,1,Cleaned!EK$2:EK$125,"&lt;&gt;")</f>
        <v>3</v>
      </c>
      <c r="C2948" s="15" t="n">
        <f aca="false">IF(B2948=0,"",AVERAGEIF(Cleaned!$D$2:$D$125,1,Cleaned!EK$2:EK$125))</f>
        <v>707.15</v>
      </c>
    </row>
    <row r="2949" customFormat="false" ht="15" hidden="false" customHeight="false" outlineLevel="0" collapsed="false">
      <c r="A2949" s="12" t="s">
        <v>705</v>
      </c>
      <c r="B2949" s="12" t="n">
        <f aca="false">COUNTIFS(Cleaned!$D$2:$D$125,2,Cleaned!EK$2:EK$125,"&lt;&gt;")</f>
        <v>6</v>
      </c>
      <c r="C2949" s="15" t="n">
        <f aca="false">IF(B2949=0,"",AVERAGEIF(Cleaned!$D$2:$D$125,2,Cleaned!EK$2:EK$125))</f>
        <v>1773196.75</v>
      </c>
    </row>
    <row r="2950" customFormat="false" ht="15" hidden="false" customHeight="false" outlineLevel="0" collapsed="false">
      <c r="A2950" s="12" t="s">
        <v>706</v>
      </c>
      <c r="B2950" s="12" t="n">
        <f aca="false">COUNTIFS(Cleaned!$D$2:$D$125,3,Cleaned!EK$2:EK$125,"&lt;&gt;")</f>
        <v>6</v>
      </c>
      <c r="C2950" s="15" t="n">
        <f aca="false">IF(B2950=0,"",AVERAGEIF(Cleaned!$D$2:$D$125,3,Cleaned!EK$2:EK$125))</f>
        <v>110852.763333333</v>
      </c>
    </row>
    <row r="2951" customFormat="false" ht="15" hidden="false" customHeight="false" outlineLevel="0" collapsed="false">
      <c r="A2951" s="12" t="s">
        <v>707</v>
      </c>
      <c r="B2951" s="12" t="n">
        <f aca="false">COUNTIFS(Cleaned!$D$2:$D$125,4,Cleaned!EK$2:EK$125,"&lt;&gt;")</f>
        <v>2</v>
      </c>
      <c r="C2951" s="15" t="n">
        <f aca="false">IF(B2951=0,"",AVERAGEIF(Cleaned!$D$2:$D$125,4,Cleaned!EK$2:EK$125))</f>
        <v>900.144</v>
      </c>
    </row>
    <row r="2952" customFormat="false" ht="15" hidden="false" customHeight="false" outlineLevel="0" collapsed="false">
      <c r="A2952" s="12" t="s">
        <v>708</v>
      </c>
      <c r="B2952" s="12" t="n">
        <f aca="false">COUNTIFS(Cleaned!$D$2:$D$125,5,Cleaned!EK$2:EK$125,"&lt;&gt;")</f>
        <v>1</v>
      </c>
      <c r="C2952" s="15" t="n">
        <f aca="false">IF(B2952=0,"",AVERAGEIF(Cleaned!$D$2:$D$125,5,Cleaned!EK$2:EK$125))</f>
        <v>2.195</v>
      </c>
    </row>
    <row r="2953" customFormat="false" ht="15" hidden="false" customHeight="false" outlineLevel="0" collapsed="false">
      <c r="A2953" s="12" t="s">
        <v>709</v>
      </c>
      <c r="B2953" s="12" t="n">
        <f aca="false">COUNTIFS(Cleaned!$D$2:$D$125,6,Cleaned!EK$2:EK$125,"&lt;&gt;")</f>
        <v>2</v>
      </c>
      <c r="C2953" s="15" t="n">
        <f aca="false">IF(B2953=0,"",AVERAGEIF(Cleaned!$D$2:$D$125,6,Cleaned!EK$2:EK$125))</f>
        <v>492270.2</v>
      </c>
    </row>
    <row r="2954" customFormat="false" ht="15" hidden="false" customHeight="false" outlineLevel="0" collapsed="false">
      <c r="A2954" s="12" t="s">
        <v>710</v>
      </c>
      <c r="B2954" s="12" t="n">
        <f aca="false">COUNTIFS(Cleaned!$D$2:$D$125,7,Cleaned!EK$2:EK$125,"&lt;&gt;")</f>
        <v>5</v>
      </c>
      <c r="C2954" s="15" t="n">
        <f aca="false">IF(B2954=0,"",AVERAGEIF(Cleaned!$D$2:$D$125,7,Cleaned!EK$2:EK$125))</f>
        <v>105.6204</v>
      </c>
    </row>
    <row r="2955" customFormat="false" ht="15" hidden="false" customHeight="false" outlineLevel="0" collapsed="false">
      <c r="A2955" s="12" t="s">
        <v>711</v>
      </c>
      <c r="B2955" s="12" t="n">
        <f aca="false">COUNTIFS(Cleaned!$D$2:$D$125,8,Cleaned!EK$2:EK$125,"&lt;&gt;")</f>
        <v>2</v>
      </c>
      <c r="C2955" s="15" t="n">
        <f aca="false">IF(B2955=0,"",AVERAGEIF(Cleaned!$D$2:$D$125,8,Cleaned!EK$2:EK$125))</f>
        <v>70001</v>
      </c>
    </row>
    <row r="2956" customFormat="false" ht="15" hidden="false" customHeight="false" outlineLevel="0" collapsed="false">
      <c r="A2956" s="12" t="s">
        <v>712</v>
      </c>
      <c r="B2956" s="12" t="n">
        <f aca="false">COUNTIFS(Cleaned!$D$2:$D$125,9,Cleaned!EK$2:EK$125,"&lt;&gt;")</f>
        <v>0</v>
      </c>
      <c r="C2956" s="15" t="str">
        <f aca="false">IF(B2956=0,"",AVERAGEIF(Cleaned!$D$2:$D$125,9,Cleaned!EK$2:EK$125))</f>
        <v/>
      </c>
    </row>
    <row r="2957" customFormat="false" ht="15" hidden="false" customHeight="false" outlineLevel="0" collapsed="false">
      <c r="A2957" s="12" t="s">
        <v>713</v>
      </c>
      <c r="B2957" s="12" t="n">
        <f aca="false">COUNTIFS(Cleaned!$D$2:$D$125,10,Cleaned!EK$2:EK$125,"&lt;&gt;")</f>
        <v>0</v>
      </c>
      <c r="C2957" s="15" t="str">
        <f aca="false">IF(B2957=0,"",AVERAGEIF(Cleaned!$D$2:$D$125,10,Cleaned!EK$2:EK$125))</f>
        <v/>
      </c>
    </row>
    <row r="2958" customFormat="false" ht="15" hidden="false" customHeight="false" outlineLevel="0" collapsed="false">
      <c r="A2958" s="12" t="s">
        <v>714</v>
      </c>
      <c r="B2958" s="12" t="n">
        <f aca="false">COUNTIFS(Cleaned!$D$2:$D$125,11,Cleaned!EK$2:EK$125,"&lt;&gt;")</f>
        <v>2</v>
      </c>
      <c r="C2958" s="15" t="n">
        <f aca="false">IF(B2958=0,"",AVERAGEIF(Cleaned!$D$2:$D$125,11,Cleaned!EK$2:EK$125))</f>
        <v>2.7</v>
      </c>
    </row>
    <row r="2959" customFormat="false" ht="15" hidden="false" customHeight="false" outlineLevel="0" collapsed="false">
      <c r="A2959" s="12" t="s">
        <v>715</v>
      </c>
      <c r="B2959" s="12" t="n">
        <f aca="false">COUNTIFS(Cleaned!$D$2:$D$125,12,Cleaned!EK$2:EK$125,"&lt;&gt;")</f>
        <v>1</v>
      </c>
      <c r="C2959" s="15" t="n">
        <f aca="false">IF(B2959=0,"",AVERAGEIF(Cleaned!$D$2:$D$125,12,Cleaned!EK$2:EK$125))</f>
        <v>120000</v>
      </c>
    </row>
    <row r="2962" customFormat="false" ht="15" hidden="false" customHeight="false" outlineLevel="0" collapsed="false">
      <c r="A2962" s="6" t="s">
        <v>141</v>
      </c>
      <c r="B2962" s="7" t="s">
        <v>873</v>
      </c>
    </row>
    <row r="2963" customFormat="false" ht="15" hidden="false" customHeight="false" outlineLevel="0" collapsed="false">
      <c r="A2963" s="8"/>
      <c r="B2963" s="9" t="s">
        <v>372</v>
      </c>
      <c r="C2963" s="8"/>
      <c r="D2963" s="9" t="s">
        <v>539</v>
      </c>
      <c r="E2963" s="8"/>
      <c r="F2963" s="9" t="s">
        <v>851</v>
      </c>
      <c r="G2963" s="8"/>
      <c r="H2963" s="9" t="s">
        <v>874</v>
      </c>
      <c r="I2963" s="8"/>
      <c r="J2963" s="9" t="s">
        <v>250</v>
      </c>
      <c r="K2963" s="8"/>
      <c r="L2963" s="9" t="s">
        <v>221</v>
      </c>
      <c r="M2963" s="8"/>
      <c r="N2963" s="9" t="s">
        <v>218</v>
      </c>
      <c r="O2963" s="8"/>
      <c r="P2963" s="9" t="s">
        <v>246</v>
      </c>
      <c r="Q2963" s="8"/>
      <c r="R2963" s="9" t="s">
        <v>230</v>
      </c>
      <c r="S2963" s="8"/>
      <c r="T2963" s="9" t="s">
        <v>694</v>
      </c>
    </row>
    <row r="2964" customFormat="false" ht="15" hidden="false" customHeight="false" outlineLevel="0" collapsed="false">
      <c r="B2964" s="10" t="s">
        <v>695</v>
      </c>
      <c r="C2964" s="10" t="s">
        <v>696</v>
      </c>
      <c r="D2964" s="10" t="s">
        <v>695</v>
      </c>
      <c r="E2964" s="10" t="s">
        <v>696</v>
      </c>
      <c r="F2964" s="10" t="s">
        <v>695</v>
      </c>
      <c r="G2964" s="10" t="s">
        <v>696</v>
      </c>
      <c r="H2964" s="10" t="s">
        <v>695</v>
      </c>
      <c r="I2964" s="10" t="s">
        <v>696</v>
      </c>
      <c r="J2964" s="10" t="s">
        <v>695</v>
      </c>
      <c r="K2964" s="10" t="s">
        <v>696</v>
      </c>
      <c r="L2964" s="10" t="s">
        <v>695</v>
      </c>
      <c r="M2964" s="10" t="s">
        <v>696</v>
      </c>
      <c r="N2964" s="10" t="s">
        <v>695</v>
      </c>
      <c r="O2964" s="10" t="s">
        <v>696</v>
      </c>
      <c r="P2964" s="10" t="s">
        <v>695</v>
      </c>
      <c r="Q2964" s="10" t="s">
        <v>696</v>
      </c>
      <c r="R2964" s="10" t="s">
        <v>695</v>
      </c>
      <c r="S2964" s="10" t="s">
        <v>696</v>
      </c>
    </row>
    <row r="2965" customFormat="false" ht="15" hidden="false" customHeight="false" outlineLevel="0" collapsed="false">
      <c r="A2965" s="11" t="s">
        <v>697</v>
      </c>
    </row>
    <row r="2966" customFormat="false" ht="15" hidden="false" customHeight="false" outlineLevel="0" collapsed="false">
      <c r="A2966" s="12" t="s">
        <v>698</v>
      </c>
      <c r="B2966" s="12" t="n">
        <f aca="false">COUNTIFS(Cleaned!$C$2:$C$125,1,Cleaned!EL$2:EL$125,1)</f>
        <v>1</v>
      </c>
      <c r="C2966" s="13" t="n">
        <f aca="false">IFERROR(B2966/$T2966,"")</f>
        <v>0.5</v>
      </c>
      <c r="D2966" s="12" t="n">
        <f aca="false">COUNTIFS(Cleaned!$C$2:$C$125,1,Cleaned!EL$2:EL$125,2)</f>
        <v>0</v>
      </c>
      <c r="E2966" s="13" t="n">
        <f aca="false">IFERROR(D2966/$T2966,"")</f>
        <v>0</v>
      </c>
      <c r="F2966" s="12" t="n">
        <f aca="false">COUNTIFS(Cleaned!$C$2:$C$125,1,Cleaned!EL$2:EL$125,3)</f>
        <v>0</v>
      </c>
      <c r="G2966" s="13" t="n">
        <f aca="false">IFERROR(F2966/$T2966,"")</f>
        <v>0</v>
      </c>
      <c r="H2966" s="12" t="n">
        <f aca="false">COUNTIFS(Cleaned!$C$2:$C$125,1,Cleaned!EL$2:EL$125,4)</f>
        <v>0</v>
      </c>
      <c r="I2966" s="13" t="n">
        <f aca="false">IFERROR(H2966/$T2966,"")</f>
        <v>0</v>
      </c>
      <c r="J2966" s="12" t="n">
        <f aca="false">COUNTIFS(Cleaned!$C$2:$C$125,1,Cleaned!EL$2:EL$125,5)</f>
        <v>0</v>
      </c>
      <c r="K2966" s="13" t="n">
        <f aca="false">IFERROR(J2966/$T2966,"")</f>
        <v>0</v>
      </c>
      <c r="L2966" s="12" t="n">
        <f aca="false">COUNTIFS(Cleaned!$C$2:$C$125,1,Cleaned!EL$2:EL$125,6)</f>
        <v>0</v>
      </c>
      <c r="M2966" s="13" t="n">
        <f aca="false">IFERROR(L2966/$T2966,"")</f>
        <v>0</v>
      </c>
      <c r="N2966" s="12" t="n">
        <f aca="false">COUNTIFS(Cleaned!$C$2:$C$125,1,Cleaned!EL$2:EL$125,7)</f>
        <v>0</v>
      </c>
      <c r="O2966" s="13" t="n">
        <f aca="false">IFERROR(N2966/$T2966,"")</f>
        <v>0</v>
      </c>
      <c r="P2966" s="12" t="n">
        <f aca="false">COUNTIFS(Cleaned!$C$2:$C$125,1,Cleaned!EL$2:EL$125,8)</f>
        <v>1</v>
      </c>
      <c r="Q2966" s="13" t="n">
        <f aca="false">IFERROR(P2966/$T2966,"")</f>
        <v>0.5</v>
      </c>
      <c r="R2966" s="12" t="n">
        <f aca="false">COUNTIFS(Cleaned!$C$2:$C$125,1,Cleaned!EL$2:EL$125,9)</f>
        <v>0</v>
      </c>
      <c r="S2966" s="13" t="n">
        <f aca="false">IFERROR(R2966/$T2966,"")</f>
        <v>0</v>
      </c>
      <c r="T2966" s="12" t="n">
        <f aca="false">B2966+D2966+F2966+H2966+J2966+L2966+N2966+P2966+R2966</f>
        <v>2</v>
      </c>
    </row>
    <row r="2967" customFormat="false" ht="15" hidden="false" customHeight="false" outlineLevel="0" collapsed="false">
      <c r="A2967" s="12" t="s">
        <v>699</v>
      </c>
      <c r="B2967" s="12" t="n">
        <f aca="false">COUNTIFS(Cleaned!$C$2:$C$125,2,Cleaned!EL$2:EL$125,1)</f>
        <v>1</v>
      </c>
      <c r="C2967" s="13" t="n">
        <f aca="false">IFERROR(B2967/$T2967,"")</f>
        <v>0.5</v>
      </c>
      <c r="D2967" s="12" t="n">
        <f aca="false">COUNTIFS(Cleaned!$C$2:$C$125,2,Cleaned!EL$2:EL$125,2)</f>
        <v>0</v>
      </c>
      <c r="E2967" s="13" t="n">
        <f aca="false">IFERROR(D2967/$T2967,"")</f>
        <v>0</v>
      </c>
      <c r="F2967" s="12" t="n">
        <f aca="false">COUNTIFS(Cleaned!$C$2:$C$125,2,Cleaned!EL$2:EL$125,3)</f>
        <v>0</v>
      </c>
      <c r="G2967" s="13" t="n">
        <f aca="false">IFERROR(F2967/$T2967,"")</f>
        <v>0</v>
      </c>
      <c r="H2967" s="12" t="n">
        <f aca="false">COUNTIFS(Cleaned!$C$2:$C$125,2,Cleaned!EL$2:EL$125,4)</f>
        <v>0</v>
      </c>
      <c r="I2967" s="13" t="n">
        <f aca="false">IFERROR(H2967/$T2967,"")</f>
        <v>0</v>
      </c>
      <c r="J2967" s="12" t="n">
        <f aca="false">COUNTIFS(Cleaned!$C$2:$C$125,2,Cleaned!EL$2:EL$125,5)</f>
        <v>0</v>
      </c>
      <c r="K2967" s="13" t="n">
        <f aca="false">IFERROR(J2967/$T2967,"")</f>
        <v>0</v>
      </c>
      <c r="L2967" s="12" t="n">
        <f aca="false">COUNTIFS(Cleaned!$C$2:$C$125,2,Cleaned!EL$2:EL$125,6)</f>
        <v>0</v>
      </c>
      <c r="M2967" s="13" t="n">
        <f aca="false">IFERROR(L2967/$T2967,"")</f>
        <v>0</v>
      </c>
      <c r="N2967" s="12" t="n">
        <f aca="false">COUNTIFS(Cleaned!$C$2:$C$125,2,Cleaned!EL$2:EL$125,7)</f>
        <v>0</v>
      </c>
      <c r="O2967" s="13" t="n">
        <f aca="false">IFERROR(N2967/$T2967,"")</f>
        <v>0</v>
      </c>
      <c r="P2967" s="12" t="n">
        <f aca="false">COUNTIFS(Cleaned!$C$2:$C$125,2,Cleaned!EL$2:EL$125,8)</f>
        <v>0</v>
      </c>
      <c r="Q2967" s="13" t="n">
        <f aca="false">IFERROR(P2967/$T2967,"")</f>
        <v>0</v>
      </c>
      <c r="R2967" s="12" t="n">
        <f aca="false">COUNTIFS(Cleaned!$C$2:$C$125,2,Cleaned!EL$2:EL$125,9)</f>
        <v>1</v>
      </c>
      <c r="S2967" s="13" t="n">
        <f aca="false">IFERROR(R2967/$T2967,"")</f>
        <v>0.5</v>
      </c>
      <c r="T2967" s="12" t="n">
        <f aca="false">B2967+D2967+F2967+H2967+J2967+L2967+N2967+P2967+R2967</f>
        <v>2</v>
      </c>
    </row>
    <row r="2968" customFormat="false" ht="15" hidden="false" customHeight="false" outlineLevel="0" collapsed="false">
      <c r="A2968" s="12" t="s">
        <v>700</v>
      </c>
      <c r="B2968" s="12" t="n">
        <f aca="false">COUNTIFS(Cleaned!$C$2:$C$125,3,Cleaned!EL$2:EL$125,1)</f>
        <v>4</v>
      </c>
      <c r="C2968" s="13" t="n">
        <f aca="false">IFERROR(B2968/$T2968,"")</f>
        <v>0.8</v>
      </c>
      <c r="D2968" s="12" t="n">
        <f aca="false">COUNTIFS(Cleaned!$C$2:$C$125,3,Cleaned!EL$2:EL$125,2)</f>
        <v>0</v>
      </c>
      <c r="E2968" s="13" t="n">
        <f aca="false">IFERROR(D2968/$T2968,"")</f>
        <v>0</v>
      </c>
      <c r="F2968" s="12" t="n">
        <f aca="false">COUNTIFS(Cleaned!$C$2:$C$125,3,Cleaned!EL$2:EL$125,3)</f>
        <v>0</v>
      </c>
      <c r="G2968" s="13" t="n">
        <f aca="false">IFERROR(F2968/$T2968,"")</f>
        <v>0</v>
      </c>
      <c r="H2968" s="12" t="n">
        <f aca="false">COUNTIFS(Cleaned!$C$2:$C$125,3,Cleaned!EL$2:EL$125,4)</f>
        <v>0</v>
      </c>
      <c r="I2968" s="13" t="n">
        <f aca="false">IFERROR(H2968/$T2968,"")</f>
        <v>0</v>
      </c>
      <c r="J2968" s="12" t="n">
        <f aca="false">COUNTIFS(Cleaned!$C$2:$C$125,3,Cleaned!EL$2:EL$125,5)</f>
        <v>0</v>
      </c>
      <c r="K2968" s="13" t="n">
        <f aca="false">IFERROR(J2968/$T2968,"")</f>
        <v>0</v>
      </c>
      <c r="L2968" s="12" t="n">
        <f aca="false">COUNTIFS(Cleaned!$C$2:$C$125,3,Cleaned!EL$2:EL$125,6)</f>
        <v>0</v>
      </c>
      <c r="M2968" s="13" t="n">
        <f aca="false">IFERROR(L2968/$T2968,"")</f>
        <v>0</v>
      </c>
      <c r="N2968" s="12" t="n">
        <f aca="false">COUNTIFS(Cleaned!$C$2:$C$125,3,Cleaned!EL$2:EL$125,7)</f>
        <v>0</v>
      </c>
      <c r="O2968" s="13" t="n">
        <f aca="false">IFERROR(N2968/$T2968,"")</f>
        <v>0</v>
      </c>
      <c r="P2968" s="12" t="n">
        <f aca="false">COUNTIFS(Cleaned!$C$2:$C$125,3,Cleaned!EL$2:EL$125,8)</f>
        <v>1</v>
      </c>
      <c r="Q2968" s="13" t="n">
        <f aca="false">IFERROR(P2968/$T2968,"")</f>
        <v>0.2</v>
      </c>
      <c r="R2968" s="12" t="n">
        <f aca="false">COUNTIFS(Cleaned!$C$2:$C$125,3,Cleaned!EL$2:EL$125,9)</f>
        <v>0</v>
      </c>
      <c r="S2968" s="13" t="n">
        <f aca="false">IFERROR(R2968/$T2968,"")</f>
        <v>0</v>
      </c>
      <c r="T2968" s="12" t="n">
        <f aca="false">B2968+D2968+F2968+H2968+J2968+L2968+N2968+P2968+R2968</f>
        <v>5</v>
      </c>
    </row>
    <row r="2969" customFormat="false" ht="15" hidden="false" customHeight="false" outlineLevel="0" collapsed="false">
      <c r="A2969" s="12" t="s">
        <v>701</v>
      </c>
      <c r="B2969" s="12" t="n">
        <f aca="false">COUNTIFS(Cleaned!$C$2:$C$125,4,Cleaned!EL$2:EL$125,1)</f>
        <v>2</v>
      </c>
      <c r="C2969" s="13" t="n">
        <f aca="false">IFERROR(B2969/$T2969,"")</f>
        <v>1</v>
      </c>
      <c r="D2969" s="12" t="n">
        <f aca="false">COUNTIFS(Cleaned!$C$2:$C$125,4,Cleaned!EL$2:EL$125,2)</f>
        <v>0</v>
      </c>
      <c r="E2969" s="13" t="n">
        <f aca="false">IFERROR(D2969/$T2969,"")</f>
        <v>0</v>
      </c>
      <c r="F2969" s="12" t="n">
        <f aca="false">COUNTIFS(Cleaned!$C$2:$C$125,4,Cleaned!EL$2:EL$125,3)</f>
        <v>0</v>
      </c>
      <c r="G2969" s="13" t="n">
        <f aca="false">IFERROR(F2969/$T2969,"")</f>
        <v>0</v>
      </c>
      <c r="H2969" s="12" t="n">
        <f aca="false">COUNTIFS(Cleaned!$C$2:$C$125,4,Cleaned!EL$2:EL$125,4)</f>
        <v>0</v>
      </c>
      <c r="I2969" s="13" t="n">
        <f aca="false">IFERROR(H2969/$T2969,"")</f>
        <v>0</v>
      </c>
      <c r="J2969" s="12" t="n">
        <f aca="false">COUNTIFS(Cleaned!$C$2:$C$125,4,Cleaned!EL$2:EL$125,5)</f>
        <v>0</v>
      </c>
      <c r="K2969" s="13" t="n">
        <f aca="false">IFERROR(J2969/$T2969,"")</f>
        <v>0</v>
      </c>
      <c r="L2969" s="12" t="n">
        <f aca="false">COUNTIFS(Cleaned!$C$2:$C$125,4,Cleaned!EL$2:EL$125,6)</f>
        <v>0</v>
      </c>
      <c r="M2969" s="13" t="n">
        <f aca="false">IFERROR(L2969/$T2969,"")</f>
        <v>0</v>
      </c>
      <c r="N2969" s="12" t="n">
        <f aca="false">COUNTIFS(Cleaned!$C$2:$C$125,4,Cleaned!EL$2:EL$125,7)</f>
        <v>0</v>
      </c>
      <c r="O2969" s="13" t="n">
        <f aca="false">IFERROR(N2969/$T2969,"")</f>
        <v>0</v>
      </c>
      <c r="P2969" s="12" t="n">
        <f aca="false">COUNTIFS(Cleaned!$C$2:$C$125,4,Cleaned!EL$2:EL$125,8)</f>
        <v>0</v>
      </c>
      <c r="Q2969" s="13" t="n">
        <f aca="false">IFERROR(P2969/$T2969,"")</f>
        <v>0</v>
      </c>
      <c r="R2969" s="12" t="n">
        <f aca="false">COUNTIFS(Cleaned!$C$2:$C$125,4,Cleaned!EL$2:EL$125,9)</f>
        <v>0</v>
      </c>
      <c r="S2969" s="13" t="n">
        <f aca="false">IFERROR(R2969/$T2969,"")</f>
        <v>0</v>
      </c>
      <c r="T2969" s="12" t="n">
        <f aca="false">B2969+D2969+F2969+H2969+J2969+L2969+N2969+P2969+R2969</f>
        <v>2</v>
      </c>
    </row>
    <row r="2970" customFormat="false" ht="15" hidden="false" customHeight="false" outlineLevel="0" collapsed="false">
      <c r="A2970" s="12" t="s">
        <v>702</v>
      </c>
      <c r="B2970" s="12" t="n">
        <f aca="false">COUNTIFS(Cleaned!$C$2:$C$125,5,Cleaned!EL$2:EL$125,1)</f>
        <v>3</v>
      </c>
      <c r="C2970" s="13" t="n">
        <f aca="false">IFERROR(B2970/$T2970,"")</f>
        <v>0.333333333333333</v>
      </c>
      <c r="D2970" s="12" t="n">
        <f aca="false">COUNTIFS(Cleaned!$C$2:$C$125,5,Cleaned!EL$2:EL$125,2)</f>
        <v>1</v>
      </c>
      <c r="E2970" s="13" t="n">
        <f aca="false">IFERROR(D2970/$T2970,"")</f>
        <v>0.111111111111111</v>
      </c>
      <c r="F2970" s="12" t="n">
        <f aca="false">COUNTIFS(Cleaned!$C$2:$C$125,5,Cleaned!EL$2:EL$125,3)</f>
        <v>1</v>
      </c>
      <c r="G2970" s="13" t="n">
        <f aca="false">IFERROR(F2970/$T2970,"")</f>
        <v>0.111111111111111</v>
      </c>
      <c r="H2970" s="12" t="n">
        <f aca="false">COUNTIFS(Cleaned!$C$2:$C$125,5,Cleaned!EL$2:EL$125,4)</f>
        <v>1</v>
      </c>
      <c r="I2970" s="13" t="n">
        <f aca="false">IFERROR(H2970/$T2970,"")</f>
        <v>0.111111111111111</v>
      </c>
      <c r="J2970" s="12" t="n">
        <f aca="false">COUNTIFS(Cleaned!$C$2:$C$125,5,Cleaned!EL$2:EL$125,5)</f>
        <v>0</v>
      </c>
      <c r="K2970" s="13" t="n">
        <f aca="false">IFERROR(J2970/$T2970,"")</f>
        <v>0</v>
      </c>
      <c r="L2970" s="12" t="n">
        <f aca="false">COUNTIFS(Cleaned!$C$2:$C$125,5,Cleaned!EL$2:EL$125,6)</f>
        <v>0</v>
      </c>
      <c r="M2970" s="13" t="n">
        <f aca="false">IFERROR(L2970/$T2970,"")</f>
        <v>0</v>
      </c>
      <c r="N2970" s="12" t="n">
        <f aca="false">COUNTIFS(Cleaned!$C$2:$C$125,5,Cleaned!EL$2:EL$125,7)</f>
        <v>3</v>
      </c>
      <c r="O2970" s="13" t="n">
        <f aca="false">IFERROR(N2970/$T2970,"")</f>
        <v>0.333333333333333</v>
      </c>
      <c r="P2970" s="12" t="n">
        <f aca="false">COUNTIFS(Cleaned!$C$2:$C$125,5,Cleaned!EL$2:EL$125,8)</f>
        <v>0</v>
      </c>
      <c r="Q2970" s="13" t="n">
        <f aca="false">IFERROR(P2970/$T2970,"")</f>
        <v>0</v>
      </c>
      <c r="R2970" s="12" t="n">
        <f aca="false">COUNTIFS(Cleaned!$C$2:$C$125,5,Cleaned!EL$2:EL$125,9)</f>
        <v>0</v>
      </c>
      <c r="S2970" s="13" t="n">
        <f aca="false">IFERROR(R2970/$T2970,"")</f>
        <v>0</v>
      </c>
      <c r="T2970" s="12" t="n">
        <f aca="false">B2970+D2970+F2970+H2970+J2970+L2970+N2970+P2970+R2970</f>
        <v>9</v>
      </c>
    </row>
    <row r="2971" customFormat="false" ht="15" hidden="false" customHeight="false" outlineLevel="0" collapsed="false">
      <c r="A2971" s="11" t="s">
        <v>703</v>
      </c>
      <c r="B2971" s="11" t="n">
        <f aca="false">SUM(B2966:B2970)</f>
        <v>11</v>
      </c>
      <c r="C2971" s="14" t="n">
        <f aca="false">IFERROR(B2971/$T2971,"")</f>
        <v>0.55</v>
      </c>
      <c r="D2971" s="11" t="n">
        <f aca="false">SUM(D2966:D2970)</f>
        <v>1</v>
      </c>
      <c r="E2971" s="14" t="n">
        <f aca="false">IFERROR(D2971/$T2971,"")</f>
        <v>0.05</v>
      </c>
      <c r="F2971" s="11" t="n">
        <f aca="false">SUM(F2966:F2970)</f>
        <v>1</v>
      </c>
      <c r="G2971" s="14" t="n">
        <f aca="false">IFERROR(F2971/$T2971,"")</f>
        <v>0.05</v>
      </c>
      <c r="H2971" s="11" t="n">
        <f aca="false">SUM(H2966:H2970)</f>
        <v>1</v>
      </c>
      <c r="I2971" s="14" t="n">
        <f aca="false">IFERROR(H2971/$T2971,"")</f>
        <v>0.05</v>
      </c>
      <c r="J2971" s="11" t="n">
        <f aca="false">SUM(J2966:J2970)</f>
        <v>0</v>
      </c>
      <c r="K2971" s="14" t="n">
        <f aca="false">IFERROR(J2971/$T2971,"")</f>
        <v>0</v>
      </c>
      <c r="L2971" s="11" t="n">
        <f aca="false">SUM(L2966:L2970)</f>
        <v>0</v>
      </c>
      <c r="M2971" s="14" t="n">
        <f aca="false">IFERROR(L2971/$T2971,"")</f>
        <v>0</v>
      </c>
      <c r="N2971" s="11" t="n">
        <f aca="false">SUM(N2966:N2970)</f>
        <v>3</v>
      </c>
      <c r="O2971" s="14" t="n">
        <f aca="false">IFERROR(N2971/$T2971,"")</f>
        <v>0.15</v>
      </c>
      <c r="P2971" s="11" t="n">
        <f aca="false">SUM(P2966:P2970)</f>
        <v>2</v>
      </c>
      <c r="Q2971" s="14" t="n">
        <f aca="false">IFERROR(P2971/$T2971,"")</f>
        <v>0.1</v>
      </c>
      <c r="R2971" s="11" t="n">
        <f aca="false">SUM(R2966:R2970)</f>
        <v>1</v>
      </c>
      <c r="S2971" s="14" t="n">
        <f aca="false">IFERROR(R2971/$T2971,"")</f>
        <v>0.05</v>
      </c>
      <c r="T2971" s="11" t="n">
        <f aca="false">SUM(T2966:T2970)</f>
        <v>20</v>
      </c>
    </row>
    <row r="2972" customFormat="false" ht="15" hidden="false" customHeight="false" outlineLevel="0" collapsed="false">
      <c r="A2972" s="11" t="s">
        <v>3</v>
      </c>
    </row>
    <row r="2973" customFormat="false" ht="15" hidden="false" customHeight="false" outlineLevel="0" collapsed="false">
      <c r="A2973" s="12" t="s">
        <v>704</v>
      </c>
      <c r="B2973" s="12" t="n">
        <f aca="false">COUNTIFS(Cleaned!$D$2:$D$125,1,Cleaned!EL$2:EL$125,1)</f>
        <v>2</v>
      </c>
      <c r="C2973" s="13" t="n">
        <f aca="false">IFERROR(B2973/$T2973,"")</f>
        <v>0.666666666666667</v>
      </c>
      <c r="D2973" s="12" t="n">
        <f aca="false">COUNTIFS(Cleaned!$D$2:$D$125,1,Cleaned!EL$2:EL$125,2)</f>
        <v>1</v>
      </c>
      <c r="E2973" s="13" t="n">
        <f aca="false">IFERROR(D2973/$T2973,"")</f>
        <v>0.333333333333333</v>
      </c>
      <c r="F2973" s="12" t="n">
        <f aca="false">COUNTIFS(Cleaned!$D$2:$D$125,1,Cleaned!EL$2:EL$125,3)</f>
        <v>0</v>
      </c>
      <c r="G2973" s="13" t="n">
        <f aca="false">IFERROR(F2973/$T2973,"")</f>
        <v>0</v>
      </c>
      <c r="H2973" s="12" t="n">
        <f aca="false">COUNTIFS(Cleaned!$D$2:$D$125,1,Cleaned!EL$2:EL$125,4)</f>
        <v>0</v>
      </c>
      <c r="I2973" s="13" t="n">
        <f aca="false">IFERROR(H2973/$T2973,"")</f>
        <v>0</v>
      </c>
      <c r="J2973" s="12" t="n">
        <f aca="false">COUNTIFS(Cleaned!$D$2:$D$125,1,Cleaned!EL$2:EL$125,5)</f>
        <v>0</v>
      </c>
      <c r="K2973" s="13" t="n">
        <f aca="false">IFERROR(J2973/$T2973,"")</f>
        <v>0</v>
      </c>
      <c r="L2973" s="12" t="n">
        <f aca="false">COUNTIFS(Cleaned!$D$2:$D$125,1,Cleaned!EL$2:EL$125,6)</f>
        <v>0</v>
      </c>
      <c r="M2973" s="13" t="n">
        <f aca="false">IFERROR(L2973/$T2973,"")</f>
        <v>0</v>
      </c>
      <c r="N2973" s="12" t="n">
        <f aca="false">COUNTIFS(Cleaned!$D$2:$D$125,1,Cleaned!EL$2:EL$125,7)</f>
        <v>0</v>
      </c>
      <c r="O2973" s="13" t="n">
        <f aca="false">IFERROR(N2973/$T2973,"")</f>
        <v>0</v>
      </c>
      <c r="P2973" s="12" t="n">
        <f aca="false">COUNTIFS(Cleaned!$D$2:$D$125,1,Cleaned!EL$2:EL$125,8)</f>
        <v>0</v>
      </c>
      <c r="Q2973" s="13" t="n">
        <f aca="false">IFERROR(P2973/$T2973,"")</f>
        <v>0</v>
      </c>
      <c r="R2973" s="12" t="n">
        <f aca="false">COUNTIFS(Cleaned!$D$2:$D$125,1,Cleaned!EL$2:EL$125,9)</f>
        <v>0</v>
      </c>
      <c r="S2973" s="13" t="n">
        <f aca="false">IFERROR(R2973/$T2973,"")</f>
        <v>0</v>
      </c>
      <c r="T2973" s="12" t="n">
        <f aca="false">B2973+D2973+F2973+H2973+J2973+L2973+N2973+P2973+R2973</f>
        <v>3</v>
      </c>
    </row>
    <row r="2974" customFormat="false" ht="15" hidden="false" customHeight="false" outlineLevel="0" collapsed="false">
      <c r="A2974" s="12" t="s">
        <v>705</v>
      </c>
      <c r="B2974" s="12" t="n">
        <f aca="false">COUNTIFS(Cleaned!$D$2:$D$125,2,Cleaned!EL$2:EL$125,1)</f>
        <v>1</v>
      </c>
      <c r="C2974" s="13" t="n">
        <f aca="false">IFERROR(B2974/$T2974,"")</f>
        <v>0.166666666666667</v>
      </c>
      <c r="D2974" s="12" t="n">
        <f aca="false">COUNTIFS(Cleaned!$D$2:$D$125,2,Cleaned!EL$2:EL$125,2)</f>
        <v>0</v>
      </c>
      <c r="E2974" s="13" t="n">
        <f aca="false">IFERROR(D2974/$T2974,"")</f>
        <v>0</v>
      </c>
      <c r="F2974" s="12" t="n">
        <f aca="false">COUNTIFS(Cleaned!$D$2:$D$125,2,Cleaned!EL$2:EL$125,3)</f>
        <v>1</v>
      </c>
      <c r="G2974" s="13" t="n">
        <f aca="false">IFERROR(F2974/$T2974,"")</f>
        <v>0.166666666666667</v>
      </c>
      <c r="H2974" s="12" t="n">
        <f aca="false">COUNTIFS(Cleaned!$D$2:$D$125,2,Cleaned!EL$2:EL$125,4)</f>
        <v>1</v>
      </c>
      <c r="I2974" s="13" t="n">
        <f aca="false">IFERROR(H2974/$T2974,"")</f>
        <v>0.166666666666667</v>
      </c>
      <c r="J2974" s="12" t="n">
        <f aca="false">COUNTIFS(Cleaned!$D$2:$D$125,2,Cleaned!EL$2:EL$125,5)</f>
        <v>0</v>
      </c>
      <c r="K2974" s="13" t="n">
        <f aca="false">IFERROR(J2974/$T2974,"")</f>
        <v>0</v>
      </c>
      <c r="L2974" s="12" t="n">
        <f aca="false">COUNTIFS(Cleaned!$D$2:$D$125,2,Cleaned!EL$2:EL$125,6)</f>
        <v>0</v>
      </c>
      <c r="M2974" s="13" t="n">
        <f aca="false">IFERROR(L2974/$T2974,"")</f>
        <v>0</v>
      </c>
      <c r="N2974" s="12" t="n">
        <f aca="false">COUNTIFS(Cleaned!$D$2:$D$125,2,Cleaned!EL$2:EL$125,7)</f>
        <v>3</v>
      </c>
      <c r="O2974" s="13" t="n">
        <f aca="false">IFERROR(N2974/$T2974,"")</f>
        <v>0.5</v>
      </c>
      <c r="P2974" s="12" t="n">
        <f aca="false">COUNTIFS(Cleaned!$D$2:$D$125,2,Cleaned!EL$2:EL$125,8)</f>
        <v>0</v>
      </c>
      <c r="Q2974" s="13" t="n">
        <f aca="false">IFERROR(P2974/$T2974,"")</f>
        <v>0</v>
      </c>
      <c r="R2974" s="12" t="n">
        <f aca="false">COUNTIFS(Cleaned!$D$2:$D$125,2,Cleaned!EL$2:EL$125,9)</f>
        <v>0</v>
      </c>
      <c r="S2974" s="13" t="n">
        <f aca="false">IFERROR(R2974/$T2974,"")</f>
        <v>0</v>
      </c>
      <c r="T2974" s="12" t="n">
        <f aca="false">B2974+D2974+F2974+H2974+J2974+L2974+N2974+P2974+R2974</f>
        <v>6</v>
      </c>
    </row>
    <row r="2975" customFormat="false" ht="15" hidden="false" customHeight="false" outlineLevel="0" collapsed="false">
      <c r="A2975" s="12" t="s">
        <v>706</v>
      </c>
      <c r="B2975" s="12" t="n">
        <f aca="false">COUNTIFS(Cleaned!$D$2:$D$125,3,Cleaned!EL$2:EL$125,1)</f>
        <v>1</v>
      </c>
      <c r="C2975" s="13" t="n">
        <f aca="false">IFERROR(B2975/$T2975,"")</f>
        <v>0.5</v>
      </c>
      <c r="D2975" s="12" t="n">
        <f aca="false">COUNTIFS(Cleaned!$D$2:$D$125,3,Cleaned!EL$2:EL$125,2)</f>
        <v>0</v>
      </c>
      <c r="E2975" s="13" t="n">
        <f aca="false">IFERROR(D2975/$T2975,"")</f>
        <v>0</v>
      </c>
      <c r="F2975" s="12" t="n">
        <f aca="false">COUNTIFS(Cleaned!$D$2:$D$125,3,Cleaned!EL$2:EL$125,3)</f>
        <v>0</v>
      </c>
      <c r="G2975" s="13" t="n">
        <f aca="false">IFERROR(F2975/$T2975,"")</f>
        <v>0</v>
      </c>
      <c r="H2975" s="12" t="n">
        <f aca="false">COUNTIFS(Cleaned!$D$2:$D$125,3,Cleaned!EL$2:EL$125,4)</f>
        <v>0</v>
      </c>
      <c r="I2975" s="13" t="n">
        <f aca="false">IFERROR(H2975/$T2975,"")</f>
        <v>0</v>
      </c>
      <c r="J2975" s="12" t="n">
        <f aca="false">COUNTIFS(Cleaned!$D$2:$D$125,3,Cleaned!EL$2:EL$125,5)</f>
        <v>0</v>
      </c>
      <c r="K2975" s="13" t="n">
        <f aca="false">IFERROR(J2975/$T2975,"")</f>
        <v>0</v>
      </c>
      <c r="L2975" s="12" t="n">
        <f aca="false">COUNTIFS(Cleaned!$D$2:$D$125,3,Cleaned!EL$2:EL$125,6)</f>
        <v>0</v>
      </c>
      <c r="M2975" s="13" t="n">
        <f aca="false">IFERROR(L2975/$T2975,"")</f>
        <v>0</v>
      </c>
      <c r="N2975" s="12" t="n">
        <f aca="false">COUNTIFS(Cleaned!$D$2:$D$125,3,Cleaned!EL$2:EL$125,7)</f>
        <v>0</v>
      </c>
      <c r="O2975" s="13" t="n">
        <f aca="false">IFERROR(N2975/$T2975,"")</f>
        <v>0</v>
      </c>
      <c r="P2975" s="12" t="n">
        <f aca="false">COUNTIFS(Cleaned!$D$2:$D$125,3,Cleaned!EL$2:EL$125,8)</f>
        <v>1</v>
      </c>
      <c r="Q2975" s="13" t="n">
        <f aca="false">IFERROR(P2975/$T2975,"")</f>
        <v>0.5</v>
      </c>
      <c r="R2975" s="12" t="n">
        <f aca="false">COUNTIFS(Cleaned!$D$2:$D$125,3,Cleaned!EL$2:EL$125,9)</f>
        <v>0</v>
      </c>
      <c r="S2975" s="13" t="n">
        <f aca="false">IFERROR(R2975/$T2975,"")</f>
        <v>0</v>
      </c>
      <c r="T2975" s="12" t="n">
        <f aca="false">B2975+D2975+F2975+H2975+J2975+L2975+N2975+P2975+R2975</f>
        <v>2</v>
      </c>
    </row>
    <row r="2976" customFormat="false" ht="15" hidden="false" customHeight="false" outlineLevel="0" collapsed="false">
      <c r="A2976" s="12" t="s">
        <v>707</v>
      </c>
      <c r="B2976" s="12" t="n">
        <f aca="false">COUNTIFS(Cleaned!$D$2:$D$125,4,Cleaned!EL$2:EL$125,1)</f>
        <v>2</v>
      </c>
      <c r="C2976" s="13" t="n">
        <f aca="false">IFERROR(B2976/$T2976,"")</f>
        <v>1</v>
      </c>
      <c r="D2976" s="12" t="n">
        <f aca="false">COUNTIFS(Cleaned!$D$2:$D$125,4,Cleaned!EL$2:EL$125,2)</f>
        <v>0</v>
      </c>
      <c r="E2976" s="13" t="n">
        <f aca="false">IFERROR(D2976/$T2976,"")</f>
        <v>0</v>
      </c>
      <c r="F2976" s="12" t="n">
        <f aca="false">COUNTIFS(Cleaned!$D$2:$D$125,4,Cleaned!EL$2:EL$125,3)</f>
        <v>0</v>
      </c>
      <c r="G2976" s="13" t="n">
        <f aca="false">IFERROR(F2976/$T2976,"")</f>
        <v>0</v>
      </c>
      <c r="H2976" s="12" t="n">
        <f aca="false">COUNTIFS(Cleaned!$D$2:$D$125,4,Cleaned!EL$2:EL$125,4)</f>
        <v>0</v>
      </c>
      <c r="I2976" s="13" t="n">
        <f aca="false">IFERROR(H2976/$T2976,"")</f>
        <v>0</v>
      </c>
      <c r="J2976" s="12" t="n">
        <f aca="false">COUNTIFS(Cleaned!$D$2:$D$125,4,Cleaned!EL$2:EL$125,5)</f>
        <v>0</v>
      </c>
      <c r="K2976" s="13" t="n">
        <f aca="false">IFERROR(J2976/$T2976,"")</f>
        <v>0</v>
      </c>
      <c r="L2976" s="12" t="n">
        <f aca="false">COUNTIFS(Cleaned!$D$2:$D$125,4,Cleaned!EL$2:EL$125,6)</f>
        <v>0</v>
      </c>
      <c r="M2976" s="13" t="n">
        <f aca="false">IFERROR(L2976/$T2976,"")</f>
        <v>0</v>
      </c>
      <c r="N2976" s="12" t="n">
        <f aca="false">COUNTIFS(Cleaned!$D$2:$D$125,4,Cleaned!EL$2:EL$125,7)</f>
        <v>0</v>
      </c>
      <c r="O2976" s="13" t="n">
        <f aca="false">IFERROR(N2976/$T2976,"")</f>
        <v>0</v>
      </c>
      <c r="P2976" s="12" t="n">
        <f aca="false">COUNTIFS(Cleaned!$D$2:$D$125,4,Cleaned!EL$2:EL$125,8)</f>
        <v>0</v>
      </c>
      <c r="Q2976" s="13" t="n">
        <f aca="false">IFERROR(P2976/$T2976,"")</f>
        <v>0</v>
      </c>
      <c r="R2976" s="12" t="n">
        <f aca="false">COUNTIFS(Cleaned!$D$2:$D$125,4,Cleaned!EL$2:EL$125,9)</f>
        <v>0</v>
      </c>
      <c r="S2976" s="13" t="n">
        <f aca="false">IFERROR(R2976/$T2976,"")</f>
        <v>0</v>
      </c>
      <c r="T2976" s="12" t="n">
        <f aca="false">B2976+D2976+F2976+H2976+J2976+L2976+N2976+P2976+R2976</f>
        <v>2</v>
      </c>
    </row>
    <row r="2977" customFormat="false" ht="15" hidden="false" customHeight="false" outlineLevel="0" collapsed="false">
      <c r="A2977" s="12" t="s">
        <v>708</v>
      </c>
      <c r="B2977" s="12" t="n">
        <f aca="false">COUNTIFS(Cleaned!$D$2:$D$125,5,Cleaned!EL$2:EL$125,1)</f>
        <v>0</v>
      </c>
      <c r="C2977" s="13" t="str">
        <f aca="false">IFERROR(B2977/$T2977,"")</f>
        <v/>
      </c>
      <c r="D2977" s="12" t="n">
        <f aca="false">COUNTIFS(Cleaned!$D$2:$D$125,5,Cleaned!EL$2:EL$125,2)</f>
        <v>0</v>
      </c>
      <c r="E2977" s="13" t="str">
        <f aca="false">IFERROR(D2977/$T2977,"")</f>
        <v/>
      </c>
      <c r="F2977" s="12" t="n">
        <f aca="false">COUNTIFS(Cleaned!$D$2:$D$125,5,Cleaned!EL$2:EL$125,3)</f>
        <v>0</v>
      </c>
      <c r="G2977" s="13" t="str">
        <f aca="false">IFERROR(F2977/$T2977,"")</f>
        <v/>
      </c>
      <c r="H2977" s="12" t="n">
        <f aca="false">COUNTIFS(Cleaned!$D$2:$D$125,5,Cleaned!EL$2:EL$125,4)</f>
        <v>0</v>
      </c>
      <c r="I2977" s="13" t="str">
        <f aca="false">IFERROR(H2977/$T2977,"")</f>
        <v/>
      </c>
      <c r="J2977" s="12" t="n">
        <f aca="false">COUNTIFS(Cleaned!$D$2:$D$125,5,Cleaned!EL$2:EL$125,5)</f>
        <v>0</v>
      </c>
      <c r="K2977" s="13" t="str">
        <f aca="false">IFERROR(J2977/$T2977,"")</f>
        <v/>
      </c>
      <c r="L2977" s="12" t="n">
        <f aca="false">COUNTIFS(Cleaned!$D$2:$D$125,5,Cleaned!EL$2:EL$125,6)</f>
        <v>0</v>
      </c>
      <c r="M2977" s="13" t="str">
        <f aca="false">IFERROR(L2977/$T2977,"")</f>
        <v/>
      </c>
      <c r="N2977" s="12" t="n">
        <f aca="false">COUNTIFS(Cleaned!$D$2:$D$125,5,Cleaned!EL$2:EL$125,7)</f>
        <v>0</v>
      </c>
      <c r="O2977" s="13" t="str">
        <f aca="false">IFERROR(N2977/$T2977,"")</f>
        <v/>
      </c>
      <c r="P2977" s="12" t="n">
        <f aca="false">COUNTIFS(Cleaned!$D$2:$D$125,5,Cleaned!EL$2:EL$125,8)</f>
        <v>0</v>
      </c>
      <c r="Q2977" s="13" t="str">
        <f aca="false">IFERROR(P2977/$T2977,"")</f>
        <v/>
      </c>
      <c r="R2977" s="12" t="n">
        <f aca="false">COUNTIFS(Cleaned!$D$2:$D$125,5,Cleaned!EL$2:EL$125,9)</f>
        <v>0</v>
      </c>
      <c r="S2977" s="13" t="str">
        <f aca="false">IFERROR(R2977/$T2977,"")</f>
        <v/>
      </c>
      <c r="T2977" s="12" t="n">
        <f aca="false">B2977+D2977+F2977+H2977+J2977+L2977+N2977+P2977+R2977</f>
        <v>0</v>
      </c>
    </row>
    <row r="2978" customFormat="false" ht="15" hidden="false" customHeight="false" outlineLevel="0" collapsed="false">
      <c r="A2978" s="12" t="s">
        <v>709</v>
      </c>
      <c r="B2978" s="12" t="n">
        <f aca="false">COUNTIFS(Cleaned!$D$2:$D$125,6,Cleaned!EL$2:EL$125,1)</f>
        <v>1</v>
      </c>
      <c r="C2978" s="13" t="n">
        <f aca="false">IFERROR(B2978/$T2978,"")</f>
        <v>1</v>
      </c>
      <c r="D2978" s="12" t="n">
        <f aca="false">COUNTIFS(Cleaned!$D$2:$D$125,6,Cleaned!EL$2:EL$125,2)</f>
        <v>0</v>
      </c>
      <c r="E2978" s="13" t="n">
        <f aca="false">IFERROR(D2978/$T2978,"")</f>
        <v>0</v>
      </c>
      <c r="F2978" s="12" t="n">
        <f aca="false">COUNTIFS(Cleaned!$D$2:$D$125,6,Cleaned!EL$2:EL$125,3)</f>
        <v>0</v>
      </c>
      <c r="G2978" s="13" t="n">
        <f aca="false">IFERROR(F2978/$T2978,"")</f>
        <v>0</v>
      </c>
      <c r="H2978" s="12" t="n">
        <f aca="false">COUNTIFS(Cleaned!$D$2:$D$125,6,Cleaned!EL$2:EL$125,4)</f>
        <v>0</v>
      </c>
      <c r="I2978" s="13" t="n">
        <f aca="false">IFERROR(H2978/$T2978,"")</f>
        <v>0</v>
      </c>
      <c r="J2978" s="12" t="n">
        <f aca="false">COUNTIFS(Cleaned!$D$2:$D$125,6,Cleaned!EL$2:EL$125,5)</f>
        <v>0</v>
      </c>
      <c r="K2978" s="13" t="n">
        <f aca="false">IFERROR(J2978/$T2978,"")</f>
        <v>0</v>
      </c>
      <c r="L2978" s="12" t="n">
        <f aca="false">COUNTIFS(Cleaned!$D$2:$D$125,6,Cleaned!EL$2:EL$125,6)</f>
        <v>0</v>
      </c>
      <c r="M2978" s="13" t="n">
        <f aca="false">IFERROR(L2978/$T2978,"")</f>
        <v>0</v>
      </c>
      <c r="N2978" s="12" t="n">
        <f aca="false">COUNTIFS(Cleaned!$D$2:$D$125,6,Cleaned!EL$2:EL$125,7)</f>
        <v>0</v>
      </c>
      <c r="O2978" s="13" t="n">
        <f aca="false">IFERROR(N2978/$T2978,"")</f>
        <v>0</v>
      </c>
      <c r="P2978" s="12" t="n">
        <f aca="false">COUNTIFS(Cleaned!$D$2:$D$125,6,Cleaned!EL$2:EL$125,8)</f>
        <v>0</v>
      </c>
      <c r="Q2978" s="13" t="n">
        <f aca="false">IFERROR(P2978/$T2978,"")</f>
        <v>0</v>
      </c>
      <c r="R2978" s="12" t="n">
        <f aca="false">COUNTIFS(Cleaned!$D$2:$D$125,6,Cleaned!EL$2:EL$125,9)</f>
        <v>0</v>
      </c>
      <c r="S2978" s="13" t="n">
        <f aca="false">IFERROR(R2978/$T2978,"")</f>
        <v>0</v>
      </c>
      <c r="T2978" s="12" t="n">
        <f aca="false">B2978+D2978+F2978+H2978+J2978+L2978+N2978+P2978+R2978</f>
        <v>1</v>
      </c>
    </row>
    <row r="2979" customFormat="false" ht="15" hidden="false" customHeight="false" outlineLevel="0" collapsed="false">
      <c r="A2979" s="12" t="s">
        <v>710</v>
      </c>
      <c r="B2979" s="12" t="n">
        <f aca="false">COUNTIFS(Cleaned!$D$2:$D$125,7,Cleaned!EL$2:EL$125,1)</f>
        <v>2</v>
      </c>
      <c r="C2979" s="13" t="n">
        <f aca="false">IFERROR(B2979/$T2979,"")</f>
        <v>1</v>
      </c>
      <c r="D2979" s="12" t="n">
        <f aca="false">COUNTIFS(Cleaned!$D$2:$D$125,7,Cleaned!EL$2:EL$125,2)</f>
        <v>0</v>
      </c>
      <c r="E2979" s="13" t="n">
        <f aca="false">IFERROR(D2979/$T2979,"")</f>
        <v>0</v>
      </c>
      <c r="F2979" s="12" t="n">
        <f aca="false">COUNTIFS(Cleaned!$D$2:$D$125,7,Cleaned!EL$2:EL$125,3)</f>
        <v>0</v>
      </c>
      <c r="G2979" s="13" t="n">
        <f aca="false">IFERROR(F2979/$T2979,"")</f>
        <v>0</v>
      </c>
      <c r="H2979" s="12" t="n">
        <f aca="false">COUNTIFS(Cleaned!$D$2:$D$125,7,Cleaned!EL$2:EL$125,4)</f>
        <v>0</v>
      </c>
      <c r="I2979" s="13" t="n">
        <f aca="false">IFERROR(H2979/$T2979,"")</f>
        <v>0</v>
      </c>
      <c r="J2979" s="12" t="n">
        <f aca="false">COUNTIFS(Cleaned!$D$2:$D$125,7,Cleaned!EL$2:EL$125,5)</f>
        <v>0</v>
      </c>
      <c r="K2979" s="13" t="n">
        <f aca="false">IFERROR(J2979/$T2979,"")</f>
        <v>0</v>
      </c>
      <c r="L2979" s="12" t="n">
        <f aca="false">COUNTIFS(Cleaned!$D$2:$D$125,7,Cleaned!EL$2:EL$125,6)</f>
        <v>0</v>
      </c>
      <c r="M2979" s="13" t="n">
        <f aca="false">IFERROR(L2979/$T2979,"")</f>
        <v>0</v>
      </c>
      <c r="N2979" s="12" t="n">
        <f aca="false">COUNTIFS(Cleaned!$D$2:$D$125,7,Cleaned!EL$2:EL$125,7)</f>
        <v>0</v>
      </c>
      <c r="O2979" s="13" t="n">
        <f aca="false">IFERROR(N2979/$T2979,"")</f>
        <v>0</v>
      </c>
      <c r="P2979" s="12" t="n">
        <f aca="false">COUNTIFS(Cleaned!$D$2:$D$125,7,Cleaned!EL$2:EL$125,8)</f>
        <v>0</v>
      </c>
      <c r="Q2979" s="13" t="n">
        <f aca="false">IFERROR(P2979/$T2979,"")</f>
        <v>0</v>
      </c>
      <c r="R2979" s="12" t="n">
        <f aca="false">COUNTIFS(Cleaned!$D$2:$D$125,7,Cleaned!EL$2:EL$125,9)</f>
        <v>0</v>
      </c>
      <c r="S2979" s="13" t="n">
        <f aca="false">IFERROR(R2979/$T2979,"")</f>
        <v>0</v>
      </c>
      <c r="T2979" s="12" t="n">
        <f aca="false">B2979+D2979+F2979+H2979+J2979+L2979+N2979+P2979+R2979</f>
        <v>2</v>
      </c>
    </row>
    <row r="2980" customFormat="false" ht="15" hidden="false" customHeight="false" outlineLevel="0" collapsed="false">
      <c r="A2980" s="12" t="s">
        <v>711</v>
      </c>
      <c r="B2980" s="12" t="n">
        <f aca="false">COUNTIFS(Cleaned!$D$2:$D$125,8,Cleaned!EL$2:EL$125,1)</f>
        <v>0</v>
      </c>
      <c r="C2980" s="13" t="n">
        <f aca="false">IFERROR(B2980/$T2980,"")</f>
        <v>0</v>
      </c>
      <c r="D2980" s="12" t="n">
        <f aca="false">COUNTIFS(Cleaned!$D$2:$D$125,8,Cleaned!EL$2:EL$125,2)</f>
        <v>0</v>
      </c>
      <c r="E2980" s="13" t="n">
        <f aca="false">IFERROR(D2980/$T2980,"")</f>
        <v>0</v>
      </c>
      <c r="F2980" s="12" t="n">
        <f aca="false">COUNTIFS(Cleaned!$D$2:$D$125,8,Cleaned!EL$2:EL$125,3)</f>
        <v>0</v>
      </c>
      <c r="G2980" s="13" t="n">
        <f aca="false">IFERROR(F2980/$T2980,"")</f>
        <v>0</v>
      </c>
      <c r="H2980" s="12" t="n">
        <f aca="false">COUNTIFS(Cleaned!$D$2:$D$125,8,Cleaned!EL$2:EL$125,4)</f>
        <v>0</v>
      </c>
      <c r="I2980" s="13" t="n">
        <f aca="false">IFERROR(H2980/$T2980,"")</f>
        <v>0</v>
      </c>
      <c r="J2980" s="12" t="n">
        <f aca="false">COUNTIFS(Cleaned!$D$2:$D$125,8,Cleaned!EL$2:EL$125,5)</f>
        <v>0</v>
      </c>
      <c r="K2980" s="13" t="n">
        <f aca="false">IFERROR(J2980/$T2980,"")</f>
        <v>0</v>
      </c>
      <c r="L2980" s="12" t="n">
        <f aca="false">COUNTIFS(Cleaned!$D$2:$D$125,8,Cleaned!EL$2:EL$125,6)</f>
        <v>0</v>
      </c>
      <c r="M2980" s="13" t="n">
        <f aca="false">IFERROR(L2980/$T2980,"")</f>
        <v>0</v>
      </c>
      <c r="N2980" s="12" t="n">
        <f aca="false">COUNTIFS(Cleaned!$D$2:$D$125,8,Cleaned!EL$2:EL$125,7)</f>
        <v>0</v>
      </c>
      <c r="O2980" s="13" t="n">
        <f aca="false">IFERROR(N2980/$T2980,"")</f>
        <v>0</v>
      </c>
      <c r="P2980" s="12" t="n">
        <f aca="false">COUNTIFS(Cleaned!$D$2:$D$125,8,Cleaned!EL$2:EL$125,8)</f>
        <v>1</v>
      </c>
      <c r="Q2980" s="13" t="n">
        <f aca="false">IFERROR(P2980/$T2980,"")</f>
        <v>1</v>
      </c>
      <c r="R2980" s="12" t="n">
        <f aca="false">COUNTIFS(Cleaned!$D$2:$D$125,8,Cleaned!EL$2:EL$125,9)</f>
        <v>0</v>
      </c>
      <c r="S2980" s="13" t="n">
        <f aca="false">IFERROR(R2980/$T2980,"")</f>
        <v>0</v>
      </c>
      <c r="T2980" s="12" t="n">
        <f aca="false">B2980+D2980+F2980+H2980+J2980+L2980+N2980+P2980+R2980</f>
        <v>1</v>
      </c>
    </row>
    <row r="2981" customFormat="false" ht="15" hidden="false" customHeight="false" outlineLevel="0" collapsed="false">
      <c r="A2981" s="12" t="s">
        <v>712</v>
      </c>
      <c r="B2981" s="12" t="n">
        <f aca="false">COUNTIFS(Cleaned!$D$2:$D$125,9,Cleaned!EL$2:EL$125,1)</f>
        <v>0</v>
      </c>
      <c r="C2981" s="13" t="str">
        <f aca="false">IFERROR(B2981/$T2981,"")</f>
        <v/>
      </c>
      <c r="D2981" s="12" t="n">
        <f aca="false">COUNTIFS(Cleaned!$D$2:$D$125,9,Cleaned!EL$2:EL$125,2)</f>
        <v>0</v>
      </c>
      <c r="E2981" s="13" t="str">
        <f aca="false">IFERROR(D2981/$T2981,"")</f>
        <v/>
      </c>
      <c r="F2981" s="12" t="n">
        <f aca="false">COUNTIFS(Cleaned!$D$2:$D$125,9,Cleaned!EL$2:EL$125,3)</f>
        <v>0</v>
      </c>
      <c r="G2981" s="13" t="str">
        <f aca="false">IFERROR(F2981/$T2981,"")</f>
        <v/>
      </c>
      <c r="H2981" s="12" t="n">
        <f aca="false">COUNTIFS(Cleaned!$D$2:$D$125,9,Cleaned!EL$2:EL$125,4)</f>
        <v>0</v>
      </c>
      <c r="I2981" s="13" t="str">
        <f aca="false">IFERROR(H2981/$T2981,"")</f>
        <v/>
      </c>
      <c r="J2981" s="12" t="n">
        <f aca="false">COUNTIFS(Cleaned!$D$2:$D$125,9,Cleaned!EL$2:EL$125,5)</f>
        <v>0</v>
      </c>
      <c r="K2981" s="13" t="str">
        <f aca="false">IFERROR(J2981/$T2981,"")</f>
        <v/>
      </c>
      <c r="L2981" s="12" t="n">
        <f aca="false">COUNTIFS(Cleaned!$D$2:$D$125,9,Cleaned!EL$2:EL$125,6)</f>
        <v>0</v>
      </c>
      <c r="M2981" s="13" t="str">
        <f aca="false">IFERROR(L2981/$T2981,"")</f>
        <v/>
      </c>
      <c r="N2981" s="12" t="n">
        <f aca="false">COUNTIFS(Cleaned!$D$2:$D$125,9,Cleaned!EL$2:EL$125,7)</f>
        <v>0</v>
      </c>
      <c r="O2981" s="13" t="str">
        <f aca="false">IFERROR(N2981/$T2981,"")</f>
        <v/>
      </c>
      <c r="P2981" s="12" t="n">
        <f aca="false">COUNTIFS(Cleaned!$D$2:$D$125,9,Cleaned!EL$2:EL$125,8)</f>
        <v>0</v>
      </c>
      <c r="Q2981" s="13" t="str">
        <f aca="false">IFERROR(P2981/$T2981,"")</f>
        <v/>
      </c>
      <c r="R2981" s="12" t="n">
        <f aca="false">COUNTIFS(Cleaned!$D$2:$D$125,9,Cleaned!EL$2:EL$125,9)</f>
        <v>0</v>
      </c>
      <c r="S2981" s="13" t="str">
        <f aca="false">IFERROR(R2981/$T2981,"")</f>
        <v/>
      </c>
      <c r="T2981" s="12" t="n">
        <f aca="false">B2981+D2981+F2981+H2981+J2981+L2981+N2981+P2981+R2981</f>
        <v>0</v>
      </c>
    </row>
    <row r="2982" customFormat="false" ht="15" hidden="false" customHeight="false" outlineLevel="0" collapsed="false">
      <c r="A2982" s="12" t="s">
        <v>713</v>
      </c>
      <c r="B2982" s="12" t="n">
        <f aca="false">COUNTIFS(Cleaned!$D$2:$D$125,10,Cleaned!EL$2:EL$125,1)</f>
        <v>0</v>
      </c>
      <c r="C2982" s="13" t="str">
        <f aca="false">IFERROR(B2982/$T2982,"")</f>
        <v/>
      </c>
      <c r="D2982" s="12" t="n">
        <f aca="false">COUNTIFS(Cleaned!$D$2:$D$125,10,Cleaned!EL$2:EL$125,2)</f>
        <v>0</v>
      </c>
      <c r="E2982" s="13" t="str">
        <f aca="false">IFERROR(D2982/$T2982,"")</f>
        <v/>
      </c>
      <c r="F2982" s="12" t="n">
        <f aca="false">COUNTIFS(Cleaned!$D$2:$D$125,10,Cleaned!EL$2:EL$125,3)</f>
        <v>0</v>
      </c>
      <c r="G2982" s="13" t="str">
        <f aca="false">IFERROR(F2982/$T2982,"")</f>
        <v/>
      </c>
      <c r="H2982" s="12" t="n">
        <f aca="false">COUNTIFS(Cleaned!$D$2:$D$125,10,Cleaned!EL$2:EL$125,4)</f>
        <v>0</v>
      </c>
      <c r="I2982" s="13" t="str">
        <f aca="false">IFERROR(H2982/$T2982,"")</f>
        <v/>
      </c>
      <c r="J2982" s="12" t="n">
        <f aca="false">COUNTIFS(Cleaned!$D$2:$D$125,10,Cleaned!EL$2:EL$125,5)</f>
        <v>0</v>
      </c>
      <c r="K2982" s="13" t="str">
        <f aca="false">IFERROR(J2982/$T2982,"")</f>
        <v/>
      </c>
      <c r="L2982" s="12" t="n">
        <f aca="false">COUNTIFS(Cleaned!$D$2:$D$125,10,Cleaned!EL$2:EL$125,6)</f>
        <v>0</v>
      </c>
      <c r="M2982" s="13" t="str">
        <f aca="false">IFERROR(L2982/$T2982,"")</f>
        <v/>
      </c>
      <c r="N2982" s="12" t="n">
        <f aca="false">COUNTIFS(Cleaned!$D$2:$D$125,10,Cleaned!EL$2:EL$125,7)</f>
        <v>0</v>
      </c>
      <c r="O2982" s="13" t="str">
        <f aca="false">IFERROR(N2982/$T2982,"")</f>
        <v/>
      </c>
      <c r="P2982" s="12" t="n">
        <f aca="false">COUNTIFS(Cleaned!$D$2:$D$125,10,Cleaned!EL$2:EL$125,8)</f>
        <v>0</v>
      </c>
      <c r="Q2982" s="13" t="str">
        <f aca="false">IFERROR(P2982/$T2982,"")</f>
        <v/>
      </c>
      <c r="R2982" s="12" t="n">
        <f aca="false">COUNTIFS(Cleaned!$D$2:$D$125,10,Cleaned!EL$2:EL$125,9)</f>
        <v>0</v>
      </c>
      <c r="S2982" s="13" t="str">
        <f aca="false">IFERROR(R2982/$T2982,"")</f>
        <v/>
      </c>
      <c r="T2982" s="12" t="n">
        <f aca="false">B2982+D2982+F2982+H2982+J2982+L2982+N2982+P2982+R2982</f>
        <v>0</v>
      </c>
    </row>
    <row r="2983" customFormat="false" ht="15" hidden="false" customHeight="false" outlineLevel="0" collapsed="false">
      <c r="A2983" s="12" t="s">
        <v>714</v>
      </c>
      <c r="B2983" s="12" t="n">
        <f aca="false">COUNTIFS(Cleaned!$D$2:$D$125,11,Cleaned!EL$2:EL$125,1)</f>
        <v>2</v>
      </c>
      <c r="C2983" s="13" t="n">
        <f aca="false">IFERROR(B2983/$T2983,"")</f>
        <v>0.666666666666667</v>
      </c>
      <c r="D2983" s="12" t="n">
        <f aca="false">COUNTIFS(Cleaned!$D$2:$D$125,11,Cleaned!EL$2:EL$125,2)</f>
        <v>0</v>
      </c>
      <c r="E2983" s="13" t="n">
        <f aca="false">IFERROR(D2983/$T2983,"")</f>
        <v>0</v>
      </c>
      <c r="F2983" s="12" t="n">
        <f aca="false">COUNTIFS(Cleaned!$D$2:$D$125,11,Cleaned!EL$2:EL$125,3)</f>
        <v>0</v>
      </c>
      <c r="G2983" s="13" t="n">
        <f aca="false">IFERROR(F2983/$T2983,"")</f>
        <v>0</v>
      </c>
      <c r="H2983" s="12" t="n">
        <f aca="false">COUNTIFS(Cleaned!$D$2:$D$125,11,Cleaned!EL$2:EL$125,4)</f>
        <v>0</v>
      </c>
      <c r="I2983" s="13" t="n">
        <f aca="false">IFERROR(H2983/$T2983,"")</f>
        <v>0</v>
      </c>
      <c r="J2983" s="12" t="n">
        <f aca="false">COUNTIFS(Cleaned!$D$2:$D$125,11,Cleaned!EL$2:EL$125,5)</f>
        <v>0</v>
      </c>
      <c r="K2983" s="13" t="n">
        <f aca="false">IFERROR(J2983/$T2983,"")</f>
        <v>0</v>
      </c>
      <c r="L2983" s="12" t="n">
        <f aca="false">COUNTIFS(Cleaned!$D$2:$D$125,11,Cleaned!EL$2:EL$125,6)</f>
        <v>0</v>
      </c>
      <c r="M2983" s="13" t="n">
        <f aca="false">IFERROR(L2983/$T2983,"")</f>
        <v>0</v>
      </c>
      <c r="N2983" s="12" t="n">
        <f aca="false">COUNTIFS(Cleaned!$D$2:$D$125,11,Cleaned!EL$2:EL$125,7)</f>
        <v>0</v>
      </c>
      <c r="O2983" s="13" t="n">
        <f aca="false">IFERROR(N2983/$T2983,"")</f>
        <v>0</v>
      </c>
      <c r="P2983" s="12" t="n">
        <f aca="false">COUNTIFS(Cleaned!$D$2:$D$125,11,Cleaned!EL$2:EL$125,8)</f>
        <v>0</v>
      </c>
      <c r="Q2983" s="13" t="n">
        <f aca="false">IFERROR(P2983/$T2983,"")</f>
        <v>0</v>
      </c>
      <c r="R2983" s="12" t="n">
        <f aca="false">COUNTIFS(Cleaned!$D$2:$D$125,11,Cleaned!EL$2:EL$125,9)</f>
        <v>1</v>
      </c>
      <c r="S2983" s="13" t="n">
        <f aca="false">IFERROR(R2983/$T2983,"")</f>
        <v>0.333333333333333</v>
      </c>
      <c r="T2983" s="12" t="n">
        <f aca="false">B2983+D2983+F2983+H2983+J2983+L2983+N2983+P2983+R2983</f>
        <v>3</v>
      </c>
    </row>
    <row r="2984" customFormat="false" ht="15" hidden="false" customHeight="false" outlineLevel="0" collapsed="false">
      <c r="A2984" s="12" t="s">
        <v>715</v>
      </c>
      <c r="B2984" s="12" t="n">
        <f aca="false">COUNTIFS(Cleaned!$D$2:$D$125,12,Cleaned!EL$2:EL$125,1)</f>
        <v>0</v>
      </c>
      <c r="C2984" s="13" t="str">
        <f aca="false">IFERROR(B2984/$T2984,"")</f>
        <v/>
      </c>
      <c r="D2984" s="12" t="n">
        <f aca="false">COUNTIFS(Cleaned!$D$2:$D$125,12,Cleaned!EL$2:EL$125,2)</f>
        <v>0</v>
      </c>
      <c r="E2984" s="13" t="str">
        <f aca="false">IFERROR(D2984/$T2984,"")</f>
        <v/>
      </c>
      <c r="F2984" s="12" t="n">
        <f aca="false">COUNTIFS(Cleaned!$D$2:$D$125,12,Cleaned!EL$2:EL$125,3)</f>
        <v>0</v>
      </c>
      <c r="G2984" s="13" t="str">
        <f aca="false">IFERROR(F2984/$T2984,"")</f>
        <v/>
      </c>
      <c r="H2984" s="12" t="n">
        <f aca="false">COUNTIFS(Cleaned!$D$2:$D$125,12,Cleaned!EL$2:EL$125,4)</f>
        <v>0</v>
      </c>
      <c r="I2984" s="13" t="str">
        <f aca="false">IFERROR(H2984/$T2984,"")</f>
        <v/>
      </c>
      <c r="J2984" s="12" t="n">
        <f aca="false">COUNTIFS(Cleaned!$D$2:$D$125,12,Cleaned!EL$2:EL$125,5)</f>
        <v>0</v>
      </c>
      <c r="K2984" s="13" t="str">
        <f aca="false">IFERROR(J2984/$T2984,"")</f>
        <v/>
      </c>
      <c r="L2984" s="12" t="n">
        <f aca="false">COUNTIFS(Cleaned!$D$2:$D$125,12,Cleaned!EL$2:EL$125,6)</f>
        <v>0</v>
      </c>
      <c r="M2984" s="13" t="str">
        <f aca="false">IFERROR(L2984/$T2984,"")</f>
        <v/>
      </c>
      <c r="N2984" s="12" t="n">
        <f aca="false">COUNTIFS(Cleaned!$D$2:$D$125,12,Cleaned!EL$2:EL$125,7)</f>
        <v>0</v>
      </c>
      <c r="O2984" s="13" t="str">
        <f aca="false">IFERROR(N2984/$T2984,"")</f>
        <v/>
      </c>
      <c r="P2984" s="12" t="n">
        <f aca="false">COUNTIFS(Cleaned!$D$2:$D$125,12,Cleaned!EL$2:EL$125,8)</f>
        <v>0</v>
      </c>
      <c r="Q2984" s="13" t="str">
        <f aca="false">IFERROR(P2984/$T2984,"")</f>
        <v/>
      </c>
      <c r="R2984" s="12" t="n">
        <f aca="false">COUNTIFS(Cleaned!$D$2:$D$125,12,Cleaned!EL$2:EL$125,9)</f>
        <v>0</v>
      </c>
      <c r="S2984" s="13" t="str">
        <f aca="false">IFERROR(R2984/$T2984,"")</f>
        <v/>
      </c>
      <c r="T2984" s="12" t="n">
        <f aca="false">B2984+D2984+F2984+H2984+J2984+L2984+N2984+P2984+R2984</f>
        <v>0</v>
      </c>
    </row>
    <row r="2985" customFormat="false" ht="15" hidden="false" customHeight="false" outlineLevel="0" collapsed="false">
      <c r="A2985" s="11" t="s">
        <v>716</v>
      </c>
      <c r="B2985" s="11" t="n">
        <f aca="false">SUM(B2973:B2984)</f>
        <v>11</v>
      </c>
      <c r="C2985" s="14" t="n">
        <f aca="false">IFERROR(B2985/$T2985,"")</f>
        <v>0.55</v>
      </c>
      <c r="D2985" s="11" t="n">
        <f aca="false">SUM(D2973:D2984)</f>
        <v>1</v>
      </c>
      <c r="E2985" s="14" t="n">
        <f aca="false">IFERROR(D2985/$T2985,"")</f>
        <v>0.05</v>
      </c>
      <c r="F2985" s="11" t="n">
        <f aca="false">SUM(F2973:F2984)</f>
        <v>1</v>
      </c>
      <c r="G2985" s="14" t="n">
        <f aca="false">IFERROR(F2985/$T2985,"")</f>
        <v>0.05</v>
      </c>
      <c r="H2985" s="11" t="n">
        <f aca="false">SUM(H2973:H2984)</f>
        <v>1</v>
      </c>
      <c r="I2985" s="14" t="n">
        <f aca="false">IFERROR(H2985/$T2985,"")</f>
        <v>0.05</v>
      </c>
      <c r="J2985" s="11" t="n">
        <f aca="false">SUM(J2973:J2984)</f>
        <v>0</v>
      </c>
      <c r="K2985" s="14" t="n">
        <f aca="false">IFERROR(J2985/$T2985,"")</f>
        <v>0</v>
      </c>
      <c r="L2985" s="11" t="n">
        <f aca="false">SUM(L2973:L2984)</f>
        <v>0</v>
      </c>
      <c r="M2985" s="14" t="n">
        <f aca="false">IFERROR(L2985/$T2985,"")</f>
        <v>0</v>
      </c>
      <c r="N2985" s="11" t="n">
        <f aca="false">SUM(N2973:N2984)</f>
        <v>3</v>
      </c>
      <c r="O2985" s="14" t="n">
        <f aca="false">IFERROR(N2985/$T2985,"")</f>
        <v>0.15</v>
      </c>
      <c r="P2985" s="11" t="n">
        <f aca="false">SUM(P2973:P2984)</f>
        <v>2</v>
      </c>
      <c r="Q2985" s="14" t="n">
        <f aca="false">IFERROR(P2985/$T2985,"")</f>
        <v>0.1</v>
      </c>
      <c r="R2985" s="11" t="n">
        <f aca="false">SUM(R2973:R2984)</f>
        <v>1</v>
      </c>
      <c r="S2985" s="14" t="n">
        <f aca="false">IFERROR(R2985/$T2985,"")</f>
        <v>0.05</v>
      </c>
      <c r="T2985" s="11" t="n">
        <f aca="false">SUM(T2973:T2984)</f>
        <v>20</v>
      </c>
    </row>
    <row r="2988" customFormat="false" ht="15" hidden="false" customHeight="false" outlineLevel="0" collapsed="false">
      <c r="A2988" s="6" t="s">
        <v>142</v>
      </c>
      <c r="B2988" s="7" t="s">
        <v>875</v>
      </c>
    </row>
    <row r="2989" customFormat="false" ht="15" hidden="false" customHeight="false" outlineLevel="0" collapsed="false">
      <c r="A2989" s="11" t="s">
        <v>734</v>
      </c>
      <c r="B2989" s="9" t="s">
        <v>694</v>
      </c>
      <c r="C2989" s="9" t="s">
        <v>735</v>
      </c>
      <c r="D2989" s="9" t="s">
        <v>736</v>
      </c>
      <c r="E2989" s="9" t="s">
        <v>737</v>
      </c>
      <c r="F2989" s="9" t="s">
        <v>738</v>
      </c>
    </row>
    <row r="2990" customFormat="false" ht="15" hidden="false" customHeight="false" outlineLevel="0" collapsed="false">
      <c r="B2990" s="12" t="n">
        <f aca="false">COUNT(Cleaned!$EM$2:$EM$125)</f>
        <v>34</v>
      </c>
      <c r="C2990" s="12" t="n">
        <f aca="false">IFERROR(AVERAGE(Cleaned!$EM$2:$EM$125),"")</f>
        <v>70684.5375</v>
      </c>
      <c r="D2990" s="12" t="n">
        <f aca="false">IFERROR(MEDIAN(Cleaned!$EM$2:$EM$125),"")</f>
        <v>4.625</v>
      </c>
      <c r="E2990" s="12" t="n">
        <f aca="false">IFERROR(MIN(Cleaned!$EM$2:$EM$125),"")</f>
        <v>0</v>
      </c>
      <c r="F2990" s="12" t="n">
        <f aca="false">IFERROR(MAX(Cleaned!$EM$2:$EM$125),"")</f>
        <v>1753000</v>
      </c>
    </row>
    <row r="2991" customFormat="false" ht="15" hidden="false" customHeight="false" outlineLevel="0" collapsed="false">
      <c r="A2991" s="11" t="s">
        <v>697</v>
      </c>
      <c r="B2991" s="9" t="s">
        <v>739</v>
      </c>
      <c r="C2991" s="9" t="s">
        <v>735</v>
      </c>
    </row>
    <row r="2992" customFormat="false" ht="15" hidden="false" customHeight="false" outlineLevel="0" collapsed="false">
      <c r="A2992" s="12" t="s">
        <v>698</v>
      </c>
      <c r="B2992" s="12" t="n">
        <f aca="false">COUNTIFS(Cleaned!$C$2:$C$125,1,Cleaned!EM$2:EM$125,"&lt;&gt;")</f>
        <v>3</v>
      </c>
      <c r="C2992" s="15" t="n">
        <f aca="false">IF(B2992=0,"",AVERAGEIF(Cleaned!$C$2:$C$125,1,Cleaned!EM$2:EM$125))</f>
        <v>50017.6</v>
      </c>
    </row>
    <row r="2993" customFormat="false" ht="15" hidden="false" customHeight="false" outlineLevel="0" collapsed="false">
      <c r="A2993" s="12" t="s">
        <v>699</v>
      </c>
      <c r="B2993" s="12" t="n">
        <f aca="false">COUNTIFS(Cleaned!$C$2:$C$125,2,Cleaned!EM$2:EM$125,"&lt;&gt;")</f>
        <v>3</v>
      </c>
      <c r="C2993" s="15" t="n">
        <f aca="false">IF(B2993=0,"",AVERAGEIF(Cleaned!$C$2:$C$125,2,Cleaned!EM$2:EM$125))</f>
        <v>166667.45</v>
      </c>
    </row>
    <row r="2994" customFormat="false" ht="15" hidden="false" customHeight="false" outlineLevel="0" collapsed="false">
      <c r="A2994" s="12" t="s">
        <v>700</v>
      </c>
      <c r="B2994" s="12" t="n">
        <f aca="false">COUNTIFS(Cleaned!$C$2:$C$125,3,Cleaned!EM$2:EM$125,"&lt;&gt;")</f>
        <v>8</v>
      </c>
      <c r="C2994" s="15" t="n">
        <f aca="false">IF(B2994=0,"",AVERAGEIF(Cleaned!$C$2:$C$125,3,Cleaned!EM$2:EM$125))</f>
        <v>219126.66875</v>
      </c>
    </row>
    <row r="2995" customFormat="false" ht="15" hidden="false" customHeight="false" outlineLevel="0" collapsed="false">
      <c r="A2995" s="12" t="s">
        <v>701</v>
      </c>
      <c r="B2995" s="12" t="n">
        <f aca="false">COUNTIFS(Cleaned!$C$2:$C$125,4,Cleaned!EM$2:EM$125,"&lt;&gt;")</f>
        <v>7</v>
      </c>
      <c r="C2995" s="15" t="n">
        <f aca="false">IF(B2995=0,"",AVERAGEIF(Cleaned!$C$2:$C$125,4,Cleaned!EM$2:EM$125))</f>
        <v>4.13714285714286</v>
      </c>
    </row>
    <row r="2996" customFormat="false" ht="15" hidden="false" customHeight="false" outlineLevel="0" collapsed="false">
      <c r="A2996" s="12" t="s">
        <v>702</v>
      </c>
      <c r="B2996" s="12" t="n">
        <f aca="false">COUNTIFS(Cleaned!$C$2:$C$125,5,Cleaned!EM$2:EM$125,"&lt;&gt;")</f>
        <v>13</v>
      </c>
      <c r="C2996" s="15" t="n">
        <f aca="false">IF(B2996=0,"",AVERAGEIF(Cleaned!$C$2:$C$125,5,Cleaned!EM$2:EM$125))</f>
        <v>13.6011538461538</v>
      </c>
    </row>
    <row r="2997" customFormat="false" ht="15" hidden="false" customHeight="false" outlineLevel="0" collapsed="false">
      <c r="A2997" s="11" t="s">
        <v>3</v>
      </c>
      <c r="B2997" s="9" t="s">
        <v>739</v>
      </c>
      <c r="C2997" s="9" t="s">
        <v>735</v>
      </c>
    </row>
    <row r="2998" customFormat="false" ht="15" hidden="false" customHeight="false" outlineLevel="0" collapsed="false">
      <c r="A2998" s="12" t="s">
        <v>704</v>
      </c>
      <c r="B2998" s="12" t="n">
        <f aca="false">COUNTIFS(Cleaned!$D$2:$D$125,1,Cleaned!EM$2:EM$125,"&lt;&gt;")</f>
        <v>5</v>
      </c>
      <c r="C2998" s="15" t="n">
        <f aca="false">IF(B2998=0,"",AVERAGEIF(Cleaned!$D$2:$D$125,1,Cleaned!EM$2:EM$125))</f>
        <v>11.67</v>
      </c>
    </row>
    <row r="2999" customFormat="false" ht="15" hidden="false" customHeight="false" outlineLevel="0" collapsed="false">
      <c r="A2999" s="12" t="s">
        <v>705</v>
      </c>
      <c r="B2999" s="12" t="n">
        <f aca="false">COUNTIFS(Cleaned!$D$2:$D$125,2,Cleaned!EM$2:EM$125,"&lt;&gt;")</f>
        <v>8</v>
      </c>
      <c r="C2999" s="15" t="n">
        <f aca="false">IF(B2999=0,"",AVERAGEIF(Cleaned!$D$2:$D$125,2,Cleaned!EM$2:EM$125))</f>
        <v>15.675</v>
      </c>
    </row>
    <row r="3000" customFormat="false" ht="15" hidden="false" customHeight="false" outlineLevel="0" collapsed="false">
      <c r="A3000" s="12" t="s">
        <v>706</v>
      </c>
      <c r="B3000" s="12" t="n">
        <f aca="false">COUNTIFS(Cleaned!$D$2:$D$125,3,Cleaned!EM$2:EM$125,"&lt;&gt;")</f>
        <v>4</v>
      </c>
      <c r="C3000" s="15" t="n">
        <f aca="false">IF(B3000=0,"",AVERAGEIF(Cleaned!$D$2:$D$125,3,Cleaned!EM$2:EM$125))</f>
        <v>125003.82125</v>
      </c>
    </row>
    <row r="3001" customFormat="false" ht="15" hidden="false" customHeight="false" outlineLevel="0" collapsed="false">
      <c r="A3001" s="12" t="s">
        <v>707</v>
      </c>
      <c r="B3001" s="12" t="n">
        <f aca="false">COUNTIFS(Cleaned!$D$2:$D$125,4,Cleaned!EM$2:EM$125,"&lt;&gt;")</f>
        <v>3</v>
      </c>
      <c r="C3001" s="15" t="n">
        <f aca="false">IF(B3001=0,"",AVERAGEIF(Cleaned!$D$2:$D$125,4,Cleaned!EM$2:EM$125))</f>
        <v>3.4</v>
      </c>
    </row>
    <row r="3002" customFormat="false" ht="15" hidden="false" customHeight="false" outlineLevel="0" collapsed="false">
      <c r="A3002" s="12" t="s">
        <v>708</v>
      </c>
      <c r="B3002" s="12" t="n">
        <f aca="false">COUNTIFS(Cleaned!$D$2:$D$125,5,Cleaned!EM$2:EM$125,"&lt;&gt;")</f>
        <v>1</v>
      </c>
      <c r="C3002" s="15" t="n">
        <f aca="false">IF(B3002=0,"",AVERAGEIF(Cleaned!$D$2:$D$125,5,Cleaned!EM$2:EM$125))</f>
        <v>4.5</v>
      </c>
    </row>
    <row r="3003" customFormat="false" ht="15" hidden="false" customHeight="false" outlineLevel="0" collapsed="false">
      <c r="A3003" s="12" t="s">
        <v>709</v>
      </c>
      <c r="B3003" s="12" t="n">
        <f aca="false">COUNTIFS(Cleaned!$D$2:$D$125,6,Cleaned!EM$2:EM$125,"&lt;&gt;")</f>
        <v>2</v>
      </c>
      <c r="C3003" s="15" t="n">
        <f aca="false">IF(B3003=0,"",AVERAGEIF(Cleaned!$D$2:$D$125,6,Cleaned!EM$2:EM$125))</f>
        <v>3.155</v>
      </c>
    </row>
    <row r="3004" customFormat="false" ht="15" hidden="false" customHeight="false" outlineLevel="0" collapsed="false">
      <c r="A3004" s="12" t="s">
        <v>710</v>
      </c>
      <c r="B3004" s="12" t="n">
        <f aca="false">COUNTIFS(Cleaned!$D$2:$D$125,7,Cleaned!EM$2:EM$125,"&lt;&gt;")</f>
        <v>5</v>
      </c>
      <c r="C3004" s="15" t="n">
        <f aca="false">IF(B3004=0,"",AVERAGEIF(Cleaned!$D$2:$D$125,7,Cleaned!EM$2:EM$125))</f>
        <v>350608.266</v>
      </c>
    </row>
    <row r="3005" customFormat="false" ht="15" hidden="false" customHeight="false" outlineLevel="0" collapsed="false">
      <c r="A3005" s="12" t="s">
        <v>711</v>
      </c>
      <c r="B3005" s="12" t="n">
        <f aca="false">COUNTIFS(Cleaned!$D$2:$D$125,8,Cleaned!EM$2:EM$125,"&lt;&gt;")</f>
        <v>2</v>
      </c>
      <c r="C3005" s="15" t="n">
        <f aca="false">IF(B3005=0,"",AVERAGEIF(Cleaned!$D$2:$D$125,8,Cleaned!EM$2:EM$125))</f>
        <v>3.525</v>
      </c>
    </row>
    <row r="3006" customFormat="false" ht="15" hidden="false" customHeight="false" outlineLevel="0" collapsed="false">
      <c r="A3006" s="12" t="s">
        <v>712</v>
      </c>
      <c r="B3006" s="12" t="n">
        <f aca="false">COUNTIFS(Cleaned!$D$2:$D$125,9,Cleaned!EM$2:EM$125,"&lt;&gt;")</f>
        <v>0</v>
      </c>
      <c r="C3006" s="15" t="str">
        <f aca="false">IF(B3006=0,"",AVERAGEIF(Cleaned!$D$2:$D$125,9,Cleaned!EM$2:EM$125))</f>
        <v/>
      </c>
    </row>
    <row r="3007" customFormat="false" ht="15" hidden="false" customHeight="false" outlineLevel="0" collapsed="false">
      <c r="A3007" s="12" t="s">
        <v>713</v>
      </c>
      <c r="B3007" s="12" t="n">
        <f aca="false">COUNTIFS(Cleaned!$D$2:$D$125,10,Cleaned!EM$2:EM$125,"&lt;&gt;")</f>
        <v>0</v>
      </c>
      <c r="C3007" s="15" t="str">
        <f aca="false">IF(B3007=0,"",AVERAGEIF(Cleaned!$D$2:$D$125,10,Cleaned!EM$2:EM$125))</f>
        <v/>
      </c>
    </row>
    <row r="3008" customFormat="false" ht="15" hidden="false" customHeight="false" outlineLevel="0" collapsed="false">
      <c r="A3008" s="12" t="s">
        <v>714</v>
      </c>
      <c r="B3008" s="12" t="n">
        <f aca="false">COUNTIFS(Cleaned!$D$2:$D$125,11,Cleaned!EM$2:EM$125,"&lt;&gt;")</f>
        <v>3</v>
      </c>
      <c r="C3008" s="15" t="n">
        <f aca="false">IF(B3008=0,"",AVERAGEIF(Cleaned!$D$2:$D$125,11,Cleaned!EM$2:EM$125))</f>
        <v>1.95</v>
      </c>
    </row>
    <row r="3009" customFormat="false" ht="15" hidden="false" customHeight="false" outlineLevel="0" collapsed="false">
      <c r="A3009" s="12" t="s">
        <v>715</v>
      </c>
      <c r="B3009" s="12" t="n">
        <f aca="false">COUNTIFS(Cleaned!$D$2:$D$125,12,Cleaned!EM$2:EM$125,"&lt;&gt;")</f>
        <v>1</v>
      </c>
      <c r="C3009" s="15" t="n">
        <f aca="false">IF(B3009=0,"",AVERAGEIF(Cleaned!$D$2:$D$125,12,Cleaned!EM$2:EM$125))</f>
        <v>150000</v>
      </c>
    </row>
    <row r="3012" customFormat="false" ht="15" hidden="false" customHeight="false" outlineLevel="0" collapsed="false">
      <c r="A3012" s="6" t="s">
        <v>143</v>
      </c>
      <c r="B3012" s="7" t="s">
        <v>876</v>
      </c>
    </row>
    <row r="3013" customFormat="false" ht="15" hidden="false" customHeight="false" outlineLevel="0" collapsed="false">
      <c r="A3013" s="8"/>
      <c r="B3013" s="9" t="s">
        <v>372</v>
      </c>
      <c r="C3013" s="8"/>
      <c r="D3013" s="9" t="s">
        <v>877</v>
      </c>
      <c r="E3013" s="8"/>
      <c r="F3013" s="9" t="s">
        <v>250</v>
      </c>
      <c r="G3013" s="8"/>
      <c r="H3013" s="9" t="s">
        <v>221</v>
      </c>
      <c r="I3013" s="8"/>
      <c r="J3013" s="9" t="s">
        <v>218</v>
      </c>
      <c r="K3013" s="8"/>
      <c r="L3013" s="9" t="s">
        <v>246</v>
      </c>
      <c r="M3013" s="8"/>
      <c r="N3013" s="9" t="s">
        <v>230</v>
      </c>
      <c r="O3013" s="8"/>
      <c r="P3013" s="9" t="s">
        <v>694</v>
      </c>
    </row>
    <row r="3014" customFormat="false" ht="15" hidden="false" customHeight="false" outlineLevel="0" collapsed="false">
      <c r="B3014" s="10" t="s">
        <v>695</v>
      </c>
      <c r="C3014" s="10" t="s">
        <v>696</v>
      </c>
      <c r="D3014" s="10" t="s">
        <v>695</v>
      </c>
      <c r="E3014" s="10" t="s">
        <v>696</v>
      </c>
      <c r="F3014" s="10" t="s">
        <v>695</v>
      </c>
      <c r="G3014" s="10" t="s">
        <v>696</v>
      </c>
      <c r="H3014" s="10" t="s">
        <v>695</v>
      </c>
      <c r="I3014" s="10" t="s">
        <v>696</v>
      </c>
      <c r="J3014" s="10" t="s">
        <v>695</v>
      </c>
      <c r="K3014" s="10" t="s">
        <v>696</v>
      </c>
      <c r="L3014" s="10" t="s">
        <v>695</v>
      </c>
      <c r="M3014" s="10" t="s">
        <v>696</v>
      </c>
      <c r="N3014" s="10" t="s">
        <v>695</v>
      </c>
      <c r="O3014" s="10" t="s">
        <v>696</v>
      </c>
    </row>
    <row r="3015" customFormat="false" ht="15" hidden="false" customHeight="false" outlineLevel="0" collapsed="false">
      <c r="A3015" s="11" t="s">
        <v>697</v>
      </c>
    </row>
    <row r="3016" customFormat="false" ht="15" hidden="false" customHeight="false" outlineLevel="0" collapsed="false">
      <c r="A3016" s="12" t="s">
        <v>698</v>
      </c>
      <c r="B3016" s="12" t="n">
        <f aca="false">COUNTIFS(Cleaned!$C$2:$C$125,1,Cleaned!EN$2:EN$125,1)</f>
        <v>1</v>
      </c>
      <c r="C3016" s="13" t="n">
        <f aca="false">IFERROR(B3016/$P3016,"")</f>
        <v>0.333333333333333</v>
      </c>
      <c r="D3016" s="12" t="n">
        <f aca="false">COUNTIFS(Cleaned!$C$2:$C$125,1,Cleaned!EN$2:EN$125,2)</f>
        <v>1</v>
      </c>
      <c r="E3016" s="13" t="n">
        <f aca="false">IFERROR(D3016/$P3016,"")</f>
        <v>0.333333333333333</v>
      </c>
      <c r="F3016" s="12" t="n">
        <f aca="false">COUNTIFS(Cleaned!$C$2:$C$125,1,Cleaned!EN$2:EN$125,3)</f>
        <v>0</v>
      </c>
      <c r="G3016" s="13" t="n">
        <f aca="false">IFERROR(F3016/$P3016,"")</f>
        <v>0</v>
      </c>
      <c r="H3016" s="12" t="n">
        <f aca="false">COUNTIFS(Cleaned!$C$2:$C$125,1,Cleaned!EN$2:EN$125,4)</f>
        <v>0</v>
      </c>
      <c r="I3016" s="13" t="n">
        <f aca="false">IFERROR(H3016/$P3016,"")</f>
        <v>0</v>
      </c>
      <c r="J3016" s="12" t="n">
        <f aca="false">COUNTIFS(Cleaned!$C$2:$C$125,1,Cleaned!EN$2:EN$125,5)</f>
        <v>0</v>
      </c>
      <c r="K3016" s="13" t="n">
        <f aca="false">IFERROR(J3016/$P3016,"")</f>
        <v>0</v>
      </c>
      <c r="L3016" s="12" t="n">
        <f aca="false">COUNTIFS(Cleaned!$C$2:$C$125,1,Cleaned!EN$2:EN$125,6)</f>
        <v>1</v>
      </c>
      <c r="M3016" s="13" t="n">
        <f aca="false">IFERROR(L3016/$P3016,"")</f>
        <v>0.333333333333333</v>
      </c>
      <c r="N3016" s="12" t="n">
        <f aca="false">COUNTIFS(Cleaned!$C$2:$C$125,1,Cleaned!EN$2:EN$125,7)</f>
        <v>0</v>
      </c>
      <c r="O3016" s="13" t="n">
        <f aca="false">IFERROR(N3016/$P3016,"")</f>
        <v>0</v>
      </c>
      <c r="P3016" s="12" t="n">
        <f aca="false">B3016+D3016+F3016+H3016+J3016+L3016+N3016</f>
        <v>3</v>
      </c>
    </row>
    <row r="3017" customFormat="false" ht="15" hidden="false" customHeight="false" outlineLevel="0" collapsed="false">
      <c r="A3017" s="12" t="s">
        <v>699</v>
      </c>
      <c r="B3017" s="12" t="n">
        <f aca="false">COUNTIFS(Cleaned!$C$2:$C$125,2,Cleaned!EN$2:EN$125,1)</f>
        <v>1</v>
      </c>
      <c r="C3017" s="13" t="n">
        <f aca="false">IFERROR(B3017/$P3017,"")</f>
        <v>0.5</v>
      </c>
      <c r="D3017" s="12" t="n">
        <f aca="false">COUNTIFS(Cleaned!$C$2:$C$125,2,Cleaned!EN$2:EN$125,2)</f>
        <v>0</v>
      </c>
      <c r="E3017" s="13" t="n">
        <f aca="false">IFERROR(D3017/$P3017,"")</f>
        <v>0</v>
      </c>
      <c r="F3017" s="12" t="n">
        <f aca="false">COUNTIFS(Cleaned!$C$2:$C$125,2,Cleaned!EN$2:EN$125,3)</f>
        <v>0</v>
      </c>
      <c r="G3017" s="13" t="n">
        <f aca="false">IFERROR(F3017/$P3017,"")</f>
        <v>0</v>
      </c>
      <c r="H3017" s="12" t="n">
        <f aca="false">COUNTIFS(Cleaned!$C$2:$C$125,2,Cleaned!EN$2:EN$125,4)</f>
        <v>0</v>
      </c>
      <c r="I3017" s="13" t="n">
        <f aca="false">IFERROR(H3017/$P3017,"")</f>
        <v>0</v>
      </c>
      <c r="J3017" s="12" t="n">
        <f aca="false">COUNTIFS(Cleaned!$C$2:$C$125,2,Cleaned!EN$2:EN$125,5)</f>
        <v>0</v>
      </c>
      <c r="K3017" s="13" t="n">
        <f aca="false">IFERROR(J3017/$P3017,"")</f>
        <v>0</v>
      </c>
      <c r="L3017" s="12" t="n">
        <f aca="false">COUNTIFS(Cleaned!$C$2:$C$125,2,Cleaned!EN$2:EN$125,6)</f>
        <v>0</v>
      </c>
      <c r="M3017" s="13" t="n">
        <f aca="false">IFERROR(L3017/$P3017,"")</f>
        <v>0</v>
      </c>
      <c r="N3017" s="12" t="n">
        <f aca="false">COUNTIFS(Cleaned!$C$2:$C$125,2,Cleaned!EN$2:EN$125,7)</f>
        <v>1</v>
      </c>
      <c r="O3017" s="13" t="n">
        <f aca="false">IFERROR(N3017/$P3017,"")</f>
        <v>0.5</v>
      </c>
      <c r="P3017" s="12" t="n">
        <f aca="false">B3017+D3017+F3017+H3017+J3017+L3017+N3017</f>
        <v>2</v>
      </c>
    </row>
    <row r="3018" customFormat="false" ht="15" hidden="false" customHeight="false" outlineLevel="0" collapsed="false">
      <c r="A3018" s="12" t="s">
        <v>700</v>
      </c>
      <c r="B3018" s="12" t="n">
        <f aca="false">COUNTIFS(Cleaned!$C$2:$C$125,3,Cleaned!EN$2:EN$125,1)</f>
        <v>4</v>
      </c>
      <c r="C3018" s="13" t="n">
        <f aca="false">IFERROR(B3018/$P3018,"")</f>
        <v>0.8</v>
      </c>
      <c r="D3018" s="12" t="n">
        <f aca="false">COUNTIFS(Cleaned!$C$2:$C$125,3,Cleaned!EN$2:EN$125,2)</f>
        <v>0</v>
      </c>
      <c r="E3018" s="13" t="n">
        <f aca="false">IFERROR(D3018/$P3018,"")</f>
        <v>0</v>
      </c>
      <c r="F3018" s="12" t="n">
        <f aca="false">COUNTIFS(Cleaned!$C$2:$C$125,3,Cleaned!EN$2:EN$125,3)</f>
        <v>0</v>
      </c>
      <c r="G3018" s="13" t="n">
        <f aca="false">IFERROR(F3018/$P3018,"")</f>
        <v>0</v>
      </c>
      <c r="H3018" s="12" t="n">
        <f aca="false">COUNTIFS(Cleaned!$C$2:$C$125,3,Cleaned!EN$2:EN$125,4)</f>
        <v>0</v>
      </c>
      <c r="I3018" s="13" t="n">
        <f aca="false">IFERROR(H3018/$P3018,"")</f>
        <v>0</v>
      </c>
      <c r="J3018" s="12" t="n">
        <f aca="false">COUNTIFS(Cleaned!$C$2:$C$125,3,Cleaned!EN$2:EN$125,5)</f>
        <v>0</v>
      </c>
      <c r="K3018" s="13" t="n">
        <f aca="false">IFERROR(J3018/$P3018,"")</f>
        <v>0</v>
      </c>
      <c r="L3018" s="12" t="n">
        <f aca="false">COUNTIFS(Cleaned!$C$2:$C$125,3,Cleaned!EN$2:EN$125,6)</f>
        <v>1</v>
      </c>
      <c r="M3018" s="13" t="n">
        <f aca="false">IFERROR(L3018/$P3018,"")</f>
        <v>0.2</v>
      </c>
      <c r="N3018" s="12" t="n">
        <f aca="false">COUNTIFS(Cleaned!$C$2:$C$125,3,Cleaned!EN$2:EN$125,7)</f>
        <v>0</v>
      </c>
      <c r="O3018" s="13" t="n">
        <f aca="false">IFERROR(N3018/$P3018,"")</f>
        <v>0</v>
      </c>
      <c r="P3018" s="12" t="n">
        <f aca="false">B3018+D3018+F3018+H3018+J3018+L3018+N3018</f>
        <v>5</v>
      </c>
    </row>
    <row r="3019" customFormat="false" ht="15" hidden="false" customHeight="false" outlineLevel="0" collapsed="false">
      <c r="A3019" s="12" t="s">
        <v>701</v>
      </c>
      <c r="B3019" s="12" t="n">
        <f aca="false">COUNTIFS(Cleaned!$C$2:$C$125,4,Cleaned!EN$2:EN$125,1)</f>
        <v>2</v>
      </c>
      <c r="C3019" s="13" t="n">
        <f aca="false">IFERROR(B3019/$P3019,"")</f>
        <v>1</v>
      </c>
      <c r="D3019" s="12" t="n">
        <f aca="false">COUNTIFS(Cleaned!$C$2:$C$125,4,Cleaned!EN$2:EN$125,2)</f>
        <v>0</v>
      </c>
      <c r="E3019" s="13" t="n">
        <f aca="false">IFERROR(D3019/$P3019,"")</f>
        <v>0</v>
      </c>
      <c r="F3019" s="12" t="n">
        <f aca="false">COUNTIFS(Cleaned!$C$2:$C$125,4,Cleaned!EN$2:EN$125,3)</f>
        <v>0</v>
      </c>
      <c r="G3019" s="13" t="n">
        <f aca="false">IFERROR(F3019/$P3019,"")</f>
        <v>0</v>
      </c>
      <c r="H3019" s="12" t="n">
        <f aca="false">COUNTIFS(Cleaned!$C$2:$C$125,4,Cleaned!EN$2:EN$125,4)</f>
        <v>0</v>
      </c>
      <c r="I3019" s="13" t="n">
        <f aca="false">IFERROR(H3019/$P3019,"")</f>
        <v>0</v>
      </c>
      <c r="J3019" s="12" t="n">
        <f aca="false">COUNTIFS(Cleaned!$C$2:$C$125,4,Cleaned!EN$2:EN$125,5)</f>
        <v>0</v>
      </c>
      <c r="K3019" s="13" t="n">
        <f aca="false">IFERROR(J3019/$P3019,"")</f>
        <v>0</v>
      </c>
      <c r="L3019" s="12" t="n">
        <f aca="false">COUNTIFS(Cleaned!$C$2:$C$125,4,Cleaned!EN$2:EN$125,6)</f>
        <v>0</v>
      </c>
      <c r="M3019" s="13" t="n">
        <f aca="false">IFERROR(L3019/$P3019,"")</f>
        <v>0</v>
      </c>
      <c r="N3019" s="12" t="n">
        <f aca="false">COUNTIFS(Cleaned!$C$2:$C$125,4,Cleaned!EN$2:EN$125,7)</f>
        <v>0</v>
      </c>
      <c r="O3019" s="13" t="n">
        <f aca="false">IFERROR(N3019/$P3019,"")</f>
        <v>0</v>
      </c>
      <c r="P3019" s="12" t="n">
        <f aca="false">B3019+D3019+F3019+H3019+J3019+L3019+N3019</f>
        <v>2</v>
      </c>
    </row>
    <row r="3020" customFormat="false" ht="15" hidden="false" customHeight="false" outlineLevel="0" collapsed="false">
      <c r="A3020" s="12" t="s">
        <v>702</v>
      </c>
      <c r="B3020" s="12" t="n">
        <f aca="false">COUNTIFS(Cleaned!$C$2:$C$125,5,Cleaned!EN$2:EN$125,1)</f>
        <v>5</v>
      </c>
      <c r="C3020" s="13" t="n">
        <f aca="false">IFERROR(B3020/$P3020,"")</f>
        <v>0.625</v>
      </c>
      <c r="D3020" s="12" t="n">
        <f aca="false">COUNTIFS(Cleaned!$C$2:$C$125,5,Cleaned!EN$2:EN$125,2)</f>
        <v>0</v>
      </c>
      <c r="E3020" s="13" t="n">
        <f aca="false">IFERROR(D3020/$P3020,"")</f>
        <v>0</v>
      </c>
      <c r="F3020" s="12" t="n">
        <f aca="false">COUNTIFS(Cleaned!$C$2:$C$125,5,Cleaned!EN$2:EN$125,3)</f>
        <v>0</v>
      </c>
      <c r="G3020" s="13" t="n">
        <f aca="false">IFERROR(F3020/$P3020,"")</f>
        <v>0</v>
      </c>
      <c r="H3020" s="12" t="n">
        <f aca="false">COUNTIFS(Cleaned!$C$2:$C$125,5,Cleaned!EN$2:EN$125,4)</f>
        <v>0</v>
      </c>
      <c r="I3020" s="13" t="n">
        <f aca="false">IFERROR(H3020/$P3020,"")</f>
        <v>0</v>
      </c>
      <c r="J3020" s="12" t="n">
        <f aca="false">COUNTIFS(Cleaned!$C$2:$C$125,5,Cleaned!EN$2:EN$125,5)</f>
        <v>3</v>
      </c>
      <c r="K3020" s="13" t="n">
        <f aca="false">IFERROR(J3020/$P3020,"")</f>
        <v>0.375</v>
      </c>
      <c r="L3020" s="12" t="n">
        <f aca="false">COUNTIFS(Cleaned!$C$2:$C$125,5,Cleaned!EN$2:EN$125,6)</f>
        <v>0</v>
      </c>
      <c r="M3020" s="13" t="n">
        <f aca="false">IFERROR(L3020/$P3020,"")</f>
        <v>0</v>
      </c>
      <c r="N3020" s="12" t="n">
        <f aca="false">COUNTIFS(Cleaned!$C$2:$C$125,5,Cleaned!EN$2:EN$125,7)</f>
        <v>0</v>
      </c>
      <c r="O3020" s="13" t="n">
        <f aca="false">IFERROR(N3020/$P3020,"")</f>
        <v>0</v>
      </c>
      <c r="P3020" s="12" t="n">
        <f aca="false">B3020+D3020+F3020+H3020+J3020+L3020+N3020</f>
        <v>8</v>
      </c>
    </row>
    <row r="3021" customFormat="false" ht="15" hidden="false" customHeight="false" outlineLevel="0" collapsed="false">
      <c r="A3021" s="11" t="s">
        <v>703</v>
      </c>
      <c r="B3021" s="11" t="n">
        <f aca="false">SUM(B3016:B3020)</f>
        <v>13</v>
      </c>
      <c r="C3021" s="14" t="n">
        <f aca="false">IFERROR(B3021/$P3021,"")</f>
        <v>0.65</v>
      </c>
      <c r="D3021" s="11" t="n">
        <f aca="false">SUM(D3016:D3020)</f>
        <v>1</v>
      </c>
      <c r="E3021" s="14" t="n">
        <f aca="false">IFERROR(D3021/$P3021,"")</f>
        <v>0.05</v>
      </c>
      <c r="F3021" s="11" t="n">
        <f aca="false">SUM(F3016:F3020)</f>
        <v>0</v>
      </c>
      <c r="G3021" s="14" t="n">
        <f aca="false">IFERROR(F3021/$P3021,"")</f>
        <v>0</v>
      </c>
      <c r="H3021" s="11" t="n">
        <f aca="false">SUM(H3016:H3020)</f>
        <v>0</v>
      </c>
      <c r="I3021" s="14" t="n">
        <f aca="false">IFERROR(H3021/$P3021,"")</f>
        <v>0</v>
      </c>
      <c r="J3021" s="11" t="n">
        <f aca="false">SUM(J3016:J3020)</f>
        <v>3</v>
      </c>
      <c r="K3021" s="14" t="n">
        <f aca="false">IFERROR(J3021/$P3021,"")</f>
        <v>0.15</v>
      </c>
      <c r="L3021" s="11" t="n">
        <f aca="false">SUM(L3016:L3020)</f>
        <v>2</v>
      </c>
      <c r="M3021" s="14" t="n">
        <f aca="false">IFERROR(L3021/$P3021,"")</f>
        <v>0.1</v>
      </c>
      <c r="N3021" s="11" t="n">
        <f aca="false">SUM(N3016:N3020)</f>
        <v>1</v>
      </c>
      <c r="O3021" s="14" t="n">
        <f aca="false">IFERROR(N3021/$P3021,"")</f>
        <v>0.05</v>
      </c>
      <c r="P3021" s="11" t="n">
        <f aca="false">SUM(P3016:P3020)</f>
        <v>20</v>
      </c>
    </row>
    <row r="3022" customFormat="false" ht="15" hidden="false" customHeight="false" outlineLevel="0" collapsed="false">
      <c r="A3022" s="11" t="s">
        <v>3</v>
      </c>
    </row>
    <row r="3023" customFormat="false" ht="15" hidden="false" customHeight="false" outlineLevel="0" collapsed="false">
      <c r="A3023" s="12" t="s">
        <v>704</v>
      </c>
      <c r="B3023" s="12" t="n">
        <f aca="false">COUNTIFS(Cleaned!$D$2:$D$125,1,Cleaned!EN$2:EN$125,1)</f>
        <v>2</v>
      </c>
      <c r="C3023" s="13" t="n">
        <f aca="false">IFERROR(B3023/$P3023,"")</f>
        <v>1</v>
      </c>
      <c r="D3023" s="12" t="n">
        <f aca="false">COUNTIFS(Cleaned!$D$2:$D$125,1,Cleaned!EN$2:EN$125,2)</f>
        <v>0</v>
      </c>
      <c r="E3023" s="13" t="n">
        <f aca="false">IFERROR(D3023/$P3023,"")</f>
        <v>0</v>
      </c>
      <c r="F3023" s="12" t="n">
        <f aca="false">COUNTIFS(Cleaned!$D$2:$D$125,1,Cleaned!EN$2:EN$125,3)</f>
        <v>0</v>
      </c>
      <c r="G3023" s="13" t="n">
        <f aca="false">IFERROR(F3023/$P3023,"")</f>
        <v>0</v>
      </c>
      <c r="H3023" s="12" t="n">
        <f aca="false">COUNTIFS(Cleaned!$D$2:$D$125,1,Cleaned!EN$2:EN$125,4)</f>
        <v>0</v>
      </c>
      <c r="I3023" s="13" t="n">
        <f aca="false">IFERROR(H3023/$P3023,"")</f>
        <v>0</v>
      </c>
      <c r="J3023" s="12" t="n">
        <f aca="false">COUNTIFS(Cleaned!$D$2:$D$125,1,Cleaned!EN$2:EN$125,5)</f>
        <v>0</v>
      </c>
      <c r="K3023" s="13" t="n">
        <f aca="false">IFERROR(J3023/$P3023,"")</f>
        <v>0</v>
      </c>
      <c r="L3023" s="12" t="n">
        <f aca="false">COUNTIFS(Cleaned!$D$2:$D$125,1,Cleaned!EN$2:EN$125,6)</f>
        <v>0</v>
      </c>
      <c r="M3023" s="13" t="n">
        <f aca="false">IFERROR(L3023/$P3023,"")</f>
        <v>0</v>
      </c>
      <c r="N3023" s="12" t="n">
        <f aca="false">COUNTIFS(Cleaned!$D$2:$D$125,1,Cleaned!EN$2:EN$125,7)</f>
        <v>0</v>
      </c>
      <c r="O3023" s="13" t="n">
        <f aca="false">IFERROR(N3023/$P3023,"")</f>
        <v>0</v>
      </c>
      <c r="P3023" s="12" t="n">
        <f aca="false">B3023+D3023+F3023+H3023+J3023+L3023+N3023</f>
        <v>2</v>
      </c>
    </row>
    <row r="3024" customFormat="false" ht="15" hidden="false" customHeight="false" outlineLevel="0" collapsed="false">
      <c r="A3024" s="12" t="s">
        <v>705</v>
      </c>
      <c r="B3024" s="12" t="n">
        <f aca="false">COUNTIFS(Cleaned!$D$2:$D$125,2,Cleaned!EN$2:EN$125,1)</f>
        <v>3</v>
      </c>
      <c r="C3024" s="13" t="n">
        <f aca="false">IFERROR(B3024/$P3024,"")</f>
        <v>0.5</v>
      </c>
      <c r="D3024" s="12" t="n">
        <f aca="false">COUNTIFS(Cleaned!$D$2:$D$125,2,Cleaned!EN$2:EN$125,2)</f>
        <v>0</v>
      </c>
      <c r="E3024" s="13" t="n">
        <f aca="false">IFERROR(D3024/$P3024,"")</f>
        <v>0</v>
      </c>
      <c r="F3024" s="12" t="n">
        <f aca="false">COUNTIFS(Cleaned!$D$2:$D$125,2,Cleaned!EN$2:EN$125,3)</f>
        <v>0</v>
      </c>
      <c r="G3024" s="13" t="n">
        <f aca="false">IFERROR(F3024/$P3024,"")</f>
        <v>0</v>
      </c>
      <c r="H3024" s="12" t="n">
        <f aca="false">COUNTIFS(Cleaned!$D$2:$D$125,2,Cleaned!EN$2:EN$125,4)</f>
        <v>0</v>
      </c>
      <c r="I3024" s="13" t="n">
        <f aca="false">IFERROR(H3024/$P3024,"")</f>
        <v>0</v>
      </c>
      <c r="J3024" s="12" t="n">
        <f aca="false">COUNTIFS(Cleaned!$D$2:$D$125,2,Cleaned!EN$2:EN$125,5)</f>
        <v>3</v>
      </c>
      <c r="K3024" s="13" t="n">
        <f aca="false">IFERROR(J3024/$P3024,"")</f>
        <v>0.5</v>
      </c>
      <c r="L3024" s="12" t="n">
        <f aca="false">COUNTIFS(Cleaned!$D$2:$D$125,2,Cleaned!EN$2:EN$125,6)</f>
        <v>0</v>
      </c>
      <c r="M3024" s="13" t="n">
        <f aca="false">IFERROR(L3024/$P3024,"")</f>
        <v>0</v>
      </c>
      <c r="N3024" s="12" t="n">
        <f aca="false">COUNTIFS(Cleaned!$D$2:$D$125,2,Cleaned!EN$2:EN$125,7)</f>
        <v>0</v>
      </c>
      <c r="O3024" s="13" t="n">
        <f aca="false">IFERROR(N3024/$P3024,"")</f>
        <v>0</v>
      </c>
      <c r="P3024" s="12" t="n">
        <f aca="false">B3024+D3024+F3024+H3024+J3024+L3024+N3024</f>
        <v>6</v>
      </c>
    </row>
    <row r="3025" customFormat="false" ht="15" hidden="false" customHeight="false" outlineLevel="0" collapsed="false">
      <c r="A3025" s="12" t="s">
        <v>706</v>
      </c>
      <c r="B3025" s="12" t="n">
        <f aca="false">COUNTIFS(Cleaned!$D$2:$D$125,3,Cleaned!EN$2:EN$125,1)</f>
        <v>1</v>
      </c>
      <c r="C3025" s="13" t="n">
        <f aca="false">IFERROR(B3025/$P3025,"")</f>
        <v>0.5</v>
      </c>
      <c r="D3025" s="12" t="n">
        <f aca="false">COUNTIFS(Cleaned!$D$2:$D$125,3,Cleaned!EN$2:EN$125,2)</f>
        <v>0</v>
      </c>
      <c r="E3025" s="13" t="n">
        <f aca="false">IFERROR(D3025/$P3025,"")</f>
        <v>0</v>
      </c>
      <c r="F3025" s="12" t="n">
        <f aca="false">COUNTIFS(Cleaned!$D$2:$D$125,3,Cleaned!EN$2:EN$125,3)</f>
        <v>0</v>
      </c>
      <c r="G3025" s="13" t="n">
        <f aca="false">IFERROR(F3025/$P3025,"")</f>
        <v>0</v>
      </c>
      <c r="H3025" s="12" t="n">
        <f aca="false">COUNTIFS(Cleaned!$D$2:$D$125,3,Cleaned!EN$2:EN$125,4)</f>
        <v>0</v>
      </c>
      <c r="I3025" s="13" t="n">
        <f aca="false">IFERROR(H3025/$P3025,"")</f>
        <v>0</v>
      </c>
      <c r="J3025" s="12" t="n">
        <f aca="false">COUNTIFS(Cleaned!$D$2:$D$125,3,Cleaned!EN$2:EN$125,5)</f>
        <v>0</v>
      </c>
      <c r="K3025" s="13" t="n">
        <f aca="false">IFERROR(J3025/$P3025,"")</f>
        <v>0</v>
      </c>
      <c r="L3025" s="12" t="n">
        <f aca="false">COUNTIFS(Cleaned!$D$2:$D$125,3,Cleaned!EN$2:EN$125,6)</f>
        <v>1</v>
      </c>
      <c r="M3025" s="13" t="n">
        <f aca="false">IFERROR(L3025/$P3025,"")</f>
        <v>0.5</v>
      </c>
      <c r="N3025" s="12" t="n">
        <f aca="false">COUNTIFS(Cleaned!$D$2:$D$125,3,Cleaned!EN$2:EN$125,7)</f>
        <v>0</v>
      </c>
      <c r="O3025" s="13" t="n">
        <f aca="false">IFERROR(N3025/$P3025,"")</f>
        <v>0</v>
      </c>
      <c r="P3025" s="12" t="n">
        <f aca="false">B3025+D3025+F3025+H3025+J3025+L3025+N3025</f>
        <v>2</v>
      </c>
    </row>
    <row r="3026" customFormat="false" ht="15" hidden="false" customHeight="false" outlineLevel="0" collapsed="false">
      <c r="A3026" s="12" t="s">
        <v>707</v>
      </c>
      <c r="B3026" s="12" t="n">
        <f aca="false">COUNTIFS(Cleaned!$D$2:$D$125,4,Cleaned!EN$2:EN$125,1)</f>
        <v>2</v>
      </c>
      <c r="C3026" s="13" t="n">
        <f aca="false">IFERROR(B3026/$P3026,"")</f>
        <v>1</v>
      </c>
      <c r="D3026" s="12" t="n">
        <f aca="false">COUNTIFS(Cleaned!$D$2:$D$125,4,Cleaned!EN$2:EN$125,2)</f>
        <v>0</v>
      </c>
      <c r="E3026" s="13" t="n">
        <f aca="false">IFERROR(D3026/$P3026,"")</f>
        <v>0</v>
      </c>
      <c r="F3026" s="12" t="n">
        <f aca="false">COUNTIFS(Cleaned!$D$2:$D$125,4,Cleaned!EN$2:EN$125,3)</f>
        <v>0</v>
      </c>
      <c r="G3026" s="13" t="n">
        <f aca="false">IFERROR(F3026/$P3026,"")</f>
        <v>0</v>
      </c>
      <c r="H3026" s="12" t="n">
        <f aca="false">COUNTIFS(Cleaned!$D$2:$D$125,4,Cleaned!EN$2:EN$125,4)</f>
        <v>0</v>
      </c>
      <c r="I3026" s="13" t="n">
        <f aca="false">IFERROR(H3026/$P3026,"")</f>
        <v>0</v>
      </c>
      <c r="J3026" s="12" t="n">
        <f aca="false">COUNTIFS(Cleaned!$D$2:$D$125,4,Cleaned!EN$2:EN$125,5)</f>
        <v>0</v>
      </c>
      <c r="K3026" s="13" t="n">
        <f aca="false">IFERROR(J3026/$P3026,"")</f>
        <v>0</v>
      </c>
      <c r="L3026" s="12" t="n">
        <f aca="false">COUNTIFS(Cleaned!$D$2:$D$125,4,Cleaned!EN$2:EN$125,6)</f>
        <v>0</v>
      </c>
      <c r="M3026" s="13" t="n">
        <f aca="false">IFERROR(L3026/$P3026,"")</f>
        <v>0</v>
      </c>
      <c r="N3026" s="12" t="n">
        <f aca="false">COUNTIFS(Cleaned!$D$2:$D$125,4,Cleaned!EN$2:EN$125,7)</f>
        <v>0</v>
      </c>
      <c r="O3026" s="13" t="n">
        <f aca="false">IFERROR(N3026/$P3026,"")</f>
        <v>0</v>
      </c>
      <c r="P3026" s="12" t="n">
        <f aca="false">B3026+D3026+F3026+H3026+J3026+L3026+N3026</f>
        <v>2</v>
      </c>
    </row>
    <row r="3027" customFormat="false" ht="15" hidden="false" customHeight="false" outlineLevel="0" collapsed="false">
      <c r="A3027" s="12" t="s">
        <v>708</v>
      </c>
      <c r="B3027" s="12" t="n">
        <f aca="false">COUNTIFS(Cleaned!$D$2:$D$125,5,Cleaned!EN$2:EN$125,1)</f>
        <v>0</v>
      </c>
      <c r="C3027" s="13" t="str">
        <f aca="false">IFERROR(B3027/$P3027,"")</f>
        <v/>
      </c>
      <c r="D3027" s="12" t="n">
        <f aca="false">COUNTIFS(Cleaned!$D$2:$D$125,5,Cleaned!EN$2:EN$125,2)</f>
        <v>0</v>
      </c>
      <c r="E3027" s="13" t="str">
        <f aca="false">IFERROR(D3027/$P3027,"")</f>
        <v/>
      </c>
      <c r="F3027" s="12" t="n">
        <f aca="false">COUNTIFS(Cleaned!$D$2:$D$125,5,Cleaned!EN$2:EN$125,3)</f>
        <v>0</v>
      </c>
      <c r="G3027" s="13" t="str">
        <f aca="false">IFERROR(F3027/$P3027,"")</f>
        <v/>
      </c>
      <c r="H3027" s="12" t="n">
        <f aca="false">COUNTIFS(Cleaned!$D$2:$D$125,5,Cleaned!EN$2:EN$125,4)</f>
        <v>0</v>
      </c>
      <c r="I3027" s="13" t="str">
        <f aca="false">IFERROR(H3027/$P3027,"")</f>
        <v/>
      </c>
      <c r="J3027" s="12" t="n">
        <f aca="false">COUNTIFS(Cleaned!$D$2:$D$125,5,Cleaned!EN$2:EN$125,5)</f>
        <v>0</v>
      </c>
      <c r="K3027" s="13" t="str">
        <f aca="false">IFERROR(J3027/$P3027,"")</f>
        <v/>
      </c>
      <c r="L3027" s="12" t="n">
        <f aca="false">COUNTIFS(Cleaned!$D$2:$D$125,5,Cleaned!EN$2:EN$125,6)</f>
        <v>0</v>
      </c>
      <c r="M3027" s="13" t="str">
        <f aca="false">IFERROR(L3027/$P3027,"")</f>
        <v/>
      </c>
      <c r="N3027" s="12" t="n">
        <f aca="false">COUNTIFS(Cleaned!$D$2:$D$125,5,Cleaned!EN$2:EN$125,7)</f>
        <v>0</v>
      </c>
      <c r="O3027" s="13" t="str">
        <f aca="false">IFERROR(N3027/$P3027,"")</f>
        <v/>
      </c>
      <c r="P3027" s="12" t="n">
        <f aca="false">B3027+D3027+F3027+H3027+J3027+L3027+N3027</f>
        <v>0</v>
      </c>
    </row>
    <row r="3028" customFormat="false" ht="15" hidden="false" customHeight="false" outlineLevel="0" collapsed="false">
      <c r="A3028" s="12" t="s">
        <v>709</v>
      </c>
      <c r="B3028" s="12" t="n">
        <f aca="false">COUNTIFS(Cleaned!$D$2:$D$125,6,Cleaned!EN$2:EN$125,1)</f>
        <v>1</v>
      </c>
      <c r="C3028" s="13" t="n">
        <f aca="false">IFERROR(B3028/$P3028,"")</f>
        <v>1</v>
      </c>
      <c r="D3028" s="12" t="n">
        <f aca="false">COUNTIFS(Cleaned!$D$2:$D$125,6,Cleaned!EN$2:EN$125,2)</f>
        <v>0</v>
      </c>
      <c r="E3028" s="13" t="n">
        <f aca="false">IFERROR(D3028/$P3028,"")</f>
        <v>0</v>
      </c>
      <c r="F3028" s="12" t="n">
        <f aca="false">COUNTIFS(Cleaned!$D$2:$D$125,6,Cleaned!EN$2:EN$125,3)</f>
        <v>0</v>
      </c>
      <c r="G3028" s="13" t="n">
        <f aca="false">IFERROR(F3028/$P3028,"")</f>
        <v>0</v>
      </c>
      <c r="H3028" s="12" t="n">
        <f aca="false">COUNTIFS(Cleaned!$D$2:$D$125,6,Cleaned!EN$2:EN$125,4)</f>
        <v>0</v>
      </c>
      <c r="I3028" s="13" t="n">
        <f aca="false">IFERROR(H3028/$P3028,"")</f>
        <v>0</v>
      </c>
      <c r="J3028" s="12" t="n">
        <f aca="false">COUNTIFS(Cleaned!$D$2:$D$125,6,Cleaned!EN$2:EN$125,5)</f>
        <v>0</v>
      </c>
      <c r="K3028" s="13" t="n">
        <f aca="false">IFERROR(J3028/$P3028,"")</f>
        <v>0</v>
      </c>
      <c r="L3028" s="12" t="n">
        <f aca="false">COUNTIFS(Cleaned!$D$2:$D$125,6,Cleaned!EN$2:EN$125,6)</f>
        <v>0</v>
      </c>
      <c r="M3028" s="13" t="n">
        <f aca="false">IFERROR(L3028/$P3028,"")</f>
        <v>0</v>
      </c>
      <c r="N3028" s="12" t="n">
        <f aca="false">COUNTIFS(Cleaned!$D$2:$D$125,6,Cleaned!EN$2:EN$125,7)</f>
        <v>0</v>
      </c>
      <c r="O3028" s="13" t="n">
        <f aca="false">IFERROR(N3028/$P3028,"")</f>
        <v>0</v>
      </c>
      <c r="P3028" s="12" t="n">
        <f aca="false">B3028+D3028+F3028+H3028+J3028+L3028+N3028</f>
        <v>1</v>
      </c>
    </row>
    <row r="3029" customFormat="false" ht="15" hidden="false" customHeight="false" outlineLevel="0" collapsed="false">
      <c r="A3029" s="12" t="s">
        <v>710</v>
      </c>
      <c r="B3029" s="12" t="n">
        <f aca="false">COUNTIFS(Cleaned!$D$2:$D$125,7,Cleaned!EN$2:EN$125,1)</f>
        <v>2</v>
      </c>
      <c r="C3029" s="13" t="n">
        <f aca="false">IFERROR(B3029/$P3029,"")</f>
        <v>1</v>
      </c>
      <c r="D3029" s="12" t="n">
        <f aca="false">COUNTIFS(Cleaned!$D$2:$D$125,7,Cleaned!EN$2:EN$125,2)</f>
        <v>0</v>
      </c>
      <c r="E3029" s="13" t="n">
        <f aca="false">IFERROR(D3029/$P3029,"")</f>
        <v>0</v>
      </c>
      <c r="F3029" s="12" t="n">
        <f aca="false">COUNTIFS(Cleaned!$D$2:$D$125,7,Cleaned!EN$2:EN$125,3)</f>
        <v>0</v>
      </c>
      <c r="G3029" s="13" t="n">
        <f aca="false">IFERROR(F3029/$P3029,"")</f>
        <v>0</v>
      </c>
      <c r="H3029" s="12" t="n">
        <f aca="false">COUNTIFS(Cleaned!$D$2:$D$125,7,Cleaned!EN$2:EN$125,4)</f>
        <v>0</v>
      </c>
      <c r="I3029" s="13" t="n">
        <f aca="false">IFERROR(H3029/$P3029,"")</f>
        <v>0</v>
      </c>
      <c r="J3029" s="12" t="n">
        <f aca="false">COUNTIFS(Cleaned!$D$2:$D$125,7,Cleaned!EN$2:EN$125,5)</f>
        <v>0</v>
      </c>
      <c r="K3029" s="13" t="n">
        <f aca="false">IFERROR(J3029/$P3029,"")</f>
        <v>0</v>
      </c>
      <c r="L3029" s="12" t="n">
        <f aca="false">COUNTIFS(Cleaned!$D$2:$D$125,7,Cleaned!EN$2:EN$125,6)</f>
        <v>0</v>
      </c>
      <c r="M3029" s="13" t="n">
        <f aca="false">IFERROR(L3029/$P3029,"")</f>
        <v>0</v>
      </c>
      <c r="N3029" s="12" t="n">
        <f aca="false">COUNTIFS(Cleaned!$D$2:$D$125,7,Cleaned!EN$2:EN$125,7)</f>
        <v>0</v>
      </c>
      <c r="O3029" s="13" t="n">
        <f aca="false">IFERROR(N3029/$P3029,"")</f>
        <v>0</v>
      </c>
      <c r="P3029" s="12" t="n">
        <f aca="false">B3029+D3029+F3029+H3029+J3029+L3029+N3029</f>
        <v>2</v>
      </c>
    </row>
    <row r="3030" customFormat="false" ht="15" hidden="false" customHeight="false" outlineLevel="0" collapsed="false">
      <c r="A3030" s="12" t="s">
        <v>711</v>
      </c>
      <c r="B3030" s="12" t="n">
        <f aca="false">COUNTIFS(Cleaned!$D$2:$D$125,8,Cleaned!EN$2:EN$125,1)</f>
        <v>0</v>
      </c>
      <c r="C3030" s="13" t="n">
        <f aca="false">IFERROR(B3030/$P3030,"")</f>
        <v>0</v>
      </c>
      <c r="D3030" s="12" t="n">
        <f aca="false">COUNTIFS(Cleaned!$D$2:$D$125,8,Cleaned!EN$2:EN$125,2)</f>
        <v>0</v>
      </c>
      <c r="E3030" s="13" t="n">
        <f aca="false">IFERROR(D3030/$P3030,"")</f>
        <v>0</v>
      </c>
      <c r="F3030" s="12" t="n">
        <f aca="false">COUNTIFS(Cleaned!$D$2:$D$125,8,Cleaned!EN$2:EN$125,3)</f>
        <v>0</v>
      </c>
      <c r="G3030" s="13" t="n">
        <f aca="false">IFERROR(F3030/$P3030,"")</f>
        <v>0</v>
      </c>
      <c r="H3030" s="12" t="n">
        <f aca="false">COUNTIFS(Cleaned!$D$2:$D$125,8,Cleaned!EN$2:EN$125,4)</f>
        <v>0</v>
      </c>
      <c r="I3030" s="13" t="n">
        <f aca="false">IFERROR(H3030/$P3030,"")</f>
        <v>0</v>
      </c>
      <c r="J3030" s="12" t="n">
        <f aca="false">COUNTIFS(Cleaned!$D$2:$D$125,8,Cleaned!EN$2:EN$125,5)</f>
        <v>0</v>
      </c>
      <c r="K3030" s="13" t="n">
        <f aca="false">IFERROR(J3030/$P3030,"")</f>
        <v>0</v>
      </c>
      <c r="L3030" s="12" t="n">
        <f aca="false">COUNTIFS(Cleaned!$D$2:$D$125,8,Cleaned!EN$2:EN$125,6)</f>
        <v>1</v>
      </c>
      <c r="M3030" s="13" t="n">
        <f aca="false">IFERROR(L3030/$P3030,"")</f>
        <v>1</v>
      </c>
      <c r="N3030" s="12" t="n">
        <f aca="false">COUNTIFS(Cleaned!$D$2:$D$125,8,Cleaned!EN$2:EN$125,7)</f>
        <v>0</v>
      </c>
      <c r="O3030" s="13" t="n">
        <f aca="false">IFERROR(N3030/$P3030,"")</f>
        <v>0</v>
      </c>
      <c r="P3030" s="12" t="n">
        <f aca="false">B3030+D3030+F3030+H3030+J3030+L3030+N3030</f>
        <v>1</v>
      </c>
    </row>
    <row r="3031" customFormat="false" ht="15" hidden="false" customHeight="false" outlineLevel="0" collapsed="false">
      <c r="A3031" s="12" t="s">
        <v>712</v>
      </c>
      <c r="B3031" s="12" t="n">
        <f aca="false">COUNTIFS(Cleaned!$D$2:$D$125,9,Cleaned!EN$2:EN$125,1)</f>
        <v>0</v>
      </c>
      <c r="C3031" s="13" t="str">
        <f aca="false">IFERROR(B3031/$P3031,"")</f>
        <v/>
      </c>
      <c r="D3031" s="12" t="n">
        <f aca="false">COUNTIFS(Cleaned!$D$2:$D$125,9,Cleaned!EN$2:EN$125,2)</f>
        <v>0</v>
      </c>
      <c r="E3031" s="13" t="str">
        <f aca="false">IFERROR(D3031/$P3031,"")</f>
        <v/>
      </c>
      <c r="F3031" s="12" t="n">
        <f aca="false">COUNTIFS(Cleaned!$D$2:$D$125,9,Cleaned!EN$2:EN$125,3)</f>
        <v>0</v>
      </c>
      <c r="G3031" s="13" t="str">
        <f aca="false">IFERROR(F3031/$P3031,"")</f>
        <v/>
      </c>
      <c r="H3031" s="12" t="n">
        <f aca="false">COUNTIFS(Cleaned!$D$2:$D$125,9,Cleaned!EN$2:EN$125,4)</f>
        <v>0</v>
      </c>
      <c r="I3031" s="13" t="str">
        <f aca="false">IFERROR(H3031/$P3031,"")</f>
        <v/>
      </c>
      <c r="J3031" s="12" t="n">
        <f aca="false">COUNTIFS(Cleaned!$D$2:$D$125,9,Cleaned!EN$2:EN$125,5)</f>
        <v>0</v>
      </c>
      <c r="K3031" s="13" t="str">
        <f aca="false">IFERROR(J3031/$P3031,"")</f>
        <v/>
      </c>
      <c r="L3031" s="12" t="n">
        <f aca="false">COUNTIFS(Cleaned!$D$2:$D$125,9,Cleaned!EN$2:EN$125,6)</f>
        <v>0</v>
      </c>
      <c r="M3031" s="13" t="str">
        <f aca="false">IFERROR(L3031/$P3031,"")</f>
        <v/>
      </c>
      <c r="N3031" s="12" t="n">
        <f aca="false">COUNTIFS(Cleaned!$D$2:$D$125,9,Cleaned!EN$2:EN$125,7)</f>
        <v>0</v>
      </c>
      <c r="O3031" s="13" t="str">
        <f aca="false">IFERROR(N3031/$P3031,"")</f>
        <v/>
      </c>
      <c r="P3031" s="12" t="n">
        <f aca="false">B3031+D3031+F3031+H3031+J3031+L3031+N3031</f>
        <v>0</v>
      </c>
    </row>
    <row r="3032" customFormat="false" ht="15" hidden="false" customHeight="false" outlineLevel="0" collapsed="false">
      <c r="A3032" s="12" t="s">
        <v>713</v>
      </c>
      <c r="B3032" s="12" t="n">
        <f aca="false">COUNTIFS(Cleaned!$D$2:$D$125,10,Cleaned!EN$2:EN$125,1)</f>
        <v>0</v>
      </c>
      <c r="C3032" s="13" t="str">
        <f aca="false">IFERROR(B3032/$P3032,"")</f>
        <v/>
      </c>
      <c r="D3032" s="12" t="n">
        <f aca="false">COUNTIFS(Cleaned!$D$2:$D$125,10,Cleaned!EN$2:EN$125,2)</f>
        <v>0</v>
      </c>
      <c r="E3032" s="13" t="str">
        <f aca="false">IFERROR(D3032/$P3032,"")</f>
        <v/>
      </c>
      <c r="F3032" s="12" t="n">
        <f aca="false">COUNTIFS(Cleaned!$D$2:$D$125,10,Cleaned!EN$2:EN$125,3)</f>
        <v>0</v>
      </c>
      <c r="G3032" s="13" t="str">
        <f aca="false">IFERROR(F3032/$P3032,"")</f>
        <v/>
      </c>
      <c r="H3032" s="12" t="n">
        <f aca="false">COUNTIFS(Cleaned!$D$2:$D$125,10,Cleaned!EN$2:EN$125,4)</f>
        <v>0</v>
      </c>
      <c r="I3032" s="13" t="str">
        <f aca="false">IFERROR(H3032/$P3032,"")</f>
        <v/>
      </c>
      <c r="J3032" s="12" t="n">
        <f aca="false">COUNTIFS(Cleaned!$D$2:$D$125,10,Cleaned!EN$2:EN$125,5)</f>
        <v>0</v>
      </c>
      <c r="K3032" s="13" t="str">
        <f aca="false">IFERROR(J3032/$P3032,"")</f>
        <v/>
      </c>
      <c r="L3032" s="12" t="n">
        <f aca="false">COUNTIFS(Cleaned!$D$2:$D$125,10,Cleaned!EN$2:EN$125,6)</f>
        <v>0</v>
      </c>
      <c r="M3032" s="13" t="str">
        <f aca="false">IFERROR(L3032/$P3032,"")</f>
        <v/>
      </c>
      <c r="N3032" s="12" t="n">
        <f aca="false">COUNTIFS(Cleaned!$D$2:$D$125,10,Cleaned!EN$2:EN$125,7)</f>
        <v>0</v>
      </c>
      <c r="O3032" s="13" t="str">
        <f aca="false">IFERROR(N3032/$P3032,"")</f>
        <v/>
      </c>
      <c r="P3032" s="12" t="n">
        <f aca="false">B3032+D3032+F3032+H3032+J3032+L3032+N3032</f>
        <v>0</v>
      </c>
    </row>
    <row r="3033" customFormat="false" ht="15" hidden="false" customHeight="false" outlineLevel="0" collapsed="false">
      <c r="A3033" s="12" t="s">
        <v>714</v>
      </c>
      <c r="B3033" s="12" t="n">
        <f aca="false">COUNTIFS(Cleaned!$D$2:$D$125,11,Cleaned!EN$2:EN$125,1)</f>
        <v>2</v>
      </c>
      <c r="C3033" s="13" t="n">
        <f aca="false">IFERROR(B3033/$P3033,"")</f>
        <v>0.666666666666667</v>
      </c>
      <c r="D3033" s="12" t="n">
        <f aca="false">COUNTIFS(Cleaned!$D$2:$D$125,11,Cleaned!EN$2:EN$125,2)</f>
        <v>0</v>
      </c>
      <c r="E3033" s="13" t="n">
        <f aca="false">IFERROR(D3033/$P3033,"")</f>
        <v>0</v>
      </c>
      <c r="F3033" s="12" t="n">
        <f aca="false">COUNTIFS(Cleaned!$D$2:$D$125,11,Cleaned!EN$2:EN$125,3)</f>
        <v>0</v>
      </c>
      <c r="G3033" s="13" t="n">
        <f aca="false">IFERROR(F3033/$P3033,"")</f>
        <v>0</v>
      </c>
      <c r="H3033" s="12" t="n">
        <f aca="false">COUNTIFS(Cleaned!$D$2:$D$125,11,Cleaned!EN$2:EN$125,4)</f>
        <v>0</v>
      </c>
      <c r="I3033" s="13" t="n">
        <f aca="false">IFERROR(H3033/$P3033,"")</f>
        <v>0</v>
      </c>
      <c r="J3033" s="12" t="n">
        <f aca="false">COUNTIFS(Cleaned!$D$2:$D$125,11,Cleaned!EN$2:EN$125,5)</f>
        <v>0</v>
      </c>
      <c r="K3033" s="13" t="n">
        <f aca="false">IFERROR(J3033/$P3033,"")</f>
        <v>0</v>
      </c>
      <c r="L3033" s="12" t="n">
        <f aca="false">COUNTIFS(Cleaned!$D$2:$D$125,11,Cleaned!EN$2:EN$125,6)</f>
        <v>0</v>
      </c>
      <c r="M3033" s="13" t="n">
        <f aca="false">IFERROR(L3033/$P3033,"")</f>
        <v>0</v>
      </c>
      <c r="N3033" s="12" t="n">
        <f aca="false">COUNTIFS(Cleaned!$D$2:$D$125,11,Cleaned!EN$2:EN$125,7)</f>
        <v>1</v>
      </c>
      <c r="O3033" s="13" t="n">
        <f aca="false">IFERROR(N3033/$P3033,"")</f>
        <v>0.333333333333333</v>
      </c>
      <c r="P3033" s="12" t="n">
        <f aca="false">B3033+D3033+F3033+H3033+J3033+L3033+N3033</f>
        <v>3</v>
      </c>
    </row>
    <row r="3034" customFormat="false" ht="15" hidden="false" customHeight="false" outlineLevel="0" collapsed="false">
      <c r="A3034" s="12" t="s">
        <v>715</v>
      </c>
      <c r="B3034" s="12" t="n">
        <f aca="false">COUNTIFS(Cleaned!$D$2:$D$125,12,Cleaned!EN$2:EN$125,1)</f>
        <v>0</v>
      </c>
      <c r="C3034" s="13" t="n">
        <f aca="false">IFERROR(B3034/$P3034,"")</f>
        <v>0</v>
      </c>
      <c r="D3034" s="12" t="n">
        <f aca="false">COUNTIFS(Cleaned!$D$2:$D$125,12,Cleaned!EN$2:EN$125,2)</f>
        <v>1</v>
      </c>
      <c r="E3034" s="13" t="n">
        <f aca="false">IFERROR(D3034/$P3034,"")</f>
        <v>1</v>
      </c>
      <c r="F3034" s="12" t="n">
        <f aca="false">COUNTIFS(Cleaned!$D$2:$D$125,12,Cleaned!EN$2:EN$125,3)</f>
        <v>0</v>
      </c>
      <c r="G3034" s="13" t="n">
        <f aca="false">IFERROR(F3034/$P3034,"")</f>
        <v>0</v>
      </c>
      <c r="H3034" s="12" t="n">
        <f aca="false">COUNTIFS(Cleaned!$D$2:$D$125,12,Cleaned!EN$2:EN$125,4)</f>
        <v>0</v>
      </c>
      <c r="I3034" s="13" t="n">
        <f aca="false">IFERROR(H3034/$P3034,"")</f>
        <v>0</v>
      </c>
      <c r="J3034" s="12" t="n">
        <f aca="false">COUNTIFS(Cleaned!$D$2:$D$125,12,Cleaned!EN$2:EN$125,5)</f>
        <v>0</v>
      </c>
      <c r="K3034" s="13" t="n">
        <f aca="false">IFERROR(J3034/$P3034,"")</f>
        <v>0</v>
      </c>
      <c r="L3034" s="12" t="n">
        <f aca="false">COUNTIFS(Cleaned!$D$2:$D$125,12,Cleaned!EN$2:EN$125,6)</f>
        <v>0</v>
      </c>
      <c r="M3034" s="13" t="n">
        <f aca="false">IFERROR(L3034/$P3034,"")</f>
        <v>0</v>
      </c>
      <c r="N3034" s="12" t="n">
        <f aca="false">COUNTIFS(Cleaned!$D$2:$D$125,12,Cleaned!EN$2:EN$125,7)</f>
        <v>0</v>
      </c>
      <c r="O3034" s="13" t="n">
        <f aca="false">IFERROR(N3034/$P3034,"")</f>
        <v>0</v>
      </c>
      <c r="P3034" s="12" t="n">
        <f aca="false">B3034+D3034+F3034+H3034+J3034+L3034+N3034</f>
        <v>1</v>
      </c>
    </row>
    <row r="3035" customFormat="false" ht="15" hidden="false" customHeight="false" outlineLevel="0" collapsed="false">
      <c r="A3035" s="11" t="s">
        <v>716</v>
      </c>
      <c r="B3035" s="11" t="n">
        <f aca="false">SUM(B3023:B3034)</f>
        <v>13</v>
      </c>
      <c r="C3035" s="14" t="n">
        <f aca="false">IFERROR(B3035/$P3035,"")</f>
        <v>0.65</v>
      </c>
      <c r="D3035" s="11" t="n">
        <f aca="false">SUM(D3023:D3034)</f>
        <v>1</v>
      </c>
      <c r="E3035" s="14" t="n">
        <f aca="false">IFERROR(D3035/$P3035,"")</f>
        <v>0.05</v>
      </c>
      <c r="F3035" s="11" t="n">
        <f aca="false">SUM(F3023:F3034)</f>
        <v>0</v>
      </c>
      <c r="G3035" s="14" t="n">
        <f aca="false">IFERROR(F3035/$P3035,"")</f>
        <v>0</v>
      </c>
      <c r="H3035" s="11" t="n">
        <f aca="false">SUM(H3023:H3034)</f>
        <v>0</v>
      </c>
      <c r="I3035" s="14" t="n">
        <f aca="false">IFERROR(H3035/$P3035,"")</f>
        <v>0</v>
      </c>
      <c r="J3035" s="11" t="n">
        <f aca="false">SUM(J3023:J3034)</f>
        <v>3</v>
      </c>
      <c r="K3035" s="14" t="n">
        <f aca="false">IFERROR(J3035/$P3035,"")</f>
        <v>0.15</v>
      </c>
      <c r="L3035" s="11" t="n">
        <f aca="false">SUM(L3023:L3034)</f>
        <v>2</v>
      </c>
      <c r="M3035" s="14" t="n">
        <f aca="false">IFERROR(L3035/$P3035,"")</f>
        <v>0.1</v>
      </c>
      <c r="N3035" s="11" t="n">
        <f aca="false">SUM(N3023:N3034)</f>
        <v>1</v>
      </c>
      <c r="O3035" s="14" t="n">
        <f aca="false">IFERROR(N3035/$P3035,"")</f>
        <v>0.05</v>
      </c>
      <c r="P3035" s="11" t="n">
        <f aca="false">SUM(P3023:P3034)</f>
        <v>20</v>
      </c>
    </row>
    <row r="3038" customFormat="false" ht="15" hidden="false" customHeight="false" outlineLevel="0" collapsed="false">
      <c r="A3038" s="6" t="s">
        <v>144</v>
      </c>
      <c r="B3038" s="7" t="s">
        <v>878</v>
      </c>
    </row>
    <row r="3039" customFormat="false" ht="15" hidden="false" customHeight="false" outlineLevel="0" collapsed="false">
      <c r="A3039" s="8"/>
      <c r="B3039" s="9" t="s">
        <v>372</v>
      </c>
      <c r="C3039" s="8"/>
      <c r="D3039" s="9" t="s">
        <v>879</v>
      </c>
      <c r="E3039" s="8"/>
      <c r="F3039" s="9" t="s">
        <v>880</v>
      </c>
      <c r="G3039" s="8"/>
      <c r="H3039" s="9" t="s">
        <v>881</v>
      </c>
      <c r="I3039" s="8"/>
      <c r="J3039" s="9" t="s">
        <v>882</v>
      </c>
      <c r="K3039" s="8"/>
      <c r="L3039" s="9" t="s">
        <v>589</v>
      </c>
      <c r="M3039" s="8"/>
      <c r="N3039" s="9" t="s">
        <v>883</v>
      </c>
      <c r="O3039" s="8"/>
      <c r="P3039" s="9" t="s">
        <v>884</v>
      </c>
      <c r="Q3039" s="8"/>
      <c r="R3039" s="9" t="s">
        <v>221</v>
      </c>
      <c r="S3039" s="8"/>
      <c r="T3039" s="9" t="s">
        <v>218</v>
      </c>
      <c r="U3039" s="8"/>
      <c r="V3039" s="9" t="s">
        <v>246</v>
      </c>
      <c r="W3039" s="8"/>
      <c r="X3039" s="9" t="s">
        <v>230</v>
      </c>
      <c r="Y3039" s="8"/>
      <c r="Z3039" s="9" t="s">
        <v>694</v>
      </c>
    </row>
    <row r="3040" customFormat="false" ht="15" hidden="false" customHeight="false" outlineLevel="0" collapsed="false">
      <c r="B3040" s="10" t="s">
        <v>695</v>
      </c>
      <c r="C3040" s="10" t="s">
        <v>696</v>
      </c>
      <c r="D3040" s="10" t="s">
        <v>695</v>
      </c>
      <c r="E3040" s="10" t="s">
        <v>696</v>
      </c>
      <c r="F3040" s="10" t="s">
        <v>695</v>
      </c>
      <c r="G3040" s="10" t="s">
        <v>696</v>
      </c>
      <c r="H3040" s="10" t="s">
        <v>695</v>
      </c>
      <c r="I3040" s="10" t="s">
        <v>696</v>
      </c>
      <c r="J3040" s="10" t="s">
        <v>695</v>
      </c>
      <c r="K3040" s="10" t="s">
        <v>696</v>
      </c>
      <c r="L3040" s="10" t="s">
        <v>695</v>
      </c>
      <c r="M3040" s="10" t="s">
        <v>696</v>
      </c>
      <c r="N3040" s="10" t="s">
        <v>695</v>
      </c>
      <c r="O3040" s="10" t="s">
        <v>696</v>
      </c>
      <c r="P3040" s="10" t="s">
        <v>695</v>
      </c>
      <c r="Q3040" s="10" t="s">
        <v>696</v>
      </c>
      <c r="R3040" s="10" t="s">
        <v>695</v>
      </c>
      <c r="S3040" s="10" t="s">
        <v>696</v>
      </c>
      <c r="T3040" s="10" t="s">
        <v>695</v>
      </c>
      <c r="U3040" s="10" t="s">
        <v>696</v>
      </c>
      <c r="V3040" s="10" t="s">
        <v>695</v>
      </c>
      <c r="W3040" s="10" t="s">
        <v>696</v>
      </c>
      <c r="X3040" s="10" t="s">
        <v>695</v>
      </c>
      <c r="Y3040" s="10" t="s">
        <v>696</v>
      </c>
    </row>
    <row r="3041" customFormat="false" ht="15" hidden="false" customHeight="false" outlineLevel="0" collapsed="false">
      <c r="A3041" s="11" t="s">
        <v>697</v>
      </c>
    </row>
    <row r="3042" customFormat="false" ht="15" hidden="false" customHeight="false" outlineLevel="0" collapsed="false">
      <c r="A3042" s="12" t="s">
        <v>698</v>
      </c>
      <c r="B3042" s="12" t="n">
        <f aca="false">COUNTIFS(Cleaned!$C$2:$C$125,1,Cleaned!EO$2:EO$125,1)</f>
        <v>1</v>
      </c>
      <c r="C3042" s="13" t="n">
        <f aca="false">IFERROR(B3042/$Z3042,"")</f>
        <v>0.5</v>
      </c>
      <c r="D3042" s="12" t="n">
        <f aca="false">COUNTIFS(Cleaned!$C$2:$C$125,1,Cleaned!EO$2:EO$125,2)</f>
        <v>0</v>
      </c>
      <c r="E3042" s="13" t="n">
        <f aca="false">IFERROR(D3042/$Z3042,"")</f>
        <v>0</v>
      </c>
      <c r="F3042" s="12" t="n">
        <f aca="false">COUNTIFS(Cleaned!$C$2:$C$125,1,Cleaned!EO$2:EO$125,3)</f>
        <v>0</v>
      </c>
      <c r="G3042" s="13" t="n">
        <f aca="false">IFERROR(F3042/$Z3042,"")</f>
        <v>0</v>
      </c>
      <c r="H3042" s="12" t="n">
        <f aca="false">COUNTIFS(Cleaned!$C$2:$C$125,1,Cleaned!EO$2:EO$125,4)</f>
        <v>0</v>
      </c>
      <c r="I3042" s="13" t="n">
        <f aca="false">IFERROR(H3042/$Z3042,"")</f>
        <v>0</v>
      </c>
      <c r="J3042" s="12" t="n">
        <f aca="false">COUNTIFS(Cleaned!$C$2:$C$125,1,Cleaned!EO$2:EO$125,5)</f>
        <v>0</v>
      </c>
      <c r="K3042" s="13" t="n">
        <f aca="false">IFERROR(J3042/$Z3042,"")</f>
        <v>0</v>
      </c>
      <c r="L3042" s="12" t="n">
        <f aca="false">COUNTIFS(Cleaned!$C$2:$C$125,1,Cleaned!EO$2:EO$125,6)</f>
        <v>0</v>
      </c>
      <c r="M3042" s="13" t="n">
        <f aca="false">IFERROR(L3042/$Z3042,"")</f>
        <v>0</v>
      </c>
      <c r="N3042" s="12" t="n">
        <f aca="false">COUNTIFS(Cleaned!$C$2:$C$125,1,Cleaned!EO$2:EO$125,7)</f>
        <v>0</v>
      </c>
      <c r="O3042" s="13" t="n">
        <f aca="false">IFERROR(N3042/$Z3042,"")</f>
        <v>0</v>
      </c>
      <c r="P3042" s="12" t="n">
        <f aca="false">COUNTIFS(Cleaned!$C$2:$C$125,1,Cleaned!EO$2:EO$125,8)</f>
        <v>0</v>
      </c>
      <c r="Q3042" s="13" t="n">
        <f aca="false">IFERROR(P3042/$Z3042,"")</f>
        <v>0</v>
      </c>
      <c r="R3042" s="12" t="n">
        <f aca="false">COUNTIFS(Cleaned!$C$2:$C$125,1,Cleaned!EO$2:EO$125,9)</f>
        <v>0</v>
      </c>
      <c r="S3042" s="13" t="n">
        <f aca="false">IFERROR(R3042/$Z3042,"")</f>
        <v>0</v>
      </c>
      <c r="T3042" s="12" t="n">
        <f aca="false">COUNTIFS(Cleaned!$C$2:$C$125,1,Cleaned!EO$2:EO$125,10)</f>
        <v>0</v>
      </c>
      <c r="U3042" s="13" t="n">
        <f aca="false">IFERROR(T3042/$Z3042,"")</f>
        <v>0</v>
      </c>
      <c r="V3042" s="12" t="n">
        <f aca="false">COUNTIFS(Cleaned!$C$2:$C$125,1,Cleaned!EO$2:EO$125,11)</f>
        <v>1</v>
      </c>
      <c r="W3042" s="13" t="n">
        <f aca="false">IFERROR(V3042/$Z3042,"")</f>
        <v>0.5</v>
      </c>
      <c r="X3042" s="12" t="n">
        <f aca="false">COUNTIFS(Cleaned!$C$2:$C$125,1,Cleaned!EO$2:EO$125,12)</f>
        <v>0</v>
      </c>
      <c r="Y3042" s="13" t="n">
        <f aca="false">IFERROR(X3042/$Z3042,"")</f>
        <v>0</v>
      </c>
      <c r="Z3042" s="12" t="n">
        <f aca="false">B3042+D3042+F3042+H3042+J3042+L3042+N3042+P3042+R3042+T3042+V3042+X3042</f>
        <v>2</v>
      </c>
    </row>
    <row r="3043" customFormat="false" ht="15" hidden="false" customHeight="false" outlineLevel="0" collapsed="false">
      <c r="A3043" s="12" t="s">
        <v>699</v>
      </c>
      <c r="B3043" s="12" t="n">
        <f aca="false">COUNTIFS(Cleaned!$C$2:$C$125,2,Cleaned!EO$2:EO$125,1)</f>
        <v>1</v>
      </c>
      <c r="C3043" s="13" t="n">
        <f aca="false">IFERROR(B3043/$Z3043,"")</f>
        <v>0.5</v>
      </c>
      <c r="D3043" s="12" t="n">
        <f aca="false">COUNTIFS(Cleaned!$C$2:$C$125,2,Cleaned!EO$2:EO$125,2)</f>
        <v>0</v>
      </c>
      <c r="E3043" s="13" t="n">
        <f aca="false">IFERROR(D3043/$Z3043,"")</f>
        <v>0</v>
      </c>
      <c r="F3043" s="12" t="n">
        <f aca="false">COUNTIFS(Cleaned!$C$2:$C$125,2,Cleaned!EO$2:EO$125,3)</f>
        <v>0</v>
      </c>
      <c r="G3043" s="13" t="n">
        <f aca="false">IFERROR(F3043/$Z3043,"")</f>
        <v>0</v>
      </c>
      <c r="H3043" s="12" t="n">
        <f aca="false">COUNTIFS(Cleaned!$C$2:$C$125,2,Cleaned!EO$2:EO$125,4)</f>
        <v>0</v>
      </c>
      <c r="I3043" s="13" t="n">
        <f aca="false">IFERROR(H3043/$Z3043,"")</f>
        <v>0</v>
      </c>
      <c r="J3043" s="12" t="n">
        <f aca="false">COUNTIFS(Cleaned!$C$2:$C$125,2,Cleaned!EO$2:EO$125,5)</f>
        <v>0</v>
      </c>
      <c r="K3043" s="13" t="n">
        <f aca="false">IFERROR(J3043/$Z3043,"")</f>
        <v>0</v>
      </c>
      <c r="L3043" s="12" t="n">
        <f aca="false">COUNTIFS(Cleaned!$C$2:$C$125,2,Cleaned!EO$2:EO$125,6)</f>
        <v>0</v>
      </c>
      <c r="M3043" s="13" t="n">
        <f aca="false">IFERROR(L3043/$Z3043,"")</f>
        <v>0</v>
      </c>
      <c r="N3043" s="12" t="n">
        <f aca="false">COUNTIFS(Cleaned!$C$2:$C$125,2,Cleaned!EO$2:EO$125,7)</f>
        <v>0</v>
      </c>
      <c r="O3043" s="13" t="n">
        <f aca="false">IFERROR(N3043/$Z3043,"")</f>
        <v>0</v>
      </c>
      <c r="P3043" s="12" t="n">
        <f aca="false">COUNTIFS(Cleaned!$C$2:$C$125,2,Cleaned!EO$2:EO$125,8)</f>
        <v>0</v>
      </c>
      <c r="Q3043" s="13" t="n">
        <f aca="false">IFERROR(P3043/$Z3043,"")</f>
        <v>0</v>
      </c>
      <c r="R3043" s="12" t="n">
        <f aca="false">COUNTIFS(Cleaned!$C$2:$C$125,2,Cleaned!EO$2:EO$125,9)</f>
        <v>0</v>
      </c>
      <c r="S3043" s="13" t="n">
        <f aca="false">IFERROR(R3043/$Z3043,"")</f>
        <v>0</v>
      </c>
      <c r="T3043" s="12" t="n">
        <f aca="false">COUNTIFS(Cleaned!$C$2:$C$125,2,Cleaned!EO$2:EO$125,10)</f>
        <v>0</v>
      </c>
      <c r="U3043" s="13" t="n">
        <f aca="false">IFERROR(T3043/$Z3043,"")</f>
        <v>0</v>
      </c>
      <c r="V3043" s="12" t="n">
        <f aca="false">COUNTIFS(Cleaned!$C$2:$C$125,2,Cleaned!EO$2:EO$125,11)</f>
        <v>0</v>
      </c>
      <c r="W3043" s="13" t="n">
        <f aca="false">IFERROR(V3043/$Z3043,"")</f>
        <v>0</v>
      </c>
      <c r="X3043" s="12" t="n">
        <f aca="false">COUNTIFS(Cleaned!$C$2:$C$125,2,Cleaned!EO$2:EO$125,12)</f>
        <v>1</v>
      </c>
      <c r="Y3043" s="13" t="n">
        <f aca="false">IFERROR(X3043/$Z3043,"")</f>
        <v>0.5</v>
      </c>
      <c r="Z3043" s="12" t="n">
        <f aca="false">B3043+D3043+F3043+H3043+J3043+L3043+N3043+P3043+R3043+T3043+V3043+X3043</f>
        <v>2</v>
      </c>
    </row>
    <row r="3044" customFormat="false" ht="15" hidden="false" customHeight="false" outlineLevel="0" collapsed="false">
      <c r="A3044" s="12" t="s">
        <v>700</v>
      </c>
      <c r="B3044" s="12" t="n">
        <f aca="false">COUNTIFS(Cleaned!$C$2:$C$125,3,Cleaned!EO$2:EO$125,1)</f>
        <v>3</v>
      </c>
      <c r="C3044" s="13" t="n">
        <f aca="false">IFERROR(B3044/$Z3044,"")</f>
        <v>0.6</v>
      </c>
      <c r="D3044" s="12" t="n">
        <f aca="false">COUNTIFS(Cleaned!$C$2:$C$125,3,Cleaned!EO$2:EO$125,2)</f>
        <v>1</v>
      </c>
      <c r="E3044" s="13" t="n">
        <f aca="false">IFERROR(D3044/$Z3044,"")</f>
        <v>0.2</v>
      </c>
      <c r="F3044" s="12" t="n">
        <f aca="false">COUNTIFS(Cleaned!$C$2:$C$125,3,Cleaned!EO$2:EO$125,3)</f>
        <v>0</v>
      </c>
      <c r="G3044" s="13" t="n">
        <f aca="false">IFERROR(F3044/$Z3044,"")</f>
        <v>0</v>
      </c>
      <c r="H3044" s="12" t="n">
        <f aca="false">COUNTIFS(Cleaned!$C$2:$C$125,3,Cleaned!EO$2:EO$125,4)</f>
        <v>0</v>
      </c>
      <c r="I3044" s="13" t="n">
        <f aca="false">IFERROR(H3044/$Z3044,"")</f>
        <v>0</v>
      </c>
      <c r="J3044" s="12" t="n">
        <f aca="false">COUNTIFS(Cleaned!$C$2:$C$125,3,Cleaned!EO$2:EO$125,5)</f>
        <v>0</v>
      </c>
      <c r="K3044" s="13" t="n">
        <f aca="false">IFERROR(J3044/$Z3044,"")</f>
        <v>0</v>
      </c>
      <c r="L3044" s="12" t="n">
        <f aca="false">COUNTIFS(Cleaned!$C$2:$C$125,3,Cleaned!EO$2:EO$125,6)</f>
        <v>0</v>
      </c>
      <c r="M3044" s="13" t="n">
        <f aca="false">IFERROR(L3044/$Z3044,"")</f>
        <v>0</v>
      </c>
      <c r="N3044" s="12" t="n">
        <f aca="false">COUNTIFS(Cleaned!$C$2:$C$125,3,Cleaned!EO$2:EO$125,7)</f>
        <v>0</v>
      </c>
      <c r="O3044" s="13" t="n">
        <f aca="false">IFERROR(N3044/$Z3044,"")</f>
        <v>0</v>
      </c>
      <c r="P3044" s="12" t="n">
        <f aca="false">COUNTIFS(Cleaned!$C$2:$C$125,3,Cleaned!EO$2:EO$125,8)</f>
        <v>0</v>
      </c>
      <c r="Q3044" s="13" t="n">
        <f aca="false">IFERROR(P3044/$Z3044,"")</f>
        <v>0</v>
      </c>
      <c r="R3044" s="12" t="n">
        <f aca="false">COUNTIFS(Cleaned!$C$2:$C$125,3,Cleaned!EO$2:EO$125,9)</f>
        <v>0</v>
      </c>
      <c r="S3044" s="13" t="n">
        <f aca="false">IFERROR(R3044/$Z3044,"")</f>
        <v>0</v>
      </c>
      <c r="T3044" s="12" t="n">
        <f aca="false">COUNTIFS(Cleaned!$C$2:$C$125,3,Cleaned!EO$2:EO$125,10)</f>
        <v>0</v>
      </c>
      <c r="U3044" s="13" t="n">
        <f aca="false">IFERROR(T3044/$Z3044,"")</f>
        <v>0</v>
      </c>
      <c r="V3044" s="12" t="n">
        <f aca="false">COUNTIFS(Cleaned!$C$2:$C$125,3,Cleaned!EO$2:EO$125,11)</f>
        <v>1</v>
      </c>
      <c r="W3044" s="13" t="n">
        <f aca="false">IFERROR(V3044/$Z3044,"")</f>
        <v>0.2</v>
      </c>
      <c r="X3044" s="12" t="n">
        <f aca="false">COUNTIFS(Cleaned!$C$2:$C$125,3,Cleaned!EO$2:EO$125,12)</f>
        <v>0</v>
      </c>
      <c r="Y3044" s="13" t="n">
        <f aca="false">IFERROR(X3044/$Z3044,"")</f>
        <v>0</v>
      </c>
      <c r="Z3044" s="12" t="n">
        <f aca="false">B3044+D3044+F3044+H3044+J3044+L3044+N3044+P3044+R3044+T3044+V3044+X3044</f>
        <v>5</v>
      </c>
    </row>
    <row r="3045" customFormat="false" ht="15" hidden="false" customHeight="false" outlineLevel="0" collapsed="false">
      <c r="A3045" s="12" t="s">
        <v>701</v>
      </c>
      <c r="B3045" s="12" t="n">
        <f aca="false">COUNTIFS(Cleaned!$C$2:$C$125,4,Cleaned!EO$2:EO$125,1)</f>
        <v>2</v>
      </c>
      <c r="C3045" s="13" t="n">
        <f aca="false">IFERROR(B3045/$Z3045,"")</f>
        <v>0.666666666666667</v>
      </c>
      <c r="D3045" s="12" t="n">
        <f aca="false">COUNTIFS(Cleaned!$C$2:$C$125,4,Cleaned!EO$2:EO$125,2)</f>
        <v>0</v>
      </c>
      <c r="E3045" s="13" t="n">
        <f aca="false">IFERROR(D3045/$Z3045,"")</f>
        <v>0</v>
      </c>
      <c r="F3045" s="12" t="n">
        <f aca="false">COUNTIFS(Cleaned!$C$2:$C$125,4,Cleaned!EO$2:EO$125,3)</f>
        <v>0</v>
      </c>
      <c r="G3045" s="13" t="n">
        <f aca="false">IFERROR(F3045/$Z3045,"")</f>
        <v>0</v>
      </c>
      <c r="H3045" s="12" t="n">
        <f aca="false">COUNTIFS(Cleaned!$C$2:$C$125,4,Cleaned!EO$2:EO$125,4)</f>
        <v>0</v>
      </c>
      <c r="I3045" s="13" t="n">
        <f aca="false">IFERROR(H3045/$Z3045,"")</f>
        <v>0</v>
      </c>
      <c r="J3045" s="12" t="n">
        <f aca="false">COUNTIFS(Cleaned!$C$2:$C$125,4,Cleaned!EO$2:EO$125,5)</f>
        <v>0</v>
      </c>
      <c r="K3045" s="13" t="n">
        <f aca="false">IFERROR(J3045/$Z3045,"")</f>
        <v>0</v>
      </c>
      <c r="L3045" s="12" t="n">
        <f aca="false">COUNTIFS(Cleaned!$C$2:$C$125,4,Cleaned!EO$2:EO$125,6)</f>
        <v>1</v>
      </c>
      <c r="M3045" s="13" t="n">
        <f aca="false">IFERROR(L3045/$Z3045,"")</f>
        <v>0.333333333333333</v>
      </c>
      <c r="N3045" s="12" t="n">
        <f aca="false">COUNTIFS(Cleaned!$C$2:$C$125,4,Cleaned!EO$2:EO$125,7)</f>
        <v>0</v>
      </c>
      <c r="O3045" s="13" t="n">
        <f aca="false">IFERROR(N3045/$Z3045,"")</f>
        <v>0</v>
      </c>
      <c r="P3045" s="12" t="n">
        <f aca="false">COUNTIFS(Cleaned!$C$2:$C$125,4,Cleaned!EO$2:EO$125,8)</f>
        <v>0</v>
      </c>
      <c r="Q3045" s="13" t="n">
        <f aca="false">IFERROR(P3045/$Z3045,"")</f>
        <v>0</v>
      </c>
      <c r="R3045" s="12" t="n">
        <f aca="false">COUNTIFS(Cleaned!$C$2:$C$125,4,Cleaned!EO$2:EO$125,9)</f>
        <v>0</v>
      </c>
      <c r="S3045" s="13" t="n">
        <f aca="false">IFERROR(R3045/$Z3045,"")</f>
        <v>0</v>
      </c>
      <c r="T3045" s="12" t="n">
        <f aca="false">COUNTIFS(Cleaned!$C$2:$C$125,4,Cleaned!EO$2:EO$125,10)</f>
        <v>0</v>
      </c>
      <c r="U3045" s="13" t="n">
        <f aca="false">IFERROR(T3045/$Z3045,"")</f>
        <v>0</v>
      </c>
      <c r="V3045" s="12" t="n">
        <f aca="false">COUNTIFS(Cleaned!$C$2:$C$125,4,Cleaned!EO$2:EO$125,11)</f>
        <v>0</v>
      </c>
      <c r="W3045" s="13" t="n">
        <f aca="false">IFERROR(V3045/$Z3045,"")</f>
        <v>0</v>
      </c>
      <c r="X3045" s="12" t="n">
        <f aca="false">COUNTIFS(Cleaned!$C$2:$C$125,4,Cleaned!EO$2:EO$125,12)</f>
        <v>0</v>
      </c>
      <c r="Y3045" s="13" t="n">
        <f aca="false">IFERROR(X3045/$Z3045,"")</f>
        <v>0</v>
      </c>
      <c r="Z3045" s="12" t="n">
        <f aca="false">B3045+D3045+F3045+H3045+J3045+L3045+N3045+P3045+R3045+T3045+V3045+X3045</f>
        <v>3</v>
      </c>
    </row>
    <row r="3046" customFormat="false" ht="15" hidden="false" customHeight="false" outlineLevel="0" collapsed="false">
      <c r="A3046" s="12" t="s">
        <v>702</v>
      </c>
      <c r="B3046" s="12" t="n">
        <f aca="false">COUNTIFS(Cleaned!$C$2:$C$125,5,Cleaned!EO$2:EO$125,1)</f>
        <v>4</v>
      </c>
      <c r="C3046" s="13" t="n">
        <f aca="false">IFERROR(B3046/$Z3046,"")</f>
        <v>0.4</v>
      </c>
      <c r="D3046" s="12" t="n">
        <f aca="false">COUNTIFS(Cleaned!$C$2:$C$125,5,Cleaned!EO$2:EO$125,2)</f>
        <v>0</v>
      </c>
      <c r="E3046" s="13" t="n">
        <f aca="false">IFERROR(D3046/$Z3046,"")</f>
        <v>0</v>
      </c>
      <c r="F3046" s="12" t="n">
        <f aca="false">COUNTIFS(Cleaned!$C$2:$C$125,5,Cleaned!EO$2:EO$125,3)</f>
        <v>1</v>
      </c>
      <c r="G3046" s="13" t="n">
        <f aca="false">IFERROR(F3046/$Z3046,"")</f>
        <v>0.1</v>
      </c>
      <c r="H3046" s="12" t="n">
        <f aca="false">COUNTIFS(Cleaned!$C$2:$C$125,5,Cleaned!EO$2:EO$125,4)</f>
        <v>1</v>
      </c>
      <c r="I3046" s="13" t="n">
        <f aca="false">IFERROR(H3046/$Z3046,"")</f>
        <v>0.1</v>
      </c>
      <c r="J3046" s="12" t="n">
        <f aca="false">COUNTIFS(Cleaned!$C$2:$C$125,5,Cleaned!EO$2:EO$125,5)</f>
        <v>1</v>
      </c>
      <c r="K3046" s="13" t="n">
        <f aca="false">IFERROR(J3046/$Z3046,"")</f>
        <v>0.1</v>
      </c>
      <c r="L3046" s="12" t="n">
        <f aca="false">COUNTIFS(Cleaned!$C$2:$C$125,5,Cleaned!EO$2:EO$125,6)</f>
        <v>0</v>
      </c>
      <c r="M3046" s="13" t="n">
        <f aca="false">IFERROR(L3046/$Z3046,"")</f>
        <v>0</v>
      </c>
      <c r="N3046" s="12" t="n">
        <f aca="false">COUNTIFS(Cleaned!$C$2:$C$125,5,Cleaned!EO$2:EO$125,7)</f>
        <v>1</v>
      </c>
      <c r="O3046" s="13" t="n">
        <f aca="false">IFERROR(N3046/$Z3046,"")</f>
        <v>0.1</v>
      </c>
      <c r="P3046" s="12" t="n">
        <f aca="false">COUNTIFS(Cleaned!$C$2:$C$125,5,Cleaned!EO$2:EO$125,8)</f>
        <v>1</v>
      </c>
      <c r="Q3046" s="13" t="n">
        <f aca="false">IFERROR(P3046/$Z3046,"")</f>
        <v>0.1</v>
      </c>
      <c r="R3046" s="12" t="n">
        <f aca="false">COUNTIFS(Cleaned!$C$2:$C$125,5,Cleaned!EO$2:EO$125,9)</f>
        <v>0</v>
      </c>
      <c r="S3046" s="13" t="n">
        <f aca="false">IFERROR(R3046/$Z3046,"")</f>
        <v>0</v>
      </c>
      <c r="T3046" s="12" t="n">
        <f aca="false">COUNTIFS(Cleaned!$C$2:$C$125,5,Cleaned!EO$2:EO$125,10)</f>
        <v>1</v>
      </c>
      <c r="U3046" s="13" t="n">
        <f aca="false">IFERROR(T3046/$Z3046,"")</f>
        <v>0.1</v>
      </c>
      <c r="V3046" s="12" t="n">
        <f aca="false">COUNTIFS(Cleaned!$C$2:$C$125,5,Cleaned!EO$2:EO$125,11)</f>
        <v>0</v>
      </c>
      <c r="W3046" s="13" t="n">
        <f aca="false">IFERROR(V3046/$Z3046,"")</f>
        <v>0</v>
      </c>
      <c r="X3046" s="12" t="n">
        <f aca="false">COUNTIFS(Cleaned!$C$2:$C$125,5,Cleaned!EO$2:EO$125,12)</f>
        <v>0</v>
      </c>
      <c r="Y3046" s="13" t="n">
        <f aca="false">IFERROR(X3046/$Z3046,"")</f>
        <v>0</v>
      </c>
      <c r="Z3046" s="12" t="n">
        <f aca="false">B3046+D3046+F3046+H3046+J3046+L3046+N3046+P3046+R3046+T3046+V3046+X3046</f>
        <v>10</v>
      </c>
    </row>
    <row r="3047" customFormat="false" ht="15" hidden="false" customHeight="false" outlineLevel="0" collapsed="false">
      <c r="A3047" s="11" t="s">
        <v>703</v>
      </c>
      <c r="B3047" s="11" t="n">
        <f aca="false">SUM(B3042:B3046)</f>
        <v>11</v>
      </c>
      <c r="C3047" s="14" t="n">
        <f aca="false">IFERROR(B3047/$Z3047,"")</f>
        <v>0.5</v>
      </c>
      <c r="D3047" s="11" t="n">
        <f aca="false">SUM(D3042:D3046)</f>
        <v>1</v>
      </c>
      <c r="E3047" s="14" t="n">
        <f aca="false">IFERROR(D3047/$Z3047,"")</f>
        <v>0.0454545454545455</v>
      </c>
      <c r="F3047" s="11" t="n">
        <f aca="false">SUM(F3042:F3046)</f>
        <v>1</v>
      </c>
      <c r="G3047" s="14" t="n">
        <f aca="false">IFERROR(F3047/$Z3047,"")</f>
        <v>0.0454545454545455</v>
      </c>
      <c r="H3047" s="11" t="n">
        <f aca="false">SUM(H3042:H3046)</f>
        <v>1</v>
      </c>
      <c r="I3047" s="14" t="n">
        <f aca="false">IFERROR(H3047/$Z3047,"")</f>
        <v>0.0454545454545455</v>
      </c>
      <c r="J3047" s="11" t="n">
        <f aca="false">SUM(J3042:J3046)</f>
        <v>1</v>
      </c>
      <c r="K3047" s="14" t="n">
        <f aca="false">IFERROR(J3047/$Z3047,"")</f>
        <v>0.0454545454545455</v>
      </c>
      <c r="L3047" s="11" t="n">
        <f aca="false">SUM(L3042:L3046)</f>
        <v>1</v>
      </c>
      <c r="M3047" s="14" t="n">
        <f aca="false">IFERROR(L3047/$Z3047,"")</f>
        <v>0.0454545454545455</v>
      </c>
      <c r="N3047" s="11" t="n">
        <f aca="false">SUM(N3042:N3046)</f>
        <v>1</v>
      </c>
      <c r="O3047" s="14" t="n">
        <f aca="false">IFERROR(N3047/$Z3047,"")</f>
        <v>0.0454545454545455</v>
      </c>
      <c r="P3047" s="11" t="n">
        <f aca="false">SUM(P3042:P3046)</f>
        <v>1</v>
      </c>
      <c r="Q3047" s="14" t="n">
        <f aca="false">IFERROR(P3047/$Z3047,"")</f>
        <v>0.0454545454545455</v>
      </c>
      <c r="R3047" s="11" t="n">
        <f aca="false">SUM(R3042:R3046)</f>
        <v>0</v>
      </c>
      <c r="S3047" s="14" t="n">
        <f aca="false">IFERROR(R3047/$Z3047,"")</f>
        <v>0</v>
      </c>
      <c r="T3047" s="11" t="n">
        <f aca="false">SUM(T3042:T3046)</f>
        <v>1</v>
      </c>
      <c r="U3047" s="14" t="n">
        <f aca="false">IFERROR(T3047/$Z3047,"")</f>
        <v>0.0454545454545455</v>
      </c>
      <c r="V3047" s="11" t="n">
        <f aca="false">SUM(V3042:V3046)</f>
        <v>2</v>
      </c>
      <c r="W3047" s="14" t="n">
        <f aca="false">IFERROR(V3047/$Z3047,"")</f>
        <v>0.0909090909090909</v>
      </c>
      <c r="X3047" s="11" t="n">
        <f aca="false">SUM(X3042:X3046)</f>
        <v>1</v>
      </c>
      <c r="Y3047" s="14" t="n">
        <f aca="false">IFERROR(X3047/$Z3047,"")</f>
        <v>0.0454545454545455</v>
      </c>
      <c r="Z3047" s="11" t="n">
        <f aca="false">SUM(Z3042:Z3046)</f>
        <v>22</v>
      </c>
    </row>
    <row r="3048" customFormat="false" ht="15" hidden="false" customHeight="false" outlineLevel="0" collapsed="false">
      <c r="A3048" s="11" t="s">
        <v>3</v>
      </c>
    </row>
    <row r="3049" customFormat="false" ht="15" hidden="false" customHeight="false" outlineLevel="0" collapsed="false">
      <c r="A3049" s="12" t="s">
        <v>704</v>
      </c>
      <c r="B3049" s="12" t="n">
        <f aca="false">COUNTIFS(Cleaned!$D$2:$D$125,1,Cleaned!EO$2:EO$125,1)</f>
        <v>1</v>
      </c>
      <c r="C3049" s="13" t="n">
        <f aca="false">IFERROR(B3049/$Z3049,"")</f>
        <v>0.5</v>
      </c>
      <c r="D3049" s="12" t="n">
        <f aca="false">COUNTIFS(Cleaned!$D$2:$D$125,1,Cleaned!EO$2:EO$125,2)</f>
        <v>1</v>
      </c>
      <c r="E3049" s="13" t="n">
        <f aca="false">IFERROR(D3049/$Z3049,"")</f>
        <v>0.5</v>
      </c>
      <c r="F3049" s="12" t="n">
        <f aca="false">COUNTIFS(Cleaned!$D$2:$D$125,1,Cleaned!EO$2:EO$125,3)</f>
        <v>0</v>
      </c>
      <c r="G3049" s="13" t="n">
        <f aca="false">IFERROR(F3049/$Z3049,"")</f>
        <v>0</v>
      </c>
      <c r="H3049" s="12" t="n">
        <f aca="false">COUNTIFS(Cleaned!$D$2:$D$125,1,Cleaned!EO$2:EO$125,4)</f>
        <v>0</v>
      </c>
      <c r="I3049" s="13" t="n">
        <f aca="false">IFERROR(H3049/$Z3049,"")</f>
        <v>0</v>
      </c>
      <c r="J3049" s="12" t="n">
        <f aca="false">COUNTIFS(Cleaned!$D$2:$D$125,1,Cleaned!EO$2:EO$125,5)</f>
        <v>0</v>
      </c>
      <c r="K3049" s="13" t="n">
        <f aca="false">IFERROR(J3049/$Z3049,"")</f>
        <v>0</v>
      </c>
      <c r="L3049" s="12" t="n">
        <f aca="false">COUNTIFS(Cleaned!$D$2:$D$125,1,Cleaned!EO$2:EO$125,6)</f>
        <v>0</v>
      </c>
      <c r="M3049" s="13" t="n">
        <f aca="false">IFERROR(L3049/$Z3049,"")</f>
        <v>0</v>
      </c>
      <c r="N3049" s="12" t="n">
        <f aca="false">COUNTIFS(Cleaned!$D$2:$D$125,1,Cleaned!EO$2:EO$125,7)</f>
        <v>0</v>
      </c>
      <c r="O3049" s="13" t="n">
        <f aca="false">IFERROR(N3049/$Z3049,"")</f>
        <v>0</v>
      </c>
      <c r="P3049" s="12" t="n">
        <f aca="false">COUNTIFS(Cleaned!$D$2:$D$125,1,Cleaned!EO$2:EO$125,8)</f>
        <v>0</v>
      </c>
      <c r="Q3049" s="13" t="n">
        <f aca="false">IFERROR(P3049/$Z3049,"")</f>
        <v>0</v>
      </c>
      <c r="R3049" s="12" t="n">
        <f aca="false">COUNTIFS(Cleaned!$D$2:$D$125,1,Cleaned!EO$2:EO$125,9)</f>
        <v>0</v>
      </c>
      <c r="S3049" s="13" t="n">
        <f aca="false">IFERROR(R3049/$Z3049,"")</f>
        <v>0</v>
      </c>
      <c r="T3049" s="12" t="n">
        <f aca="false">COUNTIFS(Cleaned!$D$2:$D$125,1,Cleaned!EO$2:EO$125,10)</f>
        <v>0</v>
      </c>
      <c r="U3049" s="13" t="n">
        <f aca="false">IFERROR(T3049/$Z3049,"")</f>
        <v>0</v>
      </c>
      <c r="V3049" s="12" t="n">
        <f aca="false">COUNTIFS(Cleaned!$D$2:$D$125,1,Cleaned!EO$2:EO$125,11)</f>
        <v>0</v>
      </c>
      <c r="W3049" s="13" t="n">
        <f aca="false">IFERROR(V3049/$Z3049,"")</f>
        <v>0</v>
      </c>
      <c r="X3049" s="12" t="n">
        <f aca="false">COUNTIFS(Cleaned!$D$2:$D$125,1,Cleaned!EO$2:EO$125,12)</f>
        <v>0</v>
      </c>
      <c r="Y3049" s="13" t="n">
        <f aca="false">IFERROR(X3049/$Z3049,"")</f>
        <v>0</v>
      </c>
      <c r="Z3049" s="12" t="n">
        <f aca="false">B3049+D3049+F3049+H3049+J3049+L3049+N3049+P3049+R3049+T3049+V3049+X3049</f>
        <v>2</v>
      </c>
    </row>
    <row r="3050" customFormat="false" ht="15" hidden="false" customHeight="false" outlineLevel="0" collapsed="false">
      <c r="A3050" s="12" t="s">
        <v>705</v>
      </c>
      <c r="B3050" s="12" t="n">
        <f aca="false">COUNTIFS(Cleaned!$D$2:$D$125,2,Cleaned!EO$2:EO$125,1)</f>
        <v>3</v>
      </c>
      <c r="C3050" s="13" t="n">
        <f aca="false">IFERROR(B3050/$Z3050,"")</f>
        <v>0.428571428571429</v>
      </c>
      <c r="D3050" s="12" t="n">
        <f aca="false">COUNTIFS(Cleaned!$D$2:$D$125,2,Cleaned!EO$2:EO$125,2)</f>
        <v>0</v>
      </c>
      <c r="E3050" s="13" t="n">
        <f aca="false">IFERROR(D3050/$Z3050,"")</f>
        <v>0</v>
      </c>
      <c r="F3050" s="12" t="n">
        <f aca="false">COUNTIFS(Cleaned!$D$2:$D$125,2,Cleaned!EO$2:EO$125,3)</f>
        <v>0</v>
      </c>
      <c r="G3050" s="13" t="n">
        <f aca="false">IFERROR(F3050/$Z3050,"")</f>
        <v>0</v>
      </c>
      <c r="H3050" s="12" t="n">
        <f aca="false">COUNTIFS(Cleaned!$D$2:$D$125,2,Cleaned!EO$2:EO$125,4)</f>
        <v>1</v>
      </c>
      <c r="I3050" s="13" t="n">
        <f aca="false">IFERROR(H3050/$Z3050,"")</f>
        <v>0.142857142857143</v>
      </c>
      <c r="J3050" s="12" t="n">
        <f aca="false">COUNTIFS(Cleaned!$D$2:$D$125,2,Cleaned!EO$2:EO$125,5)</f>
        <v>1</v>
      </c>
      <c r="K3050" s="13" t="n">
        <f aca="false">IFERROR(J3050/$Z3050,"")</f>
        <v>0.142857142857143</v>
      </c>
      <c r="L3050" s="12" t="n">
        <f aca="false">COUNTIFS(Cleaned!$D$2:$D$125,2,Cleaned!EO$2:EO$125,6)</f>
        <v>0</v>
      </c>
      <c r="M3050" s="13" t="n">
        <f aca="false">IFERROR(L3050/$Z3050,"")</f>
        <v>0</v>
      </c>
      <c r="N3050" s="12" t="n">
        <f aca="false">COUNTIFS(Cleaned!$D$2:$D$125,2,Cleaned!EO$2:EO$125,7)</f>
        <v>1</v>
      </c>
      <c r="O3050" s="13" t="n">
        <f aca="false">IFERROR(N3050/$Z3050,"")</f>
        <v>0.142857142857143</v>
      </c>
      <c r="P3050" s="12" t="n">
        <f aca="false">COUNTIFS(Cleaned!$D$2:$D$125,2,Cleaned!EO$2:EO$125,8)</f>
        <v>0</v>
      </c>
      <c r="Q3050" s="13" t="n">
        <f aca="false">IFERROR(P3050/$Z3050,"")</f>
        <v>0</v>
      </c>
      <c r="R3050" s="12" t="n">
        <f aca="false">COUNTIFS(Cleaned!$D$2:$D$125,2,Cleaned!EO$2:EO$125,9)</f>
        <v>0</v>
      </c>
      <c r="S3050" s="13" t="n">
        <f aca="false">IFERROR(R3050/$Z3050,"")</f>
        <v>0</v>
      </c>
      <c r="T3050" s="12" t="n">
        <f aca="false">COUNTIFS(Cleaned!$D$2:$D$125,2,Cleaned!EO$2:EO$125,10)</f>
        <v>1</v>
      </c>
      <c r="U3050" s="13" t="n">
        <f aca="false">IFERROR(T3050/$Z3050,"")</f>
        <v>0.142857142857143</v>
      </c>
      <c r="V3050" s="12" t="n">
        <f aca="false">COUNTIFS(Cleaned!$D$2:$D$125,2,Cleaned!EO$2:EO$125,11)</f>
        <v>0</v>
      </c>
      <c r="W3050" s="13" t="n">
        <f aca="false">IFERROR(V3050/$Z3050,"")</f>
        <v>0</v>
      </c>
      <c r="X3050" s="12" t="n">
        <f aca="false">COUNTIFS(Cleaned!$D$2:$D$125,2,Cleaned!EO$2:EO$125,12)</f>
        <v>0</v>
      </c>
      <c r="Y3050" s="13" t="n">
        <f aca="false">IFERROR(X3050/$Z3050,"")</f>
        <v>0</v>
      </c>
      <c r="Z3050" s="12" t="n">
        <f aca="false">B3050+D3050+F3050+H3050+J3050+L3050+N3050+P3050+R3050+T3050+V3050+X3050</f>
        <v>7</v>
      </c>
    </row>
    <row r="3051" customFormat="false" ht="15" hidden="false" customHeight="false" outlineLevel="0" collapsed="false">
      <c r="A3051" s="12" t="s">
        <v>706</v>
      </c>
      <c r="B3051" s="12" t="n">
        <f aca="false">COUNTIFS(Cleaned!$D$2:$D$125,3,Cleaned!EO$2:EO$125,1)</f>
        <v>0</v>
      </c>
      <c r="C3051" s="13" t="n">
        <f aca="false">IFERROR(B3051/$Z3051,"")</f>
        <v>0</v>
      </c>
      <c r="D3051" s="12" t="n">
        <f aca="false">COUNTIFS(Cleaned!$D$2:$D$125,3,Cleaned!EO$2:EO$125,2)</f>
        <v>0</v>
      </c>
      <c r="E3051" s="13" t="n">
        <f aca="false">IFERROR(D3051/$Z3051,"")</f>
        <v>0</v>
      </c>
      <c r="F3051" s="12" t="n">
        <f aca="false">COUNTIFS(Cleaned!$D$2:$D$125,3,Cleaned!EO$2:EO$125,3)</f>
        <v>1</v>
      </c>
      <c r="G3051" s="13" t="n">
        <f aca="false">IFERROR(F3051/$Z3051,"")</f>
        <v>0.333333333333333</v>
      </c>
      <c r="H3051" s="12" t="n">
        <f aca="false">COUNTIFS(Cleaned!$D$2:$D$125,3,Cleaned!EO$2:EO$125,4)</f>
        <v>0</v>
      </c>
      <c r="I3051" s="13" t="n">
        <f aca="false">IFERROR(H3051/$Z3051,"")</f>
        <v>0</v>
      </c>
      <c r="J3051" s="12" t="n">
        <f aca="false">COUNTIFS(Cleaned!$D$2:$D$125,3,Cleaned!EO$2:EO$125,5)</f>
        <v>0</v>
      </c>
      <c r="K3051" s="13" t="n">
        <f aca="false">IFERROR(J3051/$Z3051,"")</f>
        <v>0</v>
      </c>
      <c r="L3051" s="12" t="n">
        <f aca="false">COUNTIFS(Cleaned!$D$2:$D$125,3,Cleaned!EO$2:EO$125,6)</f>
        <v>0</v>
      </c>
      <c r="M3051" s="13" t="n">
        <f aca="false">IFERROR(L3051/$Z3051,"")</f>
        <v>0</v>
      </c>
      <c r="N3051" s="12" t="n">
        <f aca="false">COUNTIFS(Cleaned!$D$2:$D$125,3,Cleaned!EO$2:EO$125,7)</f>
        <v>0</v>
      </c>
      <c r="O3051" s="13" t="n">
        <f aca="false">IFERROR(N3051/$Z3051,"")</f>
        <v>0</v>
      </c>
      <c r="P3051" s="12" t="n">
        <f aca="false">COUNTIFS(Cleaned!$D$2:$D$125,3,Cleaned!EO$2:EO$125,8)</f>
        <v>1</v>
      </c>
      <c r="Q3051" s="13" t="n">
        <f aca="false">IFERROR(P3051/$Z3051,"")</f>
        <v>0.333333333333333</v>
      </c>
      <c r="R3051" s="12" t="n">
        <f aca="false">COUNTIFS(Cleaned!$D$2:$D$125,3,Cleaned!EO$2:EO$125,9)</f>
        <v>0</v>
      </c>
      <c r="S3051" s="13" t="n">
        <f aca="false">IFERROR(R3051/$Z3051,"")</f>
        <v>0</v>
      </c>
      <c r="T3051" s="12" t="n">
        <f aca="false">COUNTIFS(Cleaned!$D$2:$D$125,3,Cleaned!EO$2:EO$125,10)</f>
        <v>0</v>
      </c>
      <c r="U3051" s="13" t="n">
        <f aca="false">IFERROR(T3051/$Z3051,"")</f>
        <v>0</v>
      </c>
      <c r="V3051" s="12" t="n">
        <f aca="false">COUNTIFS(Cleaned!$D$2:$D$125,3,Cleaned!EO$2:EO$125,11)</f>
        <v>1</v>
      </c>
      <c r="W3051" s="13" t="n">
        <f aca="false">IFERROR(V3051/$Z3051,"")</f>
        <v>0.333333333333333</v>
      </c>
      <c r="X3051" s="12" t="n">
        <f aca="false">COUNTIFS(Cleaned!$D$2:$D$125,3,Cleaned!EO$2:EO$125,12)</f>
        <v>0</v>
      </c>
      <c r="Y3051" s="13" t="n">
        <f aca="false">IFERROR(X3051/$Z3051,"")</f>
        <v>0</v>
      </c>
      <c r="Z3051" s="12" t="n">
        <f aca="false">B3051+D3051+F3051+H3051+J3051+L3051+N3051+P3051+R3051+T3051+V3051+X3051</f>
        <v>3</v>
      </c>
    </row>
    <row r="3052" customFormat="false" ht="15" hidden="false" customHeight="false" outlineLevel="0" collapsed="false">
      <c r="A3052" s="12" t="s">
        <v>707</v>
      </c>
      <c r="B3052" s="12" t="n">
        <f aca="false">COUNTIFS(Cleaned!$D$2:$D$125,4,Cleaned!EO$2:EO$125,1)</f>
        <v>2</v>
      </c>
      <c r="C3052" s="13" t="n">
        <f aca="false">IFERROR(B3052/$Z3052,"")</f>
        <v>0.666666666666667</v>
      </c>
      <c r="D3052" s="12" t="n">
        <f aca="false">COUNTIFS(Cleaned!$D$2:$D$125,4,Cleaned!EO$2:EO$125,2)</f>
        <v>0</v>
      </c>
      <c r="E3052" s="13" t="n">
        <f aca="false">IFERROR(D3052/$Z3052,"")</f>
        <v>0</v>
      </c>
      <c r="F3052" s="12" t="n">
        <f aca="false">COUNTIFS(Cleaned!$D$2:$D$125,4,Cleaned!EO$2:EO$125,3)</f>
        <v>0</v>
      </c>
      <c r="G3052" s="13" t="n">
        <f aca="false">IFERROR(F3052/$Z3052,"")</f>
        <v>0</v>
      </c>
      <c r="H3052" s="12" t="n">
        <f aca="false">COUNTIFS(Cleaned!$D$2:$D$125,4,Cleaned!EO$2:EO$125,4)</f>
        <v>0</v>
      </c>
      <c r="I3052" s="13" t="n">
        <f aca="false">IFERROR(H3052/$Z3052,"")</f>
        <v>0</v>
      </c>
      <c r="J3052" s="12" t="n">
        <f aca="false">COUNTIFS(Cleaned!$D$2:$D$125,4,Cleaned!EO$2:EO$125,5)</f>
        <v>0</v>
      </c>
      <c r="K3052" s="13" t="n">
        <f aca="false">IFERROR(J3052/$Z3052,"")</f>
        <v>0</v>
      </c>
      <c r="L3052" s="12" t="n">
        <f aca="false">COUNTIFS(Cleaned!$D$2:$D$125,4,Cleaned!EO$2:EO$125,6)</f>
        <v>1</v>
      </c>
      <c r="M3052" s="13" t="n">
        <f aca="false">IFERROR(L3052/$Z3052,"")</f>
        <v>0.333333333333333</v>
      </c>
      <c r="N3052" s="12" t="n">
        <f aca="false">COUNTIFS(Cleaned!$D$2:$D$125,4,Cleaned!EO$2:EO$125,7)</f>
        <v>0</v>
      </c>
      <c r="O3052" s="13" t="n">
        <f aca="false">IFERROR(N3052/$Z3052,"")</f>
        <v>0</v>
      </c>
      <c r="P3052" s="12" t="n">
        <f aca="false">COUNTIFS(Cleaned!$D$2:$D$125,4,Cleaned!EO$2:EO$125,8)</f>
        <v>0</v>
      </c>
      <c r="Q3052" s="13" t="n">
        <f aca="false">IFERROR(P3052/$Z3052,"")</f>
        <v>0</v>
      </c>
      <c r="R3052" s="12" t="n">
        <f aca="false">COUNTIFS(Cleaned!$D$2:$D$125,4,Cleaned!EO$2:EO$125,9)</f>
        <v>0</v>
      </c>
      <c r="S3052" s="13" t="n">
        <f aca="false">IFERROR(R3052/$Z3052,"")</f>
        <v>0</v>
      </c>
      <c r="T3052" s="12" t="n">
        <f aca="false">COUNTIFS(Cleaned!$D$2:$D$125,4,Cleaned!EO$2:EO$125,10)</f>
        <v>0</v>
      </c>
      <c r="U3052" s="13" t="n">
        <f aca="false">IFERROR(T3052/$Z3052,"")</f>
        <v>0</v>
      </c>
      <c r="V3052" s="12" t="n">
        <f aca="false">COUNTIFS(Cleaned!$D$2:$D$125,4,Cleaned!EO$2:EO$125,11)</f>
        <v>0</v>
      </c>
      <c r="W3052" s="13" t="n">
        <f aca="false">IFERROR(V3052/$Z3052,"")</f>
        <v>0</v>
      </c>
      <c r="X3052" s="12" t="n">
        <f aca="false">COUNTIFS(Cleaned!$D$2:$D$125,4,Cleaned!EO$2:EO$125,12)</f>
        <v>0</v>
      </c>
      <c r="Y3052" s="13" t="n">
        <f aca="false">IFERROR(X3052/$Z3052,"")</f>
        <v>0</v>
      </c>
      <c r="Z3052" s="12" t="n">
        <f aca="false">B3052+D3052+F3052+H3052+J3052+L3052+N3052+P3052+R3052+T3052+V3052+X3052</f>
        <v>3</v>
      </c>
    </row>
    <row r="3053" customFormat="false" ht="15" hidden="false" customHeight="false" outlineLevel="0" collapsed="false">
      <c r="A3053" s="12" t="s">
        <v>708</v>
      </c>
      <c r="B3053" s="12" t="n">
        <f aca="false">COUNTIFS(Cleaned!$D$2:$D$125,5,Cleaned!EO$2:EO$125,1)</f>
        <v>0</v>
      </c>
      <c r="C3053" s="13" t="str">
        <f aca="false">IFERROR(B3053/$Z3053,"")</f>
        <v/>
      </c>
      <c r="D3053" s="12" t="n">
        <f aca="false">COUNTIFS(Cleaned!$D$2:$D$125,5,Cleaned!EO$2:EO$125,2)</f>
        <v>0</v>
      </c>
      <c r="E3053" s="13" t="str">
        <f aca="false">IFERROR(D3053/$Z3053,"")</f>
        <v/>
      </c>
      <c r="F3053" s="12" t="n">
        <f aca="false">COUNTIFS(Cleaned!$D$2:$D$125,5,Cleaned!EO$2:EO$125,3)</f>
        <v>0</v>
      </c>
      <c r="G3053" s="13" t="str">
        <f aca="false">IFERROR(F3053/$Z3053,"")</f>
        <v/>
      </c>
      <c r="H3053" s="12" t="n">
        <f aca="false">COUNTIFS(Cleaned!$D$2:$D$125,5,Cleaned!EO$2:EO$125,4)</f>
        <v>0</v>
      </c>
      <c r="I3053" s="13" t="str">
        <f aca="false">IFERROR(H3053/$Z3053,"")</f>
        <v/>
      </c>
      <c r="J3053" s="12" t="n">
        <f aca="false">COUNTIFS(Cleaned!$D$2:$D$125,5,Cleaned!EO$2:EO$125,5)</f>
        <v>0</v>
      </c>
      <c r="K3053" s="13" t="str">
        <f aca="false">IFERROR(J3053/$Z3053,"")</f>
        <v/>
      </c>
      <c r="L3053" s="12" t="n">
        <f aca="false">COUNTIFS(Cleaned!$D$2:$D$125,5,Cleaned!EO$2:EO$125,6)</f>
        <v>0</v>
      </c>
      <c r="M3053" s="13" t="str">
        <f aca="false">IFERROR(L3053/$Z3053,"")</f>
        <v/>
      </c>
      <c r="N3053" s="12" t="n">
        <f aca="false">COUNTIFS(Cleaned!$D$2:$D$125,5,Cleaned!EO$2:EO$125,7)</f>
        <v>0</v>
      </c>
      <c r="O3053" s="13" t="str">
        <f aca="false">IFERROR(N3053/$Z3053,"")</f>
        <v/>
      </c>
      <c r="P3053" s="12" t="n">
        <f aca="false">COUNTIFS(Cleaned!$D$2:$D$125,5,Cleaned!EO$2:EO$125,8)</f>
        <v>0</v>
      </c>
      <c r="Q3053" s="13" t="str">
        <f aca="false">IFERROR(P3053/$Z3053,"")</f>
        <v/>
      </c>
      <c r="R3053" s="12" t="n">
        <f aca="false">COUNTIFS(Cleaned!$D$2:$D$125,5,Cleaned!EO$2:EO$125,9)</f>
        <v>0</v>
      </c>
      <c r="S3053" s="13" t="str">
        <f aca="false">IFERROR(R3053/$Z3053,"")</f>
        <v/>
      </c>
      <c r="T3053" s="12" t="n">
        <f aca="false">COUNTIFS(Cleaned!$D$2:$D$125,5,Cleaned!EO$2:EO$125,10)</f>
        <v>0</v>
      </c>
      <c r="U3053" s="13" t="str">
        <f aca="false">IFERROR(T3053/$Z3053,"")</f>
        <v/>
      </c>
      <c r="V3053" s="12" t="n">
        <f aca="false">COUNTIFS(Cleaned!$D$2:$D$125,5,Cleaned!EO$2:EO$125,11)</f>
        <v>0</v>
      </c>
      <c r="W3053" s="13" t="str">
        <f aca="false">IFERROR(V3053/$Z3053,"")</f>
        <v/>
      </c>
      <c r="X3053" s="12" t="n">
        <f aca="false">COUNTIFS(Cleaned!$D$2:$D$125,5,Cleaned!EO$2:EO$125,12)</f>
        <v>0</v>
      </c>
      <c r="Y3053" s="13" t="str">
        <f aca="false">IFERROR(X3053/$Z3053,"")</f>
        <v/>
      </c>
      <c r="Z3053" s="12" t="n">
        <f aca="false">B3053+D3053+F3053+H3053+J3053+L3053+N3053+P3053+R3053+T3053+V3053+X3053</f>
        <v>0</v>
      </c>
    </row>
    <row r="3054" customFormat="false" ht="15" hidden="false" customHeight="false" outlineLevel="0" collapsed="false">
      <c r="A3054" s="12" t="s">
        <v>709</v>
      </c>
      <c r="B3054" s="12" t="n">
        <f aca="false">COUNTIFS(Cleaned!$D$2:$D$125,6,Cleaned!EO$2:EO$125,1)</f>
        <v>1</v>
      </c>
      <c r="C3054" s="13" t="n">
        <f aca="false">IFERROR(B3054/$Z3054,"")</f>
        <v>1</v>
      </c>
      <c r="D3054" s="12" t="n">
        <f aca="false">COUNTIFS(Cleaned!$D$2:$D$125,6,Cleaned!EO$2:EO$125,2)</f>
        <v>0</v>
      </c>
      <c r="E3054" s="13" t="n">
        <f aca="false">IFERROR(D3054/$Z3054,"")</f>
        <v>0</v>
      </c>
      <c r="F3054" s="12" t="n">
        <f aca="false">COUNTIFS(Cleaned!$D$2:$D$125,6,Cleaned!EO$2:EO$125,3)</f>
        <v>0</v>
      </c>
      <c r="G3054" s="13" t="n">
        <f aca="false">IFERROR(F3054/$Z3054,"")</f>
        <v>0</v>
      </c>
      <c r="H3054" s="12" t="n">
        <f aca="false">COUNTIFS(Cleaned!$D$2:$D$125,6,Cleaned!EO$2:EO$125,4)</f>
        <v>0</v>
      </c>
      <c r="I3054" s="13" t="n">
        <f aca="false">IFERROR(H3054/$Z3054,"")</f>
        <v>0</v>
      </c>
      <c r="J3054" s="12" t="n">
        <f aca="false">COUNTIFS(Cleaned!$D$2:$D$125,6,Cleaned!EO$2:EO$125,5)</f>
        <v>0</v>
      </c>
      <c r="K3054" s="13" t="n">
        <f aca="false">IFERROR(J3054/$Z3054,"")</f>
        <v>0</v>
      </c>
      <c r="L3054" s="12" t="n">
        <f aca="false">COUNTIFS(Cleaned!$D$2:$D$125,6,Cleaned!EO$2:EO$125,6)</f>
        <v>0</v>
      </c>
      <c r="M3054" s="13" t="n">
        <f aca="false">IFERROR(L3054/$Z3054,"")</f>
        <v>0</v>
      </c>
      <c r="N3054" s="12" t="n">
        <f aca="false">COUNTIFS(Cleaned!$D$2:$D$125,6,Cleaned!EO$2:EO$125,7)</f>
        <v>0</v>
      </c>
      <c r="O3054" s="13" t="n">
        <f aca="false">IFERROR(N3054/$Z3054,"")</f>
        <v>0</v>
      </c>
      <c r="P3054" s="12" t="n">
        <f aca="false">COUNTIFS(Cleaned!$D$2:$D$125,6,Cleaned!EO$2:EO$125,8)</f>
        <v>0</v>
      </c>
      <c r="Q3054" s="13" t="n">
        <f aca="false">IFERROR(P3054/$Z3054,"")</f>
        <v>0</v>
      </c>
      <c r="R3054" s="12" t="n">
        <f aca="false">COUNTIFS(Cleaned!$D$2:$D$125,6,Cleaned!EO$2:EO$125,9)</f>
        <v>0</v>
      </c>
      <c r="S3054" s="13" t="n">
        <f aca="false">IFERROR(R3054/$Z3054,"")</f>
        <v>0</v>
      </c>
      <c r="T3054" s="12" t="n">
        <f aca="false">COUNTIFS(Cleaned!$D$2:$D$125,6,Cleaned!EO$2:EO$125,10)</f>
        <v>0</v>
      </c>
      <c r="U3054" s="13" t="n">
        <f aca="false">IFERROR(T3054/$Z3054,"")</f>
        <v>0</v>
      </c>
      <c r="V3054" s="12" t="n">
        <f aca="false">COUNTIFS(Cleaned!$D$2:$D$125,6,Cleaned!EO$2:EO$125,11)</f>
        <v>0</v>
      </c>
      <c r="W3054" s="13" t="n">
        <f aca="false">IFERROR(V3054/$Z3054,"")</f>
        <v>0</v>
      </c>
      <c r="X3054" s="12" t="n">
        <f aca="false">COUNTIFS(Cleaned!$D$2:$D$125,6,Cleaned!EO$2:EO$125,12)</f>
        <v>0</v>
      </c>
      <c r="Y3054" s="13" t="n">
        <f aca="false">IFERROR(X3054/$Z3054,"")</f>
        <v>0</v>
      </c>
      <c r="Z3054" s="12" t="n">
        <f aca="false">B3054+D3054+F3054+H3054+J3054+L3054+N3054+P3054+R3054+T3054+V3054+X3054</f>
        <v>1</v>
      </c>
    </row>
    <row r="3055" customFormat="false" ht="15" hidden="false" customHeight="false" outlineLevel="0" collapsed="false">
      <c r="A3055" s="12" t="s">
        <v>710</v>
      </c>
      <c r="B3055" s="12" t="n">
        <f aca="false">COUNTIFS(Cleaned!$D$2:$D$125,7,Cleaned!EO$2:EO$125,1)</f>
        <v>2</v>
      </c>
      <c r="C3055" s="13" t="n">
        <f aca="false">IFERROR(B3055/$Z3055,"")</f>
        <v>1</v>
      </c>
      <c r="D3055" s="12" t="n">
        <f aca="false">COUNTIFS(Cleaned!$D$2:$D$125,7,Cleaned!EO$2:EO$125,2)</f>
        <v>0</v>
      </c>
      <c r="E3055" s="13" t="n">
        <f aca="false">IFERROR(D3055/$Z3055,"")</f>
        <v>0</v>
      </c>
      <c r="F3055" s="12" t="n">
        <f aca="false">COUNTIFS(Cleaned!$D$2:$D$125,7,Cleaned!EO$2:EO$125,3)</f>
        <v>0</v>
      </c>
      <c r="G3055" s="13" t="n">
        <f aca="false">IFERROR(F3055/$Z3055,"")</f>
        <v>0</v>
      </c>
      <c r="H3055" s="12" t="n">
        <f aca="false">COUNTIFS(Cleaned!$D$2:$D$125,7,Cleaned!EO$2:EO$125,4)</f>
        <v>0</v>
      </c>
      <c r="I3055" s="13" t="n">
        <f aca="false">IFERROR(H3055/$Z3055,"")</f>
        <v>0</v>
      </c>
      <c r="J3055" s="12" t="n">
        <f aca="false">COUNTIFS(Cleaned!$D$2:$D$125,7,Cleaned!EO$2:EO$125,5)</f>
        <v>0</v>
      </c>
      <c r="K3055" s="13" t="n">
        <f aca="false">IFERROR(J3055/$Z3055,"")</f>
        <v>0</v>
      </c>
      <c r="L3055" s="12" t="n">
        <f aca="false">COUNTIFS(Cleaned!$D$2:$D$125,7,Cleaned!EO$2:EO$125,6)</f>
        <v>0</v>
      </c>
      <c r="M3055" s="13" t="n">
        <f aca="false">IFERROR(L3055/$Z3055,"")</f>
        <v>0</v>
      </c>
      <c r="N3055" s="12" t="n">
        <f aca="false">COUNTIFS(Cleaned!$D$2:$D$125,7,Cleaned!EO$2:EO$125,7)</f>
        <v>0</v>
      </c>
      <c r="O3055" s="13" t="n">
        <f aca="false">IFERROR(N3055/$Z3055,"")</f>
        <v>0</v>
      </c>
      <c r="P3055" s="12" t="n">
        <f aca="false">COUNTIFS(Cleaned!$D$2:$D$125,7,Cleaned!EO$2:EO$125,8)</f>
        <v>0</v>
      </c>
      <c r="Q3055" s="13" t="n">
        <f aca="false">IFERROR(P3055/$Z3055,"")</f>
        <v>0</v>
      </c>
      <c r="R3055" s="12" t="n">
        <f aca="false">COUNTIFS(Cleaned!$D$2:$D$125,7,Cleaned!EO$2:EO$125,9)</f>
        <v>0</v>
      </c>
      <c r="S3055" s="13" t="n">
        <f aca="false">IFERROR(R3055/$Z3055,"")</f>
        <v>0</v>
      </c>
      <c r="T3055" s="12" t="n">
        <f aca="false">COUNTIFS(Cleaned!$D$2:$D$125,7,Cleaned!EO$2:EO$125,10)</f>
        <v>0</v>
      </c>
      <c r="U3055" s="13" t="n">
        <f aca="false">IFERROR(T3055/$Z3055,"")</f>
        <v>0</v>
      </c>
      <c r="V3055" s="12" t="n">
        <f aca="false">COUNTIFS(Cleaned!$D$2:$D$125,7,Cleaned!EO$2:EO$125,11)</f>
        <v>0</v>
      </c>
      <c r="W3055" s="13" t="n">
        <f aca="false">IFERROR(V3055/$Z3055,"")</f>
        <v>0</v>
      </c>
      <c r="X3055" s="12" t="n">
        <f aca="false">COUNTIFS(Cleaned!$D$2:$D$125,7,Cleaned!EO$2:EO$125,12)</f>
        <v>0</v>
      </c>
      <c r="Y3055" s="13" t="n">
        <f aca="false">IFERROR(X3055/$Z3055,"")</f>
        <v>0</v>
      </c>
      <c r="Z3055" s="12" t="n">
        <f aca="false">B3055+D3055+F3055+H3055+J3055+L3055+N3055+P3055+R3055+T3055+V3055+X3055</f>
        <v>2</v>
      </c>
    </row>
    <row r="3056" customFormat="false" ht="15" hidden="false" customHeight="false" outlineLevel="0" collapsed="false">
      <c r="A3056" s="12" t="s">
        <v>711</v>
      </c>
      <c r="B3056" s="12" t="n">
        <f aca="false">COUNTIFS(Cleaned!$D$2:$D$125,8,Cleaned!EO$2:EO$125,1)</f>
        <v>0</v>
      </c>
      <c r="C3056" s="13" t="n">
        <f aca="false">IFERROR(B3056/$Z3056,"")</f>
        <v>0</v>
      </c>
      <c r="D3056" s="12" t="n">
        <f aca="false">COUNTIFS(Cleaned!$D$2:$D$125,8,Cleaned!EO$2:EO$125,2)</f>
        <v>0</v>
      </c>
      <c r="E3056" s="13" t="n">
        <f aca="false">IFERROR(D3056/$Z3056,"")</f>
        <v>0</v>
      </c>
      <c r="F3056" s="12" t="n">
        <f aca="false">COUNTIFS(Cleaned!$D$2:$D$125,8,Cleaned!EO$2:EO$125,3)</f>
        <v>0</v>
      </c>
      <c r="G3056" s="13" t="n">
        <f aca="false">IFERROR(F3056/$Z3056,"")</f>
        <v>0</v>
      </c>
      <c r="H3056" s="12" t="n">
        <f aca="false">COUNTIFS(Cleaned!$D$2:$D$125,8,Cleaned!EO$2:EO$125,4)</f>
        <v>0</v>
      </c>
      <c r="I3056" s="13" t="n">
        <f aca="false">IFERROR(H3056/$Z3056,"")</f>
        <v>0</v>
      </c>
      <c r="J3056" s="12" t="n">
        <f aca="false">COUNTIFS(Cleaned!$D$2:$D$125,8,Cleaned!EO$2:EO$125,5)</f>
        <v>0</v>
      </c>
      <c r="K3056" s="13" t="n">
        <f aca="false">IFERROR(J3056/$Z3056,"")</f>
        <v>0</v>
      </c>
      <c r="L3056" s="12" t="n">
        <f aca="false">COUNTIFS(Cleaned!$D$2:$D$125,8,Cleaned!EO$2:EO$125,6)</f>
        <v>0</v>
      </c>
      <c r="M3056" s="13" t="n">
        <f aca="false">IFERROR(L3056/$Z3056,"")</f>
        <v>0</v>
      </c>
      <c r="N3056" s="12" t="n">
        <f aca="false">COUNTIFS(Cleaned!$D$2:$D$125,8,Cleaned!EO$2:EO$125,7)</f>
        <v>0</v>
      </c>
      <c r="O3056" s="13" t="n">
        <f aca="false">IFERROR(N3056/$Z3056,"")</f>
        <v>0</v>
      </c>
      <c r="P3056" s="12" t="n">
        <f aca="false">COUNTIFS(Cleaned!$D$2:$D$125,8,Cleaned!EO$2:EO$125,8)</f>
        <v>0</v>
      </c>
      <c r="Q3056" s="13" t="n">
        <f aca="false">IFERROR(P3056/$Z3056,"")</f>
        <v>0</v>
      </c>
      <c r="R3056" s="12" t="n">
        <f aca="false">COUNTIFS(Cleaned!$D$2:$D$125,8,Cleaned!EO$2:EO$125,9)</f>
        <v>0</v>
      </c>
      <c r="S3056" s="13" t="n">
        <f aca="false">IFERROR(R3056/$Z3056,"")</f>
        <v>0</v>
      </c>
      <c r="T3056" s="12" t="n">
        <f aca="false">COUNTIFS(Cleaned!$D$2:$D$125,8,Cleaned!EO$2:EO$125,10)</f>
        <v>0</v>
      </c>
      <c r="U3056" s="13" t="n">
        <f aca="false">IFERROR(T3056/$Z3056,"")</f>
        <v>0</v>
      </c>
      <c r="V3056" s="12" t="n">
        <f aca="false">COUNTIFS(Cleaned!$D$2:$D$125,8,Cleaned!EO$2:EO$125,11)</f>
        <v>1</v>
      </c>
      <c r="W3056" s="13" t="n">
        <f aca="false">IFERROR(V3056/$Z3056,"")</f>
        <v>1</v>
      </c>
      <c r="X3056" s="12" t="n">
        <f aca="false">COUNTIFS(Cleaned!$D$2:$D$125,8,Cleaned!EO$2:EO$125,12)</f>
        <v>0</v>
      </c>
      <c r="Y3056" s="13" t="n">
        <f aca="false">IFERROR(X3056/$Z3056,"")</f>
        <v>0</v>
      </c>
      <c r="Z3056" s="12" t="n">
        <f aca="false">B3056+D3056+F3056+H3056+J3056+L3056+N3056+P3056+R3056+T3056+V3056+X3056</f>
        <v>1</v>
      </c>
    </row>
    <row r="3057" customFormat="false" ht="15" hidden="false" customHeight="false" outlineLevel="0" collapsed="false">
      <c r="A3057" s="12" t="s">
        <v>712</v>
      </c>
      <c r="B3057" s="12" t="n">
        <f aca="false">COUNTIFS(Cleaned!$D$2:$D$125,9,Cleaned!EO$2:EO$125,1)</f>
        <v>0</v>
      </c>
      <c r="C3057" s="13" t="str">
        <f aca="false">IFERROR(B3057/$Z3057,"")</f>
        <v/>
      </c>
      <c r="D3057" s="12" t="n">
        <f aca="false">COUNTIFS(Cleaned!$D$2:$D$125,9,Cleaned!EO$2:EO$125,2)</f>
        <v>0</v>
      </c>
      <c r="E3057" s="13" t="str">
        <f aca="false">IFERROR(D3057/$Z3057,"")</f>
        <v/>
      </c>
      <c r="F3057" s="12" t="n">
        <f aca="false">COUNTIFS(Cleaned!$D$2:$D$125,9,Cleaned!EO$2:EO$125,3)</f>
        <v>0</v>
      </c>
      <c r="G3057" s="13" t="str">
        <f aca="false">IFERROR(F3057/$Z3057,"")</f>
        <v/>
      </c>
      <c r="H3057" s="12" t="n">
        <f aca="false">COUNTIFS(Cleaned!$D$2:$D$125,9,Cleaned!EO$2:EO$125,4)</f>
        <v>0</v>
      </c>
      <c r="I3057" s="13" t="str">
        <f aca="false">IFERROR(H3057/$Z3057,"")</f>
        <v/>
      </c>
      <c r="J3057" s="12" t="n">
        <f aca="false">COUNTIFS(Cleaned!$D$2:$D$125,9,Cleaned!EO$2:EO$125,5)</f>
        <v>0</v>
      </c>
      <c r="K3057" s="13" t="str">
        <f aca="false">IFERROR(J3057/$Z3057,"")</f>
        <v/>
      </c>
      <c r="L3057" s="12" t="n">
        <f aca="false">COUNTIFS(Cleaned!$D$2:$D$125,9,Cleaned!EO$2:EO$125,6)</f>
        <v>0</v>
      </c>
      <c r="M3057" s="13" t="str">
        <f aca="false">IFERROR(L3057/$Z3057,"")</f>
        <v/>
      </c>
      <c r="N3057" s="12" t="n">
        <f aca="false">COUNTIFS(Cleaned!$D$2:$D$125,9,Cleaned!EO$2:EO$125,7)</f>
        <v>0</v>
      </c>
      <c r="O3057" s="13" t="str">
        <f aca="false">IFERROR(N3057/$Z3057,"")</f>
        <v/>
      </c>
      <c r="P3057" s="12" t="n">
        <f aca="false">COUNTIFS(Cleaned!$D$2:$D$125,9,Cleaned!EO$2:EO$125,8)</f>
        <v>0</v>
      </c>
      <c r="Q3057" s="13" t="str">
        <f aca="false">IFERROR(P3057/$Z3057,"")</f>
        <v/>
      </c>
      <c r="R3057" s="12" t="n">
        <f aca="false">COUNTIFS(Cleaned!$D$2:$D$125,9,Cleaned!EO$2:EO$125,9)</f>
        <v>0</v>
      </c>
      <c r="S3057" s="13" t="str">
        <f aca="false">IFERROR(R3057/$Z3057,"")</f>
        <v/>
      </c>
      <c r="T3057" s="12" t="n">
        <f aca="false">COUNTIFS(Cleaned!$D$2:$D$125,9,Cleaned!EO$2:EO$125,10)</f>
        <v>0</v>
      </c>
      <c r="U3057" s="13" t="str">
        <f aca="false">IFERROR(T3057/$Z3057,"")</f>
        <v/>
      </c>
      <c r="V3057" s="12" t="n">
        <f aca="false">COUNTIFS(Cleaned!$D$2:$D$125,9,Cleaned!EO$2:EO$125,11)</f>
        <v>0</v>
      </c>
      <c r="W3057" s="13" t="str">
        <f aca="false">IFERROR(V3057/$Z3057,"")</f>
        <v/>
      </c>
      <c r="X3057" s="12" t="n">
        <f aca="false">COUNTIFS(Cleaned!$D$2:$D$125,9,Cleaned!EO$2:EO$125,12)</f>
        <v>0</v>
      </c>
      <c r="Y3057" s="13" t="str">
        <f aca="false">IFERROR(X3057/$Z3057,"")</f>
        <v/>
      </c>
      <c r="Z3057" s="12" t="n">
        <f aca="false">B3057+D3057+F3057+H3057+J3057+L3057+N3057+P3057+R3057+T3057+V3057+X3057</f>
        <v>0</v>
      </c>
    </row>
    <row r="3058" customFormat="false" ht="15" hidden="false" customHeight="false" outlineLevel="0" collapsed="false">
      <c r="A3058" s="12" t="s">
        <v>713</v>
      </c>
      <c r="B3058" s="12" t="n">
        <f aca="false">COUNTIFS(Cleaned!$D$2:$D$125,10,Cleaned!EO$2:EO$125,1)</f>
        <v>0</v>
      </c>
      <c r="C3058" s="13" t="str">
        <f aca="false">IFERROR(B3058/$Z3058,"")</f>
        <v/>
      </c>
      <c r="D3058" s="12" t="n">
        <f aca="false">COUNTIFS(Cleaned!$D$2:$D$125,10,Cleaned!EO$2:EO$125,2)</f>
        <v>0</v>
      </c>
      <c r="E3058" s="13" t="str">
        <f aca="false">IFERROR(D3058/$Z3058,"")</f>
        <v/>
      </c>
      <c r="F3058" s="12" t="n">
        <f aca="false">COUNTIFS(Cleaned!$D$2:$D$125,10,Cleaned!EO$2:EO$125,3)</f>
        <v>0</v>
      </c>
      <c r="G3058" s="13" t="str">
        <f aca="false">IFERROR(F3058/$Z3058,"")</f>
        <v/>
      </c>
      <c r="H3058" s="12" t="n">
        <f aca="false">COUNTIFS(Cleaned!$D$2:$D$125,10,Cleaned!EO$2:EO$125,4)</f>
        <v>0</v>
      </c>
      <c r="I3058" s="13" t="str">
        <f aca="false">IFERROR(H3058/$Z3058,"")</f>
        <v/>
      </c>
      <c r="J3058" s="12" t="n">
        <f aca="false">COUNTIFS(Cleaned!$D$2:$D$125,10,Cleaned!EO$2:EO$125,5)</f>
        <v>0</v>
      </c>
      <c r="K3058" s="13" t="str">
        <f aca="false">IFERROR(J3058/$Z3058,"")</f>
        <v/>
      </c>
      <c r="L3058" s="12" t="n">
        <f aca="false">COUNTIFS(Cleaned!$D$2:$D$125,10,Cleaned!EO$2:EO$125,6)</f>
        <v>0</v>
      </c>
      <c r="M3058" s="13" t="str">
        <f aca="false">IFERROR(L3058/$Z3058,"")</f>
        <v/>
      </c>
      <c r="N3058" s="12" t="n">
        <f aca="false">COUNTIFS(Cleaned!$D$2:$D$125,10,Cleaned!EO$2:EO$125,7)</f>
        <v>0</v>
      </c>
      <c r="O3058" s="13" t="str">
        <f aca="false">IFERROR(N3058/$Z3058,"")</f>
        <v/>
      </c>
      <c r="P3058" s="12" t="n">
        <f aca="false">COUNTIFS(Cleaned!$D$2:$D$125,10,Cleaned!EO$2:EO$125,8)</f>
        <v>0</v>
      </c>
      <c r="Q3058" s="13" t="str">
        <f aca="false">IFERROR(P3058/$Z3058,"")</f>
        <v/>
      </c>
      <c r="R3058" s="12" t="n">
        <f aca="false">COUNTIFS(Cleaned!$D$2:$D$125,10,Cleaned!EO$2:EO$125,9)</f>
        <v>0</v>
      </c>
      <c r="S3058" s="13" t="str">
        <f aca="false">IFERROR(R3058/$Z3058,"")</f>
        <v/>
      </c>
      <c r="T3058" s="12" t="n">
        <f aca="false">COUNTIFS(Cleaned!$D$2:$D$125,10,Cleaned!EO$2:EO$125,10)</f>
        <v>0</v>
      </c>
      <c r="U3058" s="13" t="str">
        <f aca="false">IFERROR(T3058/$Z3058,"")</f>
        <v/>
      </c>
      <c r="V3058" s="12" t="n">
        <f aca="false">COUNTIFS(Cleaned!$D$2:$D$125,10,Cleaned!EO$2:EO$125,11)</f>
        <v>0</v>
      </c>
      <c r="W3058" s="13" t="str">
        <f aca="false">IFERROR(V3058/$Z3058,"")</f>
        <v/>
      </c>
      <c r="X3058" s="12" t="n">
        <f aca="false">COUNTIFS(Cleaned!$D$2:$D$125,10,Cleaned!EO$2:EO$125,12)</f>
        <v>0</v>
      </c>
      <c r="Y3058" s="13" t="str">
        <f aca="false">IFERROR(X3058/$Z3058,"")</f>
        <v/>
      </c>
      <c r="Z3058" s="12" t="n">
        <f aca="false">B3058+D3058+F3058+H3058+J3058+L3058+N3058+P3058+R3058+T3058+V3058+X3058</f>
        <v>0</v>
      </c>
    </row>
    <row r="3059" customFormat="false" ht="15" hidden="false" customHeight="false" outlineLevel="0" collapsed="false">
      <c r="A3059" s="12" t="s">
        <v>714</v>
      </c>
      <c r="B3059" s="12" t="n">
        <f aca="false">COUNTIFS(Cleaned!$D$2:$D$125,11,Cleaned!EO$2:EO$125,1)</f>
        <v>2</v>
      </c>
      <c r="C3059" s="13" t="n">
        <f aca="false">IFERROR(B3059/$Z3059,"")</f>
        <v>0.666666666666667</v>
      </c>
      <c r="D3059" s="12" t="n">
        <f aca="false">COUNTIFS(Cleaned!$D$2:$D$125,11,Cleaned!EO$2:EO$125,2)</f>
        <v>0</v>
      </c>
      <c r="E3059" s="13" t="n">
        <f aca="false">IFERROR(D3059/$Z3059,"")</f>
        <v>0</v>
      </c>
      <c r="F3059" s="12" t="n">
        <f aca="false">COUNTIFS(Cleaned!$D$2:$D$125,11,Cleaned!EO$2:EO$125,3)</f>
        <v>0</v>
      </c>
      <c r="G3059" s="13" t="n">
        <f aca="false">IFERROR(F3059/$Z3059,"")</f>
        <v>0</v>
      </c>
      <c r="H3059" s="12" t="n">
        <f aca="false">COUNTIFS(Cleaned!$D$2:$D$125,11,Cleaned!EO$2:EO$125,4)</f>
        <v>0</v>
      </c>
      <c r="I3059" s="13" t="n">
        <f aca="false">IFERROR(H3059/$Z3059,"")</f>
        <v>0</v>
      </c>
      <c r="J3059" s="12" t="n">
        <f aca="false">COUNTIFS(Cleaned!$D$2:$D$125,11,Cleaned!EO$2:EO$125,5)</f>
        <v>0</v>
      </c>
      <c r="K3059" s="13" t="n">
        <f aca="false">IFERROR(J3059/$Z3059,"")</f>
        <v>0</v>
      </c>
      <c r="L3059" s="12" t="n">
        <f aca="false">COUNTIFS(Cleaned!$D$2:$D$125,11,Cleaned!EO$2:EO$125,6)</f>
        <v>0</v>
      </c>
      <c r="M3059" s="13" t="n">
        <f aca="false">IFERROR(L3059/$Z3059,"")</f>
        <v>0</v>
      </c>
      <c r="N3059" s="12" t="n">
        <f aca="false">COUNTIFS(Cleaned!$D$2:$D$125,11,Cleaned!EO$2:EO$125,7)</f>
        <v>0</v>
      </c>
      <c r="O3059" s="13" t="n">
        <f aca="false">IFERROR(N3059/$Z3059,"")</f>
        <v>0</v>
      </c>
      <c r="P3059" s="12" t="n">
        <f aca="false">COUNTIFS(Cleaned!$D$2:$D$125,11,Cleaned!EO$2:EO$125,8)</f>
        <v>0</v>
      </c>
      <c r="Q3059" s="13" t="n">
        <f aca="false">IFERROR(P3059/$Z3059,"")</f>
        <v>0</v>
      </c>
      <c r="R3059" s="12" t="n">
        <f aca="false">COUNTIFS(Cleaned!$D$2:$D$125,11,Cleaned!EO$2:EO$125,9)</f>
        <v>0</v>
      </c>
      <c r="S3059" s="13" t="n">
        <f aca="false">IFERROR(R3059/$Z3059,"")</f>
        <v>0</v>
      </c>
      <c r="T3059" s="12" t="n">
        <f aca="false">COUNTIFS(Cleaned!$D$2:$D$125,11,Cleaned!EO$2:EO$125,10)</f>
        <v>0</v>
      </c>
      <c r="U3059" s="13" t="n">
        <f aca="false">IFERROR(T3059/$Z3059,"")</f>
        <v>0</v>
      </c>
      <c r="V3059" s="12" t="n">
        <f aca="false">COUNTIFS(Cleaned!$D$2:$D$125,11,Cleaned!EO$2:EO$125,11)</f>
        <v>0</v>
      </c>
      <c r="W3059" s="13" t="n">
        <f aca="false">IFERROR(V3059/$Z3059,"")</f>
        <v>0</v>
      </c>
      <c r="X3059" s="12" t="n">
        <f aca="false">COUNTIFS(Cleaned!$D$2:$D$125,11,Cleaned!EO$2:EO$125,12)</f>
        <v>1</v>
      </c>
      <c r="Y3059" s="13" t="n">
        <f aca="false">IFERROR(X3059/$Z3059,"")</f>
        <v>0.333333333333333</v>
      </c>
      <c r="Z3059" s="12" t="n">
        <f aca="false">B3059+D3059+F3059+H3059+J3059+L3059+N3059+P3059+R3059+T3059+V3059+X3059</f>
        <v>3</v>
      </c>
    </row>
    <row r="3060" customFormat="false" ht="15" hidden="false" customHeight="false" outlineLevel="0" collapsed="false">
      <c r="A3060" s="12" t="s">
        <v>715</v>
      </c>
      <c r="B3060" s="12" t="n">
        <f aca="false">COUNTIFS(Cleaned!$D$2:$D$125,12,Cleaned!EO$2:EO$125,1)</f>
        <v>0</v>
      </c>
      <c r="C3060" s="13" t="str">
        <f aca="false">IFERROR(B3060/$Z3060,"")</f>
        <v/>
      </c>
      <c r="D3060" s="12" t="n">
        <f aca="false">COUNTIFS(Cleaned!$D$2:$D$125,12,Cleaned!EO$2:EO$125,2)</f>
        <v>0</v>
      </c>
      <c r="E3060" s="13" t="str">
        <f aca="false">IFERROR(D3060/$Z3060,"")</f>
        <v/>
      </c>
      <c r="F3060" s="12" t="n">
        <f aca="false">COUNTIFS(Cleaned!$D$2:$D$125,12,Cleaned!EO$2:EO$125,3)</f>
        <v>0</v>
      </c>
      <c r="G3060" s="13" t="str">
        <f aca="false">IFERROR(F3060/$Z3060,"")</f>
        <v/>
      </c>
      <c r="H3060" s="12" t="n">
        <f aca="false">COUNTIFS(Cleaned!$D$2:$D$125,12,Cleaned!EO$2:EO$125,4)</f>
        <v>0</v>
      </c>
      <c r="I3060" s="13" t="str">
        <f aca="false">IFERROR(H3060/$Z3060,"")</f>
        <v/>
      </c>
      <c r="J3060" s="12" t="n">
        <f aca="false">COUNTIFS(Cleaned!$D$2:$D$125,12,Cleaned!EO$2:EO$125,5)</f>
        <v>0</v>
      </c>
      <c r="K3060" s="13" t="str">
        <f aca="false">IFERROR(J3060/$Z3060,"")</f>
        <v/>
      </c>
      <c r="L3060" s="12" t="n">
        <f aca="false">COUNTIFS(Cleaned!$D$2:$D$125,12,Cleaned!EO$2:EO$125,6)</f>
        <v>0</v>
      </c>
      <c r="M3060" s="13" t="str">
        <f aca="false">IFERROR(L3060/$Z3060,"")</f>
        <v/>
      </c>
      <c r="N3060" s="12" t="n">
        <f aca="false">COUNTIFS(Cleaned!$D$2:$D$125,12,Cleaned!EO$2:EO$125,7)</f>
        <v>0</v>
      </c>
      <c r="O3060" s="13" t="str">
        <f aca="false">IFERROR(N3060/$Z3060,"")</f>
        <v/>
      </c>
      <c r="P3060" s="12" t="n">
        <f aca="false">COUNTIFS(Cleaned!$D$2:$D$125,12,Cleaned!EO$2:EO$125,8)</f>
        <v>0</v>
      </c>
      <c r="Q3060" s="13" t="str">
        <f aca="false">IFERROR(P3060/$Z3060,"")</f>
        <v/>
      </c>
      <c r="R3060" s="12" t="n">
        <f aca="false">COUNTIFS(Cleaned!$D$2:$D$125,12,Cleaned!EO$2:EO$125,9)</f>
        <v>0</v>
      </c>
      <c r="S3060" s="13" t="str">
        <f aca="false">IFERROR(R3060/$Z3060,"")</f>
        <v/>
      </c>
      <c r="T3060" s="12" t="n">
        <f aca="false">COUNTIFS(Cleaned!$D$2:$D$125,12,Cleaned!EO$2:EO$125,10)</f>
        <v>0</v>
      </c>
      <c r="U3060" s="13" t="str">
        <f aca="false">IFERROR(T3060/$Z3060,"")</f>
        <v/>
      </c>
      <c r="V3060" s="12" t="n">
        <f aca="false">COUNTIFS(Cleaned!$D$2:$D$125,12,Cleaned!EO$2:EO$125,11)</f>
        <v>0</v>
      </c>
      <c r="W3060" s="13" t="str">
        <f aca="false">IFERROR(V3060/$Z3060,"")</f>
        <v/>
      </c>
      <c r="X3060" s="12" t="n">
        <f aca="false">COUNTIFS(Cleaned!$D$2:$D$125,12,Cleaned!EO$2:EO$125,12)</f>
        <v>0</v>
      </c>
      <c r="Y3060" s="13" t="str">
        <f aca="false">IFERROR(X3060/$Z3060,"")</f>
        <v/>
      </c>
      <c r="Z3060" s="12" t="n">
        <f aca="false">B3060+D3060+F3060+H3060+J3060+L3060+N3060+P3060+R3060+T3060+V3060+X3060</f>
        <v>0</v>
      </c>
    </row>
    <row r="3061" customFormat="false" ht="15" hidden="false" customHeight="false" outlineLevel="0" collapsed="false">
      <c r="A3061" s="11" t="s">
        <v>716</v>
      </c>
      <c r="B3061" s="11" t="n">
        <f aca="false">SUM(B3049:B3060)</f>
        <v>11</v>
      </c>
      <c r="C3061" s="14" t="n">
        <f aca="false">IFERROR(B3061/$Z3061,"")</f>
        <v>0.5</v>
      </c>
      <c r="D3061" s="11" t="n">
        <f aca="false">SUM(D3049:D3060)</f>
        <v>1</v>
      </c>
      <c r="E3061" s="14" t="n">
        <f aca="false">IFERROR(D3061/$Z3061,"")</f>
        <v>0.0454545454545455</v>
      </c>
      <c r="F3061" s="11" t="n">
        <f aca="false">SUM(F3049:F3060)</f>
        <v>1</v>
      </c>
      <c r="G3061" s="14" t="n">
        <f aca="false">IFERROR(F3061/$Z3061,"")</f>
        <v>0.0454545454545455</v>
      </c>
      <c r="H3061" s="11" t="n">
        <f aca="false">SUM(H3049:H3060)</f>
        <v>1</v>
      </c>
      <c r="I3061" s="14" t="n">
        <f aca="false">IFERROR(H3061/$Z3061,"")</f>
        <v>0.0454545454545455</v>
      </c>
      <c r="J3061" s="11" t="n">
        <f aca="false">SUM(J3049:J3060)</f>
        <v>1</v>
      </c>
      <c r="K3061" s="14" t="n">
        <f aca="false">IFERROR(J3061/$Z3061,"")</f>
        <v>0.0454545454545455</v>
      </c>
      <c r="L3061" s="11" t="n">
        <f aca="false">SUM(L3049:L3060)</f>
        <v>1</v>
      </c>
      <c r="M3061" s="14" t="n">
        <f aca="false">IFERROR(L3061/$Z3061,"")</f>
        <v>0.0454545454545455</v>
      </c>
      <c r="N3061" s="11" t="n">
        <f aca="false">SUM(N3049:N3060)</f>
        <v>1</v>
      </c>
      <c r="O3061" s="14" t="n">
        <f aca="false">IFERROR(N3061/$Z3061,"")</f>
        <v>0.0454545454545455</v>
      </c>
      <c r="P3061" s="11" t="n">
        <f aca="false">SUM(P3049:P3060)</f>
        <v>1</v>
      </c>
      <c r="Q3061" s="14" t="n">
        <f aca="false">IFERROR(P3061/$Z3061,"")</f>
        <v>0.0454545454545455</v>
      </c>
      <c r="R3061" s="11" t="n">
        <f aca="false">SUM(R3049:R3060)</f>
        <v>0</v>
      </c>
      <c r="S3061" s="14" t="n">
        <f aca="false">IFERROR(R3061/$Z3061,"")</f>
        <v>0</v>
      </c>
      <c r="T3061" s="11" t="n">
        <f aca="false">SUM(T3049:T3060)</f>
        <v>1</v>
      </c>
      <c r="U3061" s="14" t="n">
        <f aca="false">IFERROR(T3061/$Z3061,"")</f>
        <v>0.0454545454545455</v>
      </c>
      <c r="V3061" s="11" t="n">
        <f aca="false">SUM(V3049:V3060)</f>
        <v>2</v>
      </c>
      <c r="W3061" s="14" t="n">
        <f aca="false">IFERROR(V3061/$Z3061,"")</f>
        <v>0.0909090909090909</v>
      </c>
      <c r="X3061" s="11" t="n">
        <f aca="false">SUM(X3049:X3060)</f>
        <v>1</v>
      </c>
      <c r="Y3061" s="14" t="n">
        <f aca="false">IFERROR(X3061/$Z3061,"")</f>
        <v>0.0454545454545455</v>
      </c>
      <c r="Z3061" s="11" t="n">
        <f aca="false">SUM(Z3049:Z3060)</f>
        <v>22</v>
      </c>
    </row>
    <row r="3064" customFormat="false" ht="15" hidden="false" customHeight="false" outlineLevel="0" collapsed="false">
      <c r="A3064" s="6" t="s">
        <v>145</v>
      </c>
      <c r="B3064" s="7" t="s">
        <v>885</v>
      </c>
    </row>
    <row r="3065" customFormat="false" ht="15" hidden="false" customHeight="false" outlineLevel="0" collapsed="false">
      <c r="A3065" s="8"/>
      <c r="B3065" s="9" t="s">
        <v>372</v>
      </c>
      <c r="C3065" s="8"/>
      <c r="D3065" s="9" t="s">
        <v>886</v>
      </c>
      <c r="E3065" s="8"/>
      <c r="F3065" s="9" t="s">
        <v>887</v>
      </c>
      <c r="G3065" s="8"/>
      <c r="H3065" s="9" t="s">
        <v>888</v>
      </c>
      <c r="I3065" s="8"/>
      <c r="J3065" s="9" t="s">
        <v>250</v>
      </c>
      <c r="K3065" s="8"/>
      <c r="L3065" s="9" t="s">
        <v>221</v>
      </c>
      <c r="M3065" s="8"/>
      <c r="N3065" s="9" t="s">
        <v>218</v>
      </c>
      <c r="O3065" s="8"/>
      <c r="P3065" s="9" t="s">
        <v>246</v>
      </c>
      <c r="Q3065" s="8"/>
      <c r="R3065" s="9" t="s">
        <v>230</v>
      </c>
      <c r="S3065" s="8"/>
      <c r="T3065" s="9" t="s">
        <v>694</v>
      </c>
    </row>
    <row r="3066" customFormat="false" ht="15" hidden="false" customHeight="false" outlineLevel="0" collapsed="false">
      <c r="B3066" s="10" t="s">
        <v>695</v>
      </c>
      <c r="C3066" s="10" t="s">
        <v>696</v>
      </c>
      <c r="D3066" s="10" t="s">
        <v>695</v>
      </c>
      <c r="E3066" s="10" t="s">
        <v>696</v>
      </c>
      <c r="F3066" s="10" t="s">
        <v>695</v>
      </c>
      <c r="G3066" s="10" t="s">
        <v>696</v>
      </c>
      <c r="H3066" s="10" t="s">
        <v>695</v>
      </c>
      <c r="I3066" s="10" t="s">
        <v>696</v>
      </c>
      <c r="J3066" s="10" t="s">
        <v>695</v>
      </c>
      <c r="K3066" s="10" t="s">
        <v>696</v>
      </c>
      <c r="L3066" s="10" t="s">
        <v>695</v>
      </c>
      <c r="M3066" s="10" t="s">
        <v>696</v>
      </c>
      <c r="N3066" s="10" t="s">
        <v>695</v>
      </c>
      <c r="O3066" s="10" t="s">
        <v>696</v>
      </c>
      <c r="P3066" s="10" t="s">
        <v>695</v>
      </c>
      <c r="Q3066" s="10" t="s">
        <v>696</v>
      </c>
      <c r="R3066" s="10" t="s">
        <v>695</v>
      </c>
      <c r="S3066" s="10" t="s">
        <v>696</v>
      </c>
    </row>
    <row r="3067" customFormat="false" ht="15" hidden="false" customHeight="false" outlineLevel="0" collapsed="false">
      <c r="A3067" s="11" t="s">
        <v>697</v>
      </c>
    </row>
    <row r="3068" customFormat="false" ht="15" hidden="false" customHeight="false" outlineLevel="0" collapsed="false">
      <c r="A3068" s="12" t="s">
        <v>698</v>
      </c>
      <c r="B3068" s="12" t="n">
        <f aca="false">COUNTIFS(Cleaned!$C$2:$C$125,1,Cleaned!EP$2:EP$125,1)</f>
        <v>1</v>
      </c>
      <c r="C3068" s="13" t="n">
        <f aca="false">IFERROR(B3068/$T3068,"")</f>
        <v>0.5</v>
      </c>
      <c r="D3068" s="12" t="n">
        <f aca="false">COUNTIFS(Cleaned!$C$2:$C$125,1,Cleaned!EP$2:EP$125,2)</f>
        <v>0</v>
      </c>
      <c r="E3068" s="13" t="n">
        <f aca="false">IFERROR(D3068/$T3068,"")</f>
        <v>0</v>
      </c>
      <c r="F3068" s="12" t="n">
        <f aca="false">COUNTIFS(Cleaned!$C$2:$C$125,1,Cleaned!EP$2:EP$125,3)</f>
        <v>0</v>
      </c>
      <c r="G3068" s="13" t="n">
        <f aca="false">IFERROR(F3068/$T3068,"")</f>
        <v>0</v>
      </c>
      <c r="H3068" s="12" t="n">
        <f aca="false">COUNTIFS(Cleaned!$C$2:$C$125,1,Cleaned!EP$2:EP$125,4)</f>
        <v>0</v>
      </c>
      <c r="I3068" s="13" t="n">
        <f aca="false">IFERROR(H3068/$T3068,"")</f>
        <v>0</v>
      </c>
      <c r="J3068" s="12" t="n">
        <f aca="false">COUNTIFS(Cleaned!$C$2:$C$125,1,Cleaned!EP$2:EP$125,5)</f>
        <v>0</v>
      </c>
      <c r="K3068" s="13" t="n">
        <f aca="false">IFERROR(J3068/$T3068,"")</f>
        <v>0</v>
      </c>
      <c r="L3068" s="12" t="n">
        <f aca="false">COUNTIFS(Cleaned!$C$2:$C$125,1,Cleaned!EP$2:EP$125,6)</f>
        <v>0</v>
      </c>
      <c r="M3068" s="13" t="n">
        <f aca="false">IFERROR(L3068/$T3068,"")</f>
        <v>0</v>
      </c>
      <c r="N3068" s="12" t="n">
        <f aca="false">COUNTIFS(Cleaned!$C$2:$C$125,1,Cleaned!EP$2:EP$125,7)</f>
        <v>0</v>
      </c>
      <c r="O3068" s="13" t="n">
        <f aca="false">IFERROR(N3068/$T3068,"")</f>
        <v>0</v>
      </c>
      <c r="P3068" s="12" t="n">
        <f aca="false">COUNTIFS(Cleaned!$C$2:$C$125,1,Cleaned!EP$2:EP$125,8)</f>
        <v>1</v>
      </c>
      <c r="Q3068" s="13" t="n">
        <f aca="false">IFERROR(P3068/$T3068,"")</f>
        <v>0.5</v>
      </c>
      <c r="R3068" s="12" t="n">
        <f aca="false">COUNTIFS(Cleaned!$C$2:$C$125,1,Cleaned!EP$2:EP$125,9)</f>
        <v>0</v>
      </c>
      <c r="S3068" s="13" t="n">
        <f aca="false">IFERROR(R3068/$T3068,"")</f>
        <v>0</v>
      </c>
      <c r="T3068" s="12" t="n">
        <f aca="false">B3068+D3068+F3068+H3068+J3068+L3068+N3068+P3068+R3068</f>
        <v>2</v>
      </c>
    </row>
    <row r="3069" customFormat="false" ht="15" hidden="false" customHeight="false" outlineLevel="0" collapsed="false">
      <c r="A3069" s="12" t="s">
        <v>699</v>
      </c>
      <c r="B3069" s="12" t="n">
        <f aca="false">COUNTIFS(Cleaned!$C$2:$C$125,2,Cleaned!EP$2:EP$125,1)</f>
        <v>1</v>
      </c>
      <c r="C3069" s="13" t="n">
        <f aca="false">IFERROR(B3069/$T3069,"")</f>
        <v>0.5</v>
      </c>
      <c r="D3069" s="12" t="n">
        <f aca="false">COUNTIFS(Cleaned!$C$2:$C$125,2,Cleaned!EP$2:EP$125,2)</f>
        <v>0</v>
      </c>
      <c r="E3069" s="13" t="n">
        <f aca="false">IFERROR(D3069/$T3069,"")</f>
        <v>0</v>
      </c>
      <c r="F3069" s="12" t="n">
        <f aca="false">COUNTIFS(Cleaned!$C$2:$C$125,2,Cleaned!EP$2:EP$125,3)</f>
        <v>0</v>
      </c>
      <c r="G3069" s="13" t="n">
        <f aca="false">IFERROR(F3069/$T3069,"")</f>
        <v>0</v>
      </c>
      <c r="H3069" s="12" t="n">
        <f aca="false">COUNTIFS(Cleaned!$C$2:$C$125,2,Cleaned!EP$2:EP$125,4)</f>
        <v>0</v>
      </c>
      <c r="I3069" s="13" t="n">
        <f aca="false">IFERROR(H3069/$T3069,"")</f>
        <v>0</v>
      </c>
      <c r="J3069" s="12" t="n">
        <f aca="false">COUNTIFS(Cleaned!$C$2:$C$125,2,Cleaned!EP$2:EP$125,5)</f>
        <v>0</v>
      </c>
      <c r="K3069" s="13" t="n">
        <f aca="false">IFERROR(J3069/$T3069,"")</f>
        <v>0</v>
      </c>
      <c r="L3069" s="12" t="n">
        <f aca="false">COUNTIFS(Cleaned!$C$2:$C$125,2,Cleaned!EP$2:EP$125,6)</f>
        <v>0</v>
      </c>
      <c r="M3069" s="13" t="n">
        <f aca="false">IFERROR(L3069/$T3069,"")</f>
        <v>0</v>
      </c>
      <c r="N3069" s="12" t="n">
        <f aca="false">COUNTIFS(Cleaned!$C$2:$C$125,2,Cleaned!EP$2:EP$125,7)</f>
        <v>0</v>
      </c>
      <c r="O3069" s="13" t="n">
        <f aca="false">IFERROR(N3069/$T3069,"")</f>
        <v>0</v>
      </c>
      <c r="P3069" s="12" t="n">
        <f aca="false">COUNTIFS(Cleaned!$C$2:$C$125,2,Cleaned!EP$2:EP$125,8)</f>
        <v>0</v>
      </c>
      <c r="Q3069" s="13" t="n">
        <f aca="false">IFERROR(P3069/$T3069,"")</f>
        <v>0</v>
      </c>
      <c r="R3069" s="12" t="n">
        <f aca="false">COUNTIFS(Cleaned!$C$2:$C$125,2,Cleaned!EP$2:EP$125,9)</f>
        <v>1</v>
      </c>
      <c r="S3069" s="13" t="n">
        <f aca="false">IFERROR(R3069/$T3069,"")</f>
        <v>0.5</v>
      </c>
      <c r="T3069" s="12" t="n">
        <f aca="false">B3069+D3069+F3069+H3069+J3069+L3069+N3069+P3069+R3069</f>
        <v>2</v>
      </c>
    </row>
    <row r="3070" customFormat="false" ht="15" hidden="false" customHeight="false" outlineLevel="0" collapsed="false">
      <c r="A3070" s="12" t="s">
        <v>700</v>
      </c>
      <c r="B3070" s="12" t="n">
        <f aca="false">COUNTIFS(Cleaned!$C$2:$C$125,3,Cleaned!EP$2:EP$125,1)</f>
        <v>3</v>
      </c>
      <c r="C3070" s="13" t="n">
        <f aca="false">IFERROR(B3070/$T3070,"")</f>
        <v>0.6</v>
      </c>
      <c r="D3070" s="12" t="n">
        <f aca="false">COUNTIFS(Cleaned!$C$2:$C$125,3,Cleaned!EP$2:EP$125,2)</f>
        <v>0</v>
      </c>
      <c r="E3070" s="13" t="n">
        <f aca="false">IFERROR(D3070/$T3070,"")</f>
        <v>0</v>
      </c>
      <c r="F3070" s="12" t="n">
        <f aca="false">COUNTIFS(Cleaned!$C$2:$C$125,3,Cleaned!EP$2:EP$125,3)</f>
        <v>0</v>
      </c>
      <c r="G3070" s="13" t="n">
        <f aca="false">IFERROR(F3070/$T3070,"")</f>
        <v>0</v>
      </c>
      <c r="H3070" s="12" t="n">
        <f aca="false">COUNTIFS(Cleaned!$C$2:$C$125,3,Cleaned!EP$2:EP$125,4)</f>
        <v>1</v>
      </c>
      <c r="I3070" s="13" t="n">
        <f aca="false">IFERROR(H3070/$T3070,"")</f>
        <v>0.2</v>
      </c>
      <c r="J3070" s="12" t="n">
        <f aca="false">COUNTIFS(Cleaned!$C$2:$C$125,3,Cleaned!EP$2:EP$125,5)</f>
        <v>0</v>
      </c>
      <c r="K3070" s="13" t="n">
        <f aca="false">IFERROR(J3070/$T3070,"")</f>
        <v>0</v>
      </c>
      <c r="L3070" s="12" t="n">
        <f aca="false">COUNTIFS(Cleaned!$C$2:$C$125,3,Cleaned!EP$2:EP$125,6)</f>
        <v>0</v>
      </c>
      <c r="M3070" s="13" t="n">
        <f aca="false">IFERROR(L3070/$T3070,"")</f>
        <v>0</v>
      </c>
      <c r="N3070" s="12" t="n">
        <f aca="false">COUNTIFS(Cleaned!$C$2:$C$125,3,Cleaned!EP$2:EP$125,7)</f>
        <v>0</v>
      </c>
      <c r="O3070" s="13" t="n">
        <f aca="false">IFERROR(N3070/$T3070,"")</f>
        <v>0</v>
      </c>
      <c r="P3070" s="12" t="n">
        <f aca="false">COUNTIFS(Cleaned!$C$2:$C$125,3,Cleaned!EP$2:EP$125,8)</f>
        <v>1</v>
      </c>
      <c r="Q3070" s="13" t="n">
        <f aca="false">IFERROR(P3070/$T3070,"")</f>
        <v>0.2</v>
      </c>
      <c r="R3070" s="12" t="n">
        <f aca="false">COUNTIFS(Cleaned!$C$2:$C$125,3,Cleaned!EP$2:EP$125,9)</f>
        <v>0</v>
      </c>
      <c r="S3070" s="13" t="n">
        <f aca="false">IFERROR(R3070/$T3070,"")</f>
        <v>0</v>
      </c>
      <c r="T3070" s="12" t="n">
        <f aca="false">B3070+D3070+F3070+H3070+J3070+L3070+N3070+P3070+R3070</f>
        <v>5</v>
      </c>
    </row>
    <row r="3071" customFormat="false" ht="15" hidden="false" customHeight="false" outlineLevel="0" collapsed="false">
      <c r="A3071" s="12" t="s">
        <v>701</v>
      </c>
      <c r="B3071" s="12" t="n">
        <f aca="false">COUNTIFS(Cleaned!$C$2:$C$125,4,Cleaned!EP$2:EP$125,1)</f>
        <v>2</v>
      </c>
      <c r="C3071" s="13" t="n">
        <f aca="false">IFERROR(B3071/$T3071,"")</f>
        <v>1</v>
      </c>
      <c r="D3071" s="12" t="n">
        <f aca="false">COUNTIFS(Cleaned!$C$2:$C$125,4,Cleaned!EP$2:EP$125,2)</f>
        <v>0</v>
      </c>
      <c r="E3071" s="13" t="n">
        <f aca="false">IFERROR(D3071/$T3071,"")</f>
        <v>0</v>
      </c>
      <c r="F3071" s="12" t="n">
        <f aca="false">COUNTIFS(Cleaned!$C$2:$C$125,4,Cleaned!EP$2:EP$125,3)</f>
        <v>0</v>
      </c>
      <c r="G3071" s="13" t="n">
        <f aca="false">IFERROR(F3071/$T3071,"")</f>
        <v>0</v>
      </c>
      <c r="H3071" s="12" t="n">
        <f aca="false">COUNTIFS(Cleaned!$C$2:$C$125,4,Cleaned!EP$2:EP$125,4)</f>
        <v>0</v>
      </c>
      <c r="I3071" s="13" t="n">
        <f aca="false">IFERROR(H3071/$T3071,"")</f>
        <v>0</v>
      </c>
      <c r="J3071" s="12" t="n">
        <f aca="false">COUNTIFS(Cleaned!$C$2:$C$125,4,Cleaned!EP$2:EP$125,5)</f>
        <v>0</v>
      </c>
      <c r="K3071" s="13" t="n">
        <f aca="false">IFERROR(J3071/$T3071,"")</f>
        <v>0</v>
      </c>
      <c r="L3071" s="12" t="n">
        <f aca="false">COUNTIFS(Cleaned!$C$2:$C$125,4,Cleaned!EP$2:EP$125,6)</f>
        <v>0</v>
      </c>
      <c r="M3071" s="13" t="n">
        <f aca="false">IFERROR(L3071/$T3071,"")</f>
        <v>0</v>
      </c>
      <c r="N3071" s="12" t="n">
        <f aca="false">COUNTIFS(Cleaned!$C$2:$C$125,4,Cleaned!EP$2:EP$125,7)</f>
        <v>0</v>
      </c>
      <c r="O3071" s="13" t="n">
        <f aca="false">IFERROR(N3071/$T3071,"")</f>
        <v>0</v>
      </c>
      <c r="P3071" s="12" t="n">
        <f aca="false">COUNTIFS(Cleaned!$C$2:$C$125,4,Cleaned!EP$2:EP$125,8)</f>
        <v>0</v>
      </c>
      <c r="Q3071" s="13" t="n">
        <f aca="false">IFERROR(P3071/$T3071,"")</f>
        <v>0</v>
      </c>
      <c r="R3071" s="12" t="n">
        <f aca="false">COUNTIFS(Cleaned!$C$2:$C$125,4,Cleaned!EP$2:EP$125,9)</f>
        <v>0</v>
      </c>
      <c r="S3071" s="13" t="n">
        <f aca="false">IFERROR(R3071/$T3071,"")</f>
        <v>0</v>
      </c>
      <c r="T3071" s="12" t="n">
        <f aca="false">B3071+D3071+F3071+H3071+J3071+L3071+N3071+P3071+R3071</f>
        <v>2</v>
      </c>
    </row>
    <row r="3072" customFormat="false" ht="15" hidden="false" customHeight="false" outlineLevel="0" collapsed="false">
      <c r="A3072" s="12" t="s">
        <v>702</v>
      </c>
      <c r="B3072" s="12" t="n">
        <f aca="false">COUNTIFS(Cleaned!$C$2:$C$125,5,Cleaned!EP$2:EP$125,1)</f>
        <v>5</v>
      </c>
      <c r="C3072" s="13" t="n">
        <f aca="false">IFERROR(B3072/$T3072,"")</f>
        <v>0.555555555555556</v>
      </c>
      <c r="D3072" s="12" t="n">
        <f aca="false">COUNTIFS(Cleaned!$C$2:$C$125,5,Cleaned!EP$2:EP$125,2)</f>
        <v>1</v>
      </c>
      <c r="E3072" s="13" t="n">
        <f aca="false">IFERROR(D3072/$T3072,"")</f>
        <v>0.111111111111111</v>
      </c>
      <c r="F3072" s="12" t="n">
        <f aca="false">COUNTIFS(Cleaned!$C$2:$C$125,5,Cleaned!EP$2:EP$125,3)</f>
        <v>0</v>
      </c>
      <c r="G3072" s="13" t="n">
        <f aca="false">IFERROR(F3072/$T3072,"")</f>
        <v>0</v>
      </c>
      <c r="H3072" s="12" t="n">
        <f aca="false">COUNTIFS(Cleaned!$C$2:$C$125,5,Cleaned!EP$2:EP$125,4)</f>
        <v>0</v>
      </c>
      <c r="I3072" s="13" t="n">
        <f aca="false">IFERROR(H3072/$T3072,"")</f>
        <v>0</v>
      </c>
      <c r="J3072" s="12" t="n">
        <f aca="false">COUNTIFS(Cleaned!$C$2:$C$125,5,Cleaned!EP$2:EP$125,5)</f>
        <v>0</v>
      </c>
      <c r="K3072" s="13" t="n">
        <f aca="false">IFERROR(J3072/$T3072,"")</f>
        <v>0</v>
      </c>
      <c r="L3072" s="12" t="n">
        <f aca="false">COUNTIFS(Cleaned!$C$2:$C$125,5,Cleaned!EP$2:EP$125,6)</f>
        <v>0</v>
      </c>
      <c r="M3072" s="13" t="n">
        <f aca="false">IFERROR(L3072/$T3072,"")</f>
        <v>0</v>
      </c>
      <c r="N3072" s="12" t="n">
        <f aca="false">COUNTIFS(Cleaned!$C$2:$C$125,5,Cleaned!EP$2:EP$125,7)</f>
        <v>3</v>
      </c>
      <c r="O3072" s="13" t="n">
        <f aca="false">IFERROR(N3072/$T3072,"")</f>
        <v>0.333333333333333</v>
      </c>
      <c r="P3072" s="12" t="n">
        <f aca="false">COUNTIFS(Cleaned!$C$2:$C$125,5,Cleaned!EP$2:EP$125,8)</f>
        <v>0</v>
      </c>
      <c r="Q3072" s="13" t="n">
        <f aca="false">IFERROR(P3072/$T3072,"")</f>
        <v>0</v>
      </c>
      <c r="R3072" s="12" t="n">
        <f aca="false">COUNTIFS(Cleaned!$C$2:$C$125,5,Cleaned!EP$2:EP$125,9)</f>
        <v>0</v>
      </c>
      <c r="S3072" s="13" t="n">
        <f aca="false">IFERROR(R3072/$T3072,"")</f>
        <v>0</v>
      </c>
      <c r="T3072" s="12" t="n">
        <f aca="false">B3072+D3072+F3072+H3072+J3072+L3072+N3072+P3072+R3072</f>
        <v>9</v>
      </c>
    </row>
    <row r="3073" customFormat="false" ht="15" hidden="false" customHeight="false" outlineLevel="0" collapsed="false">
      <c r="A3073" s="11" t="s">
        <v>703</v>
      </c>
      <c r="B3073" s="11" t="n">
        <f aca="false">SUM(B3068:B3072)</f>
        <v>12</v>
      </c>
      <c r="C3073" s="14" t="n">
        <f aca="false">IFERROR(B3073/$T3073,"")</f>
        <v>0.6</v>
      </c>
      <c r="D3073" s="11" t="n">
        <f aca="false">SUM(D3068:D3072)</f>
        <v>1</v>
      </c>
      <c r="E3073" s="14" t="n">
        <f aca="false">IFERROR(D3073/$T3073,"")</f>
        <v>0.05</v>
      </c>
      <c r="F3073" s="11" t="n">
        <f aca="false">SUM(F3068:F3072)</f>
        <v>0</v>
      </c>
      <c r="G3073" s="14" t="n">
        <f aca="false">IFERROR(F3073/$T3073,"")</f>
        <v>0</v>
      </c>
      <c r="H3073" s="11" t="n">
        <f aca="false">SUM(H3068:H3072)</f>
        <v>1</v>
      </c>
      <c r="I3073" s="14" t="n">
        <f aca="false">IFERROR(H3073/$T3073,"")</f>
        <v>0.05</v>
      </c>
      <c r="J3073" s="11" t="n">
        <f aca="false">SUM(J3068:J3072)</f>
        <v>0</v>
      </c>
      <c r="K3073" s="14" t="n">
        <f aca="false">IFERROR(J3073/$T3073,"")</f>
        <v>0</v>
      </c>
      <c r="L3073" s="11" t="n">
        <f aca="false">SUM(L3068:L3072)</f>
        <v>0</v>
      </c>
      <c r="M3073" s="14" t="n">
        <f aca="false">IFERROR(L3073/$T3073,"")</f>
        <v>0</v>
      </c>
      <c r="N3073" s="11" t="n">
        <f aca="false">SUM(N3068:N3072)</f>
        <v>3</v>
      </c>
      <c r="O3073" s="14" t="n">
        <f aca="false">IFERROR(N3073/$T3073,"")</f>
        <v>0.15</v>
      </c>
      <c r="P3073" s="11" t="n">
        <f aca="false">SUM(P3068:P3072)</f>
        <v>2</v>
      </c>
      <c r="Q3073" s="14" t="n">
        <f aca="false">IFERROR(P3073/$T3073,"")</f>
        <v>0.1</v>
      </c>
      <c r="R3073" s="11" t="n">
        <f aca="false">SUM(R3068:R3072)</f>
        <v>1</v>
      </c>
      <c r="S3073" s="14" t="n">
        <f aca="false">IFERROR(R3073/$T3073,"")</f>
        <v>0.05</v>
      </c>
      <c r="T3073" s="11" t="n">
        <f aca="false">SUM(T3068:T3072)</f>
        <v>20</v>
      </c>
    </row>
    <row r="3074" customFormat="false" ht="15" hidden="false" customHeight="false" outlineLevel="0" collapsed="false">
      <c r="A3074" s="11" t="s">
        <v>3</v>
      </c>
    </row>
    <row r="3075" customFormat="false" ht="15" hidden="false" customHeight="false" outlineLevel="0" collapsed="false">
      <c r="A3075" s="12" t="s">
        <v>704</v>
      </c>
      <c r="B3075" s="12" t="n">
        <f aca="false">COUNTIFS(Cleaned!$D$2:$D$125,1,Cleaned!EP$2:EP$125,1)</f>
        <v>2</v>
      </c>
      <c r="C3075" s="13" t="n">
        <f aca="false">IFERROR(B3075/$T3075,"")</f>
        <v>1</v>
      </c>
      <c r="D3075" s="12" t="n">
        <f aca="false">COUNTIFS(Cleaned!$D$2:$D$125,1,Cleaned!EP$2:EP$125,2)</f>
        <v>0</v>
      </c>
      <c r="E3075" s="13" t="n">
        <f aca="false">IFERROR(D3075/$T3075,"")</f>
        <v>0</v>
      </c>
      <c r="F3075" s="12" t="n">
        <f aca="false">COUNTIFS(Cleaned!$D$2:$D$125,1,Cleaned!EP$2:EP$125,3)</f>
        <v>0</v>
      </c>
      <c r="G3075" s="13" t="n">
        <f aca="false">IFERROR(F3075/$T3075,"")</f>
        <v>0</v>
      </c>
      <c r="H3075" s="12" t="n">
        <f aca="false">COUNTIFS(Cleaned!$D$2:$D$125,1,Cleaned!EP$2:EP$125,4)</f>
        <v>0</v>
      </c>
      <c r="I3075" s="13" t="n">
        <f aca="false">IFERROR(H3075/$T3075,"")</f>
        <v>0</v>
      </c>
      <c r="J3075" s="12" t="n">
        <f aca="false">COUNTIFS(Cleaned!$D$2:$D$125,1,Cleaned!EP$2:EP$125,5)</f>
        <v>0</v>
      </c>
      <c r="K3075" s="13" t="n">
        <f aca="false">IFERROR(J3075/$T3075,"")</f>
        <v>0</v>
      </c>
      <c r="L3075" s="12" t="n">
        <f aca="false">COUNTIFS(Cleaned!$D$2:$D$125,1,Cleaned!EP$2:EP$125,6)</f>
        <v>0</v>
      </c>
      <c r="M3075" s="13" t="n">
        <f aca="false">IFERROR(L3075/$T3075,"")</f>
        <v>0</v>
      </c>
      <c r="N3075" s="12" t="n">
        <f aca="false">COUNTIFS(Cleaned!$D$2:$D$125,1,Cleaned!EP$2:EP$125,7)</f>
        <v>0</v>
      </c>
      <c r="O3075" s="13" t="n">
        <f aca="false">IFERROR(N3075/$T3075,"")</f>
        <v>0</v>
      </c>
      <c r="P3075" s="12" t="n">
        <f aca="false">COUNTIFS(Cleaned!$D$2:$D$125,1,Cleaned!EP$2:EP$125,8)</f>
        <v>0</v>
      </c>
      <c r="Q3075" s="13" t="n">
        <f aca="false">IFERROR(P3075/$T3075,"")</f>
        <v>0</v>
      </c>
      <c r="R3075" s="12" t="n">
        <f aca="false">COUNTIFS(Cleaned!$D$2:$D$125,1,Cleaned!EP$2:EP$125,9)</f>
        <v>0</v>
      </c>
      <c r="S3075" s="13" t="n">
        <f aca="false">IFERROR(R3075/$T3075,"")</f>
        <v>0</v>
      </c>
      <c r="T3075" s="12" t="n">
        <f aca="false">B3075+D3075+F3075+H3075+J3075+L3075+N3075+P3075+R3075</f>
        <v>2</v>
      </c>
    </row>
    <row r="3076" customFormat="false" ht="15" hidden="false" customHeight="false" outlineLevel="0" collapsed="false">
      <c r="A3076" s="12" t="s">
        <v>705</v>
      </c>
      <c r="B3076" s="12" t="n">
        <f aca="false">COUNTIFS(Cleaned!$D$2:$D$125,2,Cleaned!EP$2:EP$125,1)</f>
        <v>3</v>
      </c>
      <c r="C3076" s="13" t="n">
        <f aca="false">IFERROR(B3076/$T3076,"")</f>
        <v>0.5</v>
      </c>
      <c r="D3076" s="12" t="n">
        <f aca="false">COUNTIFS(Cleaned!$D$2:$D$125,2,Cleaned!EP$2:EP$125,2)</f>
        <v>0</v>
      </c>
      <c r="E3076" s="13" t="n">
        <f aca="false">IFERROR(D3076/$T3076,"")</f>
        <v>0</v>
      </c>
      <c r="F3076" s="12" t="n">
        <f aca="false">COUNTIFS(Cleaned!$D$2:$D$125,2,Cleaned!EP$2:EP$125,3)</f>
        <v>0</v>
      </c>
      <c r="G3076" s="13" t="n">
        <f aca="false">IFERROR(F3076/$T3076,"")</f>
        <v>0</v>
      </c>
      <c r="H3076" s="12" t="n">
        <f aca="false">COUNTIFS(Cleaned!$D$2:$D$125,2,Cleaned!EP$2:EP$125,4)</f>
        <v>0</v>
      </c>
      <c r="I3076" s="13" t="n">
        <f aca="false">IFERROR(H3076/$T3076,"")</f>
        <v>0</v>
      </c>
      <c r="J3076" s="12" t="n">
        <f aca="false">COUNTIFS(Cleaned!$D$2:$D$125,2,Cleaned!EP$2:EP$125,5)</f>
        <v>0</v>
      </c>
      <c r="K3076" s="13" t="n">
        <f aca="false">IFERROR(J3076/$T3076,"")</f>
        <v>0</v>
      </c>
      <c r="L3076" s="12" t="n">
        <f aca="false">COUNTIFS(Cleaned!$D$2:$D$125,2,Cleaned!EP$2:EP$125,6)</f>
        <v>0</v>
      </c>
      <c r="M3076" s="13" t="n">
        <f aca="false">IFERROR(L3076/$T3076,"")</f>
        <v>0</v>
      </c>
      <c r="N3076" s="12" t="n">
        <f aca="false">COUNTIFS(Cleaned!$D$2:$D$125,2,Cleaned!EP$2:EP$125,7)</f>
        <v>3</v>
      </c>
      <c r="O3076" s="13" t="n">
        <f aca="false">IFERROR(N3076/$T3076,"")</f>
        <v>0.5</v>
      </c>
      <c r="P3076" s="12" t="n">
        <f aca="false">COUNTIFS(Cleaned!$D$2:$D$125,2,Cleaned!EP$2:EP$125,8)</f>
        <v>0</v>
      </c>
      <c r="Q3076" s="13" t="n">
        <f aca="false">IFERROR(P3076/$T3076,"")</f>
        <v>0</v>
      </c>
      <c r="R3076" s="12" t="n">
        <f aca="false">COUNTIFS(Cleaned!$D$2:$D$125,2,Cleaned!EP$2:EP$125,9)</f>
        <v>0</v>
      </c>
      <c r="S3076" s="13" t="n">
        <f aca="false">IFERROR(R3076/$T3076,"")</f>
        <v>0</v>
      </c>
      <c r="T3076" s="12" t="n">
        <f aca="false">B3076+D3076+F3076+H3076+J3076+L3076+N3076+P3076+R3076</f>
        <v>6</v>
      </c>
    </row>
    <row r="3077" customFormat="false" ht="15" hidden="false" customHeight="false" outlineLevel="0" collapsed="false">
      <c r="A3077" s="12" t="s">
        <v>706</v>
      </c>
      <c r="B3077" s="12" t="n">
        <f aca="false">COUNTIFS(Cleaned!$D$2:$D$125,3,Cleaned!EP$2:EP$125,1)</f>
        <v>1</v>
      </c>
      <c r="C3077" s="13" t="n">
        <f aca="false">IFERROR(B3077/$T3077,"")</f>
        <v>0.5</v>
      </c>
      <c r="D3077" s="12" t="n">
        <f aca="false">COUNTIFS(Cleaned!$D$2:$D$125,3,Cleaned!EP$2:EP$125,2)</f>
        <v>0</v>
      </c>
      <c r="E3077" s="13" t="n">
        <f aca="false">IFERROR(D3077/$T3077,"")</f>
        <v>0</v>
      </c>
      <c r="F3077" s="12" t="n">
        <f aca="false">COUNTIFS(Cleaned!$D$2:$D$125,3,Cleaned!EP$2:EP$125,3)</f>
        <v>0</v>
      </c>
      <c r="G3077" s="13" t="n">
        <f aca="false">IFERROR(F3077/$T3077,"")</f>
        <v>0</v>
      </c>
      <c r="H3077" s="12" t="n">
        <f aca="false">COUNTIFS(Cleaned!$D$2:$D$125,3,Cleaned!EP$2:EP$125,4)</f>
        <v>0</v>
      </c>
      <c r="I3077" s="13" t="n">
        <f aca="false">IFERROR(H3077/$T3077,"")</f>
        <v>0</v>
      </c>
      <c r="J3077" s="12" t="n">
        <f aca="false">COUNTIFS(Cleaned!$D$2:$D$125,3,Cleaned!EP$2:EP$125,5)</f>
        <v>0</v>
      </c>
      <c r="K3077" s="13" t="n">
        <f aca="false">IFERROR(J3077/$T3077,"")</f>
        <v>0</v>
      </c>
      <c r="L3077" s="12" t="n">
        <f aca="false">COUNTIFS(Cleaned!$D$2:$D$125,3,Cleaned!EP$2:EP$125,6)</f>
        <v>0</v>
      </c>
      <c r="M3077" s="13" t="n">
        <f aca="false">IFERROR(L3077/$T3077,"")</f>
        <v>0</v>
      </c>
      <c r="N3077" s="12" t="n">
        <f aca="false">COUNTIFS(Cleaned!$D$2:$D$125,3,Cleaned!EP$2:EP$125,7)</f>
        <v>0</v>
      </c>
      <c r="O3077" s="13" t="n">
        <f aca="false">IFERROR(N3077/$T3077,"")</f>
        <v>0</v>
      </c>
      <c r="P3077" s="12" t="n">
        <f aca="false">COUNTIFS(Cleaned!$D$2:$D$125,3,Cleaned!EP$2:EP$125,8)</f>
        <v>1</v>
      </c>
      <c r="Q3077" s="13" t="n">
        <f aca="false">IFERROR(P3077/$T3077,"")</f>
        <v>0.5</v>
      </c>
      <c r="R3077" s="12" t="n">
        <f aca="false">COUNTIFS(Cleaned!$D$2:$D$125,3,Cleaned!EP$2:EP$125,9)</f>
        <v>0</v>
      </c>
      <c r="S3077" s="13" t="n">
        <f aca="false">IFERROR(R3077/$T3077,"")</f>
        <v>0</v>
      </c>
      <c r="T3077" s="12" t="n">
        <f aca="false">B3077+D3077+F3077+H3077+J3077+L3077+N3077+P3077+R3077</f>
        <v>2</v>
      </c>
    </row>
    <row r="3078" customFormat="false" ht="15" hidden="false" customHeight="false" outlineLevel="0" collapsed="false">
      <c r="A3078" s="12" t="s">
        <v>707</v>
      </c>
      <c r="B3078" s="12" t="n">
        <f aca="false">COUNTIFS(Cleaned!$D$2:$D$125,4,Cleaned!EP$2:EP$125,1)</f>
        <v>2</v>
      </c>
      <c r="C3078" s="13" t="n">
        <f aca="false">IFERROR(B3078/$T3078,"")</f>
        <v>1</v>
      </c>
      <c r="D3078" s="12" t="n">
        <f aca="false">COUNTIFS(Cleaned!$D$2:$D$125,4,Cleaned!EP$2:EP$125,2)</f>
        <v>0</v>
      </c>
      <c r="E3078" s="13" t="n">
        <f aca="false">IFERROR(D3078/$T3078,"")</f>
        <v>0</v>
      </c>
      <c r="F3078" s="12" t="n">
        <f aca="false">COUNTIFS(Cleaned!$D$2:$D$125,4,Cleaned!EP$2:EP$125,3)</f>
        <v>0</v>
      </c>
      <c r="G3078" s="13" t="n">
        <f aca="false">IFERROR(F3078/$T3078,"")</f>
        <v>0</v>
      </c>
      <c r="H3078" s="12" t="n">
        <f aca="false">COUNTIFS(Cleaned!$D$2:$D$125,4,Cleaned!EP$2:EP$125,4)</f>
        <v>0</v>
      </c>
      <c r="I3078" s="13" t="n">
        <f aca="false">IFERROR(H3078/$T3078,"")</f>
        <v>0</v>
      </c>
      <c r="J3078" s="12" t="n">
        <f aca="false">COUNTIFS(Cleaned!$D$2:$D$125,4,Cleaned!EP$2:EP$125,5)</f>
        <v>0</v>
      </c>
      <c r="K3078" s="13" t="n">
        <f aca="false">IFERROR(J3078/$T3078,"")</f>
        <v>0</v>
      </c>
      <c r="L3078" s="12" t="n">
        <f aca="false">COUNTIFS(Cleaned!$D$2:$D$125,4,Cleaned!EP$2:EP$125,6)</f>
        <v>0</v>
      </c>
      <c r="M3078" s="13" t="n">
        <f aca="false">IFERROR(L3078/$T3078,"")</f>
        <v>0</v>
      </c>
      <c r="N3078" s="12" t="n">
        <f aca="false">COUNTIFS(Cleaned!$D$2:$D$125,4,Cleaned!EP$2:EP$125,7)</f>
        <v>0</v>
      </c>
      <c r="O3078" s="13" t="n">
        <f aca="false">IFERROR(N3078/$T3078,"")</f>
        <v>0</v>
      </c>
      <c r="P3078" s="12" t="n">
        <f aca="false">COUNTIFS(Cleaned!$D$2:$D$125,4,Cleaned!EP$2:EP$125,8)</f>
        <v>0</v>
      </c>
      <c r="Q3078" s="13" t="n">
        <f aca="false">IFERROR(P3078/$T3078,"")</f>
        <v>0</v>
      </c>
      <c r="R3078" s="12" t="n">
        <f aca="false">COUNTIFS(Cleaned!$D$2:$D$125,4,Cleaned!EP$2:EP$125,9)</f>
        <v>0</v>
      </c>
      <c r="S3078" s="13" t="n">
        <f aca="false">IFERROR(R3078/$T3078,"")</f>
        <v>0</v>
      </c>
      <c r="T3078" s="12" t="n">
        <f aca="false">B3078+D3078+F3078+H3078+J3078+L3078+N3078+P3078+R3078</f>
        <v>2</v>
      </c>
    </row>
    <row r="3079" customFormat="false" ht="15" hidden="false" customHeight="false" outlineLevel="0" collapsed="false">
      <c r="A3079" s="12" t="s">
        <v>708</v>
      </c>
      <c r="B3079" s="12" t="n">
        <f aca="false">COUNTIFS(Cleaned!$D$2:$D$125,5,Cleaned!EP$2:EP$125,1)</f>
        <v>0</v>
      </c>
      <c r="C3079" s="13" t="str">
        <f aca="false">IFERROR(B3079/$T3079,"")</f>
        <v/>
      </c>
      <c r="D3079" s="12" t="n">
        <f aca="false">COUNTIFS(Cleaned!$D$2:$D$125,5,Cleaned!EP$2:EP$125,2)</f>
        <v>0</v>
      </c>
      <c r="E3079" s="13" t="str">
        <f aca="false">IFERROR(D3079/$T3079,"")</f>
        <v/>
      </c>
      <c r="F3079" s="12" t="n">
        <f aca="false">COUNTIFS(Cleaned!$D$2:$D$125,5,Cleaned!EP$2:EP$125,3)</f>
        <v>0</v>
      </c>
      <c r="G3079" s="13" t="str">
        <f aca="false">IFERROR(F3079/$T3079,"")</f>
        <v/>
      </c>
      <c r="H3079" s="12" t="n">
        <f aca="false">COUNTIFS(Cleaned!$D$2:$D$125,5,Cleaned!EP$2:EP$125,4)</f>
        <v>0</v>
      </c>
      <c r="I3079" s="13" t="str">
        <f aca="false">IFERROR(H3079/$T3079,"")</f>
        <v/>
      </c>
      <c r="J3079" s="12" t="n">
        <f aca="false">COUNTIFS(Cleaned!$D$2:$D$125,5,Cleaned!EP$2:EP$125,5)</f>
        <v>0</v>
      </c>
      <c r="K3079" s="13" t="str">
        <f aca="false">IFERROR(J3079/$T3079,"")</f>
        <v/>
      </c>
      <c r="L3079" s="12" t="n">
        <f aca="false">COUNTIFS(Cleaned!$D$2:$D$125,5,Cleaned!EP$2:EP$125,6)</f>
        <v>0</v>
      </c>
      <c r="M3079" s="13" t="str">
        <f aca="false">IFERROR(L3079/$T3079,"")</f>
        <v/>
      </c>
      <c r="N3079" s="12" t="n">
        <f aca="false">COUNTIFS(Cleaned!$D$2:$D$125,5,Cleaned!EP$2:EP$125,7)</f>
        <v>0</v>
      </c>
      <c r="O3079" s="13" t="str">
        <f aca="false">IFERROR(N3079/$T3079,"")</f>
        <v/>
      </c>
      <c r="P3079" s="12" t="n">
        <f aca="false">COUNTIFS(Cleaned!$D$2:$D$125,5,Cleaned!EP$2:EP$125,8)</f>
        <v>0</v>
      </c>
      <c r="Q3079" s="13" t="str">
        <f aca="false">IFERROR(P3079/$T3079,"")</f>
        <v/>
      </c>
      <c r="R3079" s="12" t="n">
        <f aca="false">COUNTIFS(Cleaned!$D$2:$D$125,5,Cleaned!EP$2:EP$125,9)</f>
        <v>0</v>
      </c>
      <c r="S3079" s="13" t="str">
        <f aca="false">IFERROR(R3079/$T3079,"")</f>
        <v/>
      </c>
      <c r="T3079" s="12" t="n">
        <f aca="false">B3079+D3079+F3079+H3079+J3079+L3079+N3079+P3079+R3079</f>
        <v>0</v>
      </c>
    </row>
    <row r="3080" customFormat="false" ht="15" hidden="false" customHeight="false" outlineLevel="0" collapsed="false">
      <c r="A3080" s="12" t="s">
        <v>709</v>
      </c>
      <c r="B3080" s="12" t="n">
        <f aca="false">COUNTIFS(Cleaned!$D$2:$D$125,6,Cleaned!EP$2:EP$125,1)</f>
        <v>1</v>
      </c>
      <c r="C3080" s="13" t="n">
        <f aca="false">IFERROR(B3080/$T3080,"")</f>
        <v>1</v>
      </c>
      <c r="D3080" s="12" t="n">
        <f aca="false">COUNTIFS(Cleaned!$D$2:$D$125,6,Cleaned!EP$2:EP$125,2)</f>
        <v>0</v>
      </c>
      <c r="E3080" s="13" t="n">
        <f aca="false">IFERROR(D3080/$T3080,"")</f>
        <v>0</v>
      </c>
      <c r="F3080" s="12" t="n">
        <f aca="false">COUNTIFS(Cleaned!$D$2:$D$125,6,Cleaned!EP$2:EP$125,3)</f>
        <v>0</v>
      </c>
      <c r="G3080" s="13" t="n">
        <f aca="false">IFERROR(F3080/$T3080,"")</f>
        <v>0</v>
      </c>
      <c r="H3080" s="12" t="n">
        <f aca="false">COUNTIFS(Cleaned!$D$2:$D$125,6,Cleaned!EP$2:EP$125,4)</f>
        <v>0</v>
      </c>
      <c r="I3080" s="13" t="n">
        <f aca="false">IFERROR(H3080/$T3080,"")</f>
        <v>0</v>
      </c>
      <c r="J3080" s="12" t="n">
        <f aca="false">COUNTIFS(Cleaned!$D$2:$D$125,6,Cleaned!EP$2:EP$125,5)</f>
        <v>0</v>
      </c>
      <c r="K3080" s="13" t="n">
        <f aca="false">IFERROR(J3080/$T3080,"")</f>
        <v>0</v>
      </c>
      <c r="L3080" s="12" t="n">
        <f aca="false">COUNTIFS(Cleaned!$D$2:$D$125,6,Cleaned!EP$2:EP$125,6)</f>
        <v>0</v>
      </c>
      <c r="M3080" s="13" t="n">
        <f aca="false">IFERROR(L3080/$T3080,"")</f>
        <v>0</v>
      </c>
      <c r="N3080" s="12" t="n">
        <f aca="false">COUNTIFS(Cleaned!$D$2:$D$125,6,Cleaned!EP$2:EP$125,7)</f>
        <v>0</v>
      </c>
      <c r="O3080" s="13" t="n">
        <f aca="false">IFERROR(N3080/$T3080,"")</f>
        <v>0</v>
      </c>
      <c r="P3080" s="12" t="n">
        <f aca="false">COUNTIFS(Cleaned!$D$2:$D$125,6,Cleaned!EP$2:EP$125,8)</f>
        <v>0</v>
      </c>
      <c r="Q3080" s="13" t="n">
        <f aca="false">IFERROR(P3080/$T3080,"")</f>
        <v>0</v>
      </c>
      <c r="R3080" s="12" t="n">
        <f aca="false">COUNTIFS(Cleaned!$D$2:$D$125,6,Cleaned!EP$2:EP$125,9)</f>
        <v>0</v>
      </c>
      <c r="S3080" s="13" t="n">
        <f aca="false">IFERROR(R3080/$T3080,"")</f>
        <v>0</v>
      </c>
      <c r="T3080" s="12" t="n">
        <f aca="false">B3080+D3080+F3080+H3080+J3080+L3080+N3080+P3080+R3080</f>
        <v>1</v>
      </c>
    </row>
    <row r="3081" customFormat="false" ht="15" hidden="false" customHeight="false" outlineLevel="0" collapsed="false">
      <c r="A3081" s="12" t="s">
        <v>710</v>
      </c>
      <c r="B3081" s="12" t="n">
        <f aca="false">COUNTIFS(Cleaned!$D$2:$D$125,7,Cleaned!EP$2:EP$125,1)</f>
        <v>1</v>
      </c>
      <c r="C3081" s="13" t="n">
        <f aca="false">IFERROR(B3081/$T3081,"")</f>
        <v>0.333333333333333</v>
      </c>
      <c r="D3081" s="12" t="n">
        <f aca="false">COUNTIFS(Cleaned!$D$2:$D$125,7,Cleaned!EP$2:EP$125,2)</f>
        <v>1</v>
      </c>
      <c r="E3081" s="13" t="n">
        <f aca="false">IFERROR(D3081/$T3081,"")</f>
        <v>0.333333333333333</v>
      </c>
      <c r="F3081" s="12" t="n">
        <f aca="false">COUNTIFS(Cleaned!$D$2:$D$125,7,Cleaned!EP$2:EP$125,3)</f>
        <v>0</v>
      </c>
      <c r="G3081" s="13" t="n">
        <f aca="false">IFERROR(F3081/$T3081,"")</f>
        <v>0</v>
      </c>
      <c r="H3081" s="12" t="n">
        <f aca="false">COUNTIFS(Cleaned!$D$2:$D$125,7,Cleaned!EP$2:EP$125,4)</f>
        <v>1</v>
      </c>
      <c r="I3081" s="13" t="n">
        <f aca="false">IFERROR(H3081/$T3081,"")</f>
        <v>0.333333333333333</v>
      </c>
      <c r="J3081" s="12" t="n">
        <f aca="false">COUNTIFS(Cleaned!$D$2:$D$125,7,Cleaned!EP$2:EP$125,5)</f>
        <v>0</v>
      </c>
      <c r="K3081" s="13" t="n">
        <f aca="false">IFERROR(J3081/$T3081,"")</f>
        <v>0</v>
      </c>
      <c r="L3081" s="12" t="n">
        <f aca="false">COUNTIFS(Cleaned!$D$2:$D$125,7,Cleaned!EP$2:EP$125,6)</f>
        <v>0</v>
      </c>
      <c r="M3081" s="13" t="n">
        <f aca="false">IFERROR(L3081/$T3081,"")</f>
        <v>0</v>
      </c>
      <c r="N3081" s="12" t="n">
        <f aca="false">COUNTIFS(Cleaned!$D$2:$D$125,7,Cleaned!EP$2:EP$125,7)</f>
        <v>0</v>
      </c>
      <c r="O3081" s="13" t="n">
        <f aca="false">IFERROR(N3081/$T3081,"")</f>
        <v>0</v>
      </c>
      <c r="P3081" s="12" t="n">
        <f aca="false">COUNTIFS(Cleaned!$D$2:$D$125,7,Cleaned!EP$2:EP$125,8)</f>
        <v>0</v>
      </c>
      <c r="Q3081" s="13" t="n">
        <f aca="false">IFERROR(P3081/$T3081,"")</f>
        <v>0</v>
      </c>
      <c r="R3081" s="12" t="n">
        <f aca="false">COUNTIFS(Cleaned!$D$2:$D$125,7,Cleaned!EP$2:EP$125,9)</f>
        <v>0</v>
      </c>
      <c r="S3081" s="13" t="n">
        <f aca="false">IFERROR(R3081/$T3081,"")</f>
        <v>0</v>
      </c>
      <c r="T3081" s="12" t="n">
        <f aca="false">B3081+D3081+F3081+H3081+J3081+L3081+N3081+P3081+R3081</f>
        <v>3</v>
      </c>
    </row>
    <row r="3082" customFormat="false" ht="15" hidden="false" customHeight="false" outlineLevel="0" collapsed="false">
      <c r="A3082" s="12" t="s">
        <v>711</v>
      </c>
      <c r="B3082" s="12" t="n">
        <f aca="false">COUNTIFS(Cleaned!$D$2:$D$125,8,Cleaned!EP$2:EP$125,1)</f>
        <v>0</v>
      </c>
      <c r="C3082" s="13" t="n">
        <f aca="false">IFERROR(B3082/$T3082,"")</f>
        <v>0</v>
      </c>
      <c r="D3082" s="12" t="n">
        <f aca="false">COUNTIFS(Cleaned!$D$2:$D$125,8,Cleaned!EP$2:EP$125,2)</f>
        <v>0</v>
      </c>
      <c r="E3082" s="13" t="n">
        <f aca="false">IFERROR(D3082/$T3082,"")</f>
        <v>0</v>
      </c>
      <c r="F3082" s="12" t="n">
        <f aca="false">COUNTIFS(Cleaned!$D$2:$D$125,8,Cleaned!EP$2:EP$125,3)</f>
        <v>0</v>
      </c>
      <c r="G3082" s="13" t="n">
        <f aca="false">IFERROR(F3082/$T3082,"")</f>
        <v>0</v>
      </c>
      <c r="H3082" s="12" t="n">
        <f aca="false">COUNTIFS(Cleaned!$D$2:$D$125,8,Cleaned!EP$2:EP$125,4)</f>
        <v>0</v>
      </c>
      <c r="I3082" s="13" t="n">
        <f aca="false">IFERROR(H3082/$T3082,"")</f>
        <v>0</v>
      </c>
      <c r="J3082" s="12" t="n">
        <f aca="false">COUNTIFS(Cleaned!$D$2:$D$125,8,Cleaned!EP$2:EP$125,5)</f>
        <v>0</v>
      </c>
      <c r="K3082" s="13" t="n">
        <f aca="false">IFERROR(J3082/$T3082,"")</f>
        <v>0</v>
      </c>
      <c r="L3082" s="12" t="n">
        <f aca="false">COUNTIFS(Cleaned!$D$2:$D$125,8,Cleaned!EP$2:EP$125,6)</f>
        <v>0</v>
      </c>
      <c r="M3082" s="13" t="n">
        <f aca="false">IFERROR(L3082/$T3082,"")</f>
        <v>0</v>
      </c>
      <c r="N3082" s="12" t="n">
        <f aca="false">COUNTIFS(Cleaned!$D$2:$D$125,8,Cleaned!EP$2:EP$125,7)</f>
        <v>0</v>
      </c>
      <c r="O3082" s="13" t="n">
        <f aca="false">IFERROR(N3082/$T3082,"")</f>
        <v>0</v>
      </c>
      <c r="P3082" s="12" t="n">
        <f aca="false">COUNTIFS(Cleaned!$D$2:$D$125,8,Cleaned!EP$2:EP$125,8)</f>
        <v>1</v>
      </c>
      <c r="Q3082" s="13" t="n">
        <f aca="false">IFERROR(P3082/$T3082,"")</f>
        <v>1</v>
      </c>
      <c r="R3082" s="12" t="n">
        <f aca="false">COUNTIFS(Cleaned!$D$2:$D$125,8,Cleaned!EP$2:EP$125,9)</f>
        <v>0</v>
      </c>
      <c r="S3082" s="13" t="n">
        <f aca="false">IFERROR(R3082/$T3082,"")</f>
        <v>0</v>
      </c>
      <c r="T3082" s="12" t="n">
        <f aca="false">B3082+D3082+F3082+H3082+J3082+L3082+N3082+P3082+R3082</f>
        <v>1</v>
      </c>
    </row>
    <row r="3083" customFormat="false" ht="15" hidden="false" customHeight="false" outlineLevel="0" collapsed="false">
      <c r="A3083" s="12" t="s">
        <v>712</v>
      </c>
      <c r="B3083" s="12" t="n">
        <f aca="false">COUNTIFS(Cleaned!$D$2:$D$125,9,Cleaned!EP$2:EP$125,1)</f>
        <v>0</v>
      </c>
      <c r="C3083" s="13" t="str">
        <f aca="false">IFERROR(B3083/$T3083,"")</f>
        <v/>
      </c>
      <c r="D3083" s="12" t="n">
        <f aca="false">COUNTIFS(Cleaned!$D$2:$D$125,9,Cleaned!EP$2:EP$125,2)</f>
        <v>0</v>
      </c>
      <c r="E3083" s="13" t="str">
        <f aca="false">IFERROR(D3083/$T3083,"")</f>
        <v/>
      </c>
      <c r="F3083" s="12" t="n">
        <f aca="false">COUNTIFS(Cleaned!$D$2:$D$125,9,Cleaned!EP$2:EP$125,3)</f>
        <v>0</v>
      </c>
      <c r="G3083" s="13" t="str">
        <f aca="false">IFERROR(F3083/$T3083,"")</f>
        <v/>
      </c>
      <c r="H3083" s="12" t="n">
        <f aca="false">COUNTIFS(Cleaned!$D$2:$D$125,9,Cleaned!EP$2:EP$125,4)</f>
        <v>0</v>
      </c>
      <c r="I3083" s="13" t="str">
        <f aca="false">IFERROR(H3083/$T3083,"")</f>
        <v/>
      </c>
      <c r="J3083" s="12" t="n">
        <f aca="false">COUNTIFS(Cleaned!$D$2:$D$125,9,Cleaned!EP$2:EP$125,5)</f>
        <v>0</v>
      </c>
      <c r="K3083" s="13" t="str">
        <f aca="false">IFERROR(J3083/$T3083,"")</f>
        <v/>
      </c>
      <c r="L3083" s="12" t="n">
        <f aca="false">COUNTIFS(Cleaned!$D$2:$D$125,9,Cleaned!EP$2:EP$125,6)</f>
        <v>0</v>
      </c>
      <c r="M3083" s="13" t="str">
        <f aca="false">IFERROR(L3083/$T3083,"")</f>
        <v/>
      </c>
      <c r="N3083" s="12" t="n">
        <f aca="false">COUNTIFS(Cleaned!$D$2:$D$125,9,Cleaned!EP$2:EP$125,7)</f>
        <v>0</v>
      </c>
      <c r="O3083" s="13" t="str">
        <f aca="false">IFERROR(N3083/$T3083,"")</f>
        <v/>
      </c>
      <c r="P3083" s="12" t="n">
        <f aca="false">COUNTIFS(Cleaned!$D$2:$D$125,9,Cleaned!EP$2:EP$125,8)</f>
        <v>0</v>
      </c>
      <c r="Q3083" s="13" t="str">
        <f aca="false">IFERROR(P3083/$T3083,"")</f>
        <v/>
      </c>
      <c r="R3083" s="12" t="n">
        <f aca="false">COUNTIFS(Cleaned!$D$2:$D$125,9,Cleaned!EP$2:EP$125,9)</f>
        <v>0</v>
      </c>
      <c r="S3083" s="13" t="str">
        <f aca="false">IFERROR(R3083/$T3083,"")</f>
        <v/>
      </c>
      <c r="T3083" s="12" t="n">
        <f aca="false">B3083+D3083+F3083+H3083+J3083+L3083+N3083+P3083+R3083</f>
        <v>0</v>
      </c>
    </row>
    <row r="3084" customFormat="false" ht="15" hidden="false" customHeight="false" outlineLevel="0" collapsed="false">
      <c r="A3084" s="12" t="s">
        <v>713</v>
      </c>
      <c r="B3084" s="12" t="n">
        <f aca="false">COUNTIFS(Cleaned!$D$2:$D$125,10,Cleaned!EP$2:EP$125,1)</f>
        <v>0</v>
      </c>
      <c r="C3084" s="13" t="str">
        <f aca="false">IFERROR(B3084/$T3084,"")</f>
        <v/>
      </c>
      <c r="D3084" s="12" t="n">
        <f aca="false">COUNTIFS(Cleaned!$D$2:$D$125,10,Cleaned!EP$2:EP$125,2)</f>
        <v>0</v>
      </c>
      <c r="E3084" s="13" t="str">
        <f aca="false">IFERROR(D3084/$T3084,"")</f>
        <v/>
      </c>
      <c r="F3084" s="12" t="n">
        <f aca="false">COUNTIFS(Cleaned!$D$2:$D$125,10,Cleaned!EP$2:EP$125,3)</f>
        <v>0</v>
      </c>
      <c r="G3084" s="13" t="str">
        <f aca="false">IFERROR(F3084/$T3084,"")</f>
        <v/>
      </c>
      <c r="H3084" s="12" t="n">
        <f aca="false">COUNTIFS(Cleaned!$D$2:$D$125,10,Cleaned!EP$2:EP$125,4)</f>
        <v>0</v>
      </c>
      <c r="I3084" s="13" t="str">
        <f aca="false">IFERROR(H3084/$T3084,"")</f>
        <v/>
      </c>
      <c r="J3084" s="12" t="n">
        <f aca="false">COUNTIFS(Cleaned!$D$2:$D$125,10,Cleaned!EP$2:EP$125,5)</f>
        <v>0</v>
      </c>
      <c r="K3084" s="13" t="str">
        <f aca="false">IFERROR(J3084/$T3084,"")</f>
        <v/>
      </c>
      <c r="L3084" s="12" t="n">
        <f aca="false">COUNTIFS(Cleaned!$D$2:$D$125,10,Cleaned!EP$2:EP$125,6)</f>
        <v>0</v>
      </c>
      <c r="M3084" s="13" t="str">
        <f aca="false">IFERROR(L3084/$T3084,"")</f>
        <v/>
      </c>
      <c r="N3084" s="12" t="n">
        <f aca="false">COUNTIFS(Cleaned!$D$2:$D$125,10,Cleaned!EP$2:EP$125,7)</f>
        <v>0</v>
      </c>
      <c r="O3084" s="13" t="str">
        <f aca="false">IFERROR(N3084/$T3084,"")</f>
        <v/>
      </c>
      <c r="P3084" s="12" t="n">
        <f aca="false">COUNTIFS(Cleaned!$D$2:$D$125,10,Cleaned!EP$2:EP$125,8)</f>
        <v>0</v>
      </c>
      <c r="Q3084" s="13" t="str">
        <f aca="false">IFERROR(P3084/$T3084,"")</f>
        <v/>
      </c>
      <c r="R3084" s="12" t="n">
        <f aca="false">COUNTIFS(Cleaned!$D$2:$D$125,10,Cleaned!EP$2:EP$125,9)</f>
        <v>0</v>
      </c>
      <c r="S3084" s="13" t="str">
        <f aca="false">IFERROR(R3084/$T3084,"")</f>
        <v/>
      </c>
      <c r="T3084" s="12" t="n">
        <f aca="false">B3084+D3084+F3084+H3084+J3084+L3084+N3084+P3084+R3084</f>
        <v>0</v>
      </c>
    </row>
    <row r="3085" customFormat="false" ht="15" hidden="false" customHeight="false" outlineLevel="0" collapsed="false">
      <c r="A3085" s="12" t="s">
        <v>714</v>
      </c>
      <c r="B3085" s="12" t="n">
        <f aca="false">COUNTIFS(Cleaned!$D$2:$D$125,11,Cleaned!EP$2:EP$125,1)</f>
        <v>2</v>
      </c>
      <c r="C3085" s="13" t="n">
        <f aca="false">IFERROR(B3085/$T3085,"")</f>
        <v>0.666666666666667</v>
      </c>
      <c r="D3085" s="12" t="n">
        <f aca="false">COUNTIFS(Cleaned!$D$2:$D$125,11,Cleaned!EP$2:EP$125,2)</f>
        <v>0</v>
      </c>
      <c r="E3085" s="13" t="n">
        <f aca="false">IFERROR(D3085/$T3085,"")</f>
        <v>0</v>
      </c>
      <c r="F3085" s="12" t="n">
        <f aca="false">COUNTIFS(Cleaned!$D$2:$D$125,11,Cleaned!EP$2:EP$125,3)</f>
        <v>0</v>
      </c>
      <c r="G3085" s="13" t="n">
        <f aca="false">IFERROR(F3085/$T3085,"")</f>
        <v>0</v>
      </c>
      <c r="H3085" s="12" t="n">
        <f aca="false">COUNTIFS(Cleaned!$D$2:$D$125,11,Cleaned!EP$2:EP$125,4)</f>
        <v>0</v>
      </c>
      <c r="I3085" s="13" t="n">
        <f aca="false">IFERROR(H3085/$T3085,"")</f>
        <v>0</v>
      </c>
      <c r="J3085" s="12" t="n">
        <f aca="false">COUNTIFS(Cleaned!$D$2:$D$125,11,Cleaned!EP$2:EP$125,5)</f>
        <v>0</v>
      </c>
      <c r="K3085" s="13" t="n">
        <f aca="false">IFERROR(J3085/$T3085,"")</f>
        <v>0</v>
      </c>
      <c r="L3085" s="12" t="n">
        <f aca="false">COUNTIFS(Cleaned!$D$2:$D$125,11,Cleaned!EP$2:EP$125,6)</f>
        <v>0</v>
      </c>
      <c r="M3085" s="13" t="n">
        <f aca="false">IFERROR(L3085/$T3085,"")</f>
        <v>0</v>
      </c>
      <c r="N3085" s="12" t="n">
        <f aca="false">COUNTIFS(Cleaned!$D$2:$D$125,11,Cleaned!EP$2:EP$125,7)</f>
        <v>0</v>
      </c>
      <c r="O3085" s="13" t="n">
        <f aca="false">IFERROR(N3085/$T3085,"")</f>
        <v>0</v>
      </c>
      <c r="P3085" s="12" t="n">
        <f aca="false">COUNTIFS(Cleaned!$D$2:$D$125,11,Cleaned!EP$2:EP$125,8)</f>
        <v>0</v>
      </c>
      <c r="Q3085" s="13" t="n">
        <f aca="false">IFERROR(P3085/$T3085,"")</f>
        <v>0</v>
      </c>
      <c r="R3085" s="12" t="n">
        <f aca="false">COUNTIFS(Cleaned!$D$2:$D$125,11,Cleaned!EP$2:EP$125,9)</f>
        <v>1</v>
      </c>
      <c r="S3085" s="13" t="n">
        <f aca="false">IFERROR(R3085/$T3085,"")</f>
        <v>0.333333333333333</v>
      </c>
      <c r="T3085" s="12" t="n">
        <f aca="false">B3085+D3085+F3085+H3085+J3085+L3085+N3085+P3085+R3085</f>
        <v>3</v>
      </c>
    </row>
    <row r="3086" customFormat="false" ht="15" hidden="false" customHeight="false" outlineLevel="0" collapsed="false">
      <c r="A3086" s="12" t="s">
        <v>715</v>
      </c>
      <c r="B3086" s="12" t="n">
        <f aca="false">COUNTIFS(Cleaned!$D$2:$D$125,12,Cleaned!EP$2:EP$125,1)</f>
        <v>0</v>
      </c>
      <c r="C3086" s="13" t="str">
        <f aca="false">IFERROR(B3086/$T3086,"")</f>
        <v/>
      </c>
      <c r="D3086" s="12" t="n">
        <f aca="false">COUNTIFS(Cleaned!$D$2:$D$125,12,Cleaned!EP$2:EP$125,2)</f>
        <v>0</v>
      </c>
      <c r="E3086" s="13" t="str">
        <f aca="false">IFERROR(D3086/$T3086,"")</f>
        <v/>
      </c>
      <c r="F3086" s="12" t="n">
        <f aca="false">COUNTIFS(Cleaned!$D$2:$D$125,12,Cleaned!EP$2:EP$125,3)</f>
        <v>0</v>
      </c>
      <c r="G3086" s="13" t="str">
        <f aca="false">IFERROR(F3086/$T3086,"")</f>
        <v/>
      </c>
      <c r="H3086" s="12" t="n">
        <f aca="false">COUNTIFS(Cleaned!$D$2:$D$125,12,Cleaned!EP$2:EP$125,4)</f>
        <v>0</v>
      </c>
      <c r="I3086" s="13" t="str">
        <f aca="false">IFERROR(H3086/$T3086,"")</f>
        <v/>
      </c>
      <c r="J3086" s="12" t="n">
        <f aca="false">COUNTIFS(Cleaned!$D$2:$D$125,12,Cleaned!EP$2:EP$125,5)</f>
        <v>0</v>
      </c>
      <c r="K3086" s="13" t="str">
        <f aca="false">IFERROR(J3086/$T3086,"")</f>
        <v/>
      </c>
      <c r="L3086" s="12" t="n">
        <f aca="false">COUNTIFS(Cleaned!$D$2:$D$125,12,Cleaned!EP$2:EP$125,6)</f>
        <v>0</v>
      </c>
      <c r="M3086" s="13" t="str">
        <f aca="false">IFERROR(L3086/$T3086,"")</f>
        <v/>
      </c>
      <c r="N3086" s="12" t="n">
        <f aca="false">COUNTIFS(Cleaned!$D$2:$D$125,12,Cleaned!EP$2:EP$125,7)</f>
        <v>0</v>
      </c>
      <c r="O3086" s="13" t="str">
        <f aca="false">IFERROR(N3086/$T3086,"")</f>
        <v/>
      </c>
      <c r="P3086" s="12" t="n">
        <f aca="false">COUNTIFS(Cleaned!$D$2:$D$125,12,Cleaned!EP$2:EP$125,8)</f>
        <v>0</v>
      </c>
      <c r="Q3086" s="13" t="str">
        <f aca="false">IFERROR(P3086/$T3086,"")</f>
        <v/>
      </c>
      <c r="R3086" s="12" t="n">
        <f aca="false">COUNTIFS(Cleaned!$D$2:$D$125,12,Cleaned!EP$2:EP$125,9)</f>
        <v>0</v>
      </c>
      <c r="S3086" s="13" t="str">
        <f aca="false">IFERROR(R3086/$T3086,"")</f>
        <v/>
      </c>
      <c r="T3086" s="12" t="n">
        <f aca="false">B3086+D3086+F3086+H3086+J3086+L3086+N3086+P3086+R3086</f>
        <v>0</v>
      </c>
    </row>
    <row r="3087" customFormat="false" ht="15" hidden="false" customHeight="false" outlineLevel="0" collapsed="false">
      <c r="A3087" s="11" t="s">
        <v>716</v>
      </c>
      <c r="B3087" s="11" t="n">
        <f aca="false">SUM(B3075:B3086)</f>
        <v>12</v>
      </c>
      <c r="C3087" s="14" t="n">
        <f aca="false">IFERROR(B3087/$T3087,"")</f>
        <v>0.6</v>
      </c>
      <c r="D3087" s="11" t="n">
        <f aca="false">SUM(D3075:D3086)</f>
        <v>1</v>
      </c>
      <c r="E3087" s="14" t="n">
        <f aca="false">IFERROR(D3087/$T3087,"")</f>
        <v>0.05</v>
      </c>
      <c r="F3087" s="11" t="n">
        <f aca="false">SUM(F3075:F3086)</f>
        <v>0</v>
      </c>
      <c r="G3087" s="14" t="n">
        <f aca="false">IFERROR(F3087/$T3087,"")</f>
        <v>0</v>
      </c>
      <c r="H3087" s="11" t="n">
        <f aca="false">SUM(H3075:H3086)</f>
        <v>1</v>
      </c>
      <c r="I3087" s="14" t="n">
        <f aca="false">IFERROR(H3087/$T3087,"")</f>
        <v>0.05</v>
      </c>
      <c r="J3087" s="11" t="n">
        <f aca="false">SUM(J3075:J3086)</f>
        <v>0</v>
      </c>
      <c r="K3087" s="14" t="n">
        <f aca="false">IFERROR(J3087/$T3087,"")</f>
        <v>0</v>
      </c>
      <c r="L3087" s="11" t="n">
        <f aca="false">SUM(L3075:L3086)</f>
        <v>0</v>
      </c>
      <c r="M3087" s="14" t="n">
        <f aca="false">IFERROR(L3087/$T3087,"")</f>
        <v>0</v>
      </c>
      <c r="N3087" s="11" t="n">
        <f aca="false">SUM(N3075:N3086)</f>
        <v>3</v>
      </c>
      <c r="O3087" s="14" t="n">
        <f aca="false">IFERROR(N3087/$T3087,"")</f>
        <v>0.15</v>
      </c>
      <c r="P3087" s="11" t="n">
        <f aca="false">SUM(P3075:P3086)</f>
        <v>2</v>
      </c>
      <c r="Q3087" s="14" t="n">
        <f aca="false">IFERROR(P3087/$T3087,"")</f>
        <v>0.1</v>
      </c>
      <c r="R3087" s="11" t="n">
        <f aca="false">SUM(R3075:R3086)</f>
        <v>1</v>
      </c>
      <c r="S3087" s="14" t="n">
        <f aca="false">IFERROR(R3087/$T3087,"")</f>
        <v>0.05</v>
      </c>
      <c r="T3087" s="11" t="n">
        <f aca="false">SUM(T3075:T3086)</f>
        <v>20</v>
      </c>
    </row>
    <row r="3090" customFormat="false" ht="15" hidden="false" customHeight="false" outlineLevel="0" collapsed="false">
      <c r="A3090" s="6" t="s">
        <v>146</v>
      </c>
      <c r="B3090" s="7" t="s">
        <v>889</v>
      </c>
    </row>
    <row r="3091" customFormat="false" ht="15" hidden="false" customHeight="false" outlineLevel="0" collapsed="false">
      <c r="A3091" s="8"/>
      <c r="B3091" s="9" t="s">
        <v>372</v>
      </c>
      <c r="C3091" s="8"/>
      <c r="D3091" s="9" t="s">
        <v>890</v>
      </c>
      <c r="E3091" s="8"/>
      <c r="F3091" s="9" t="s">
        <v>891</v>
      </c>
      <c r="G3091" s="8"/>
      <c r="H3091" s="9" t="s">
        <v>221</v>
      </c>
      <c r="I3091" s="8"/>
      <c r="J3091" s="9" t="s">
        <v>892</v>
      </c>
      <c r="K3091" s="8"/>
      <c r="L3091" s="9" t="s">
        <v>218</v>
      </c>
      <c r="M3091" s="8"/>
      <c r="N3091" s="9" t="s">
        <v>246</v>
      </c>
      <c r="O3091" s="8"/>
      <c r="P3091" s="9" t="s">
        <v>230</v>
      </c>
      <c r="Q3091" s="8"/>
      <c r="R3091" s="9" t="s">
        <v>694</v>
      </c>
    </row>
    <row r="3092" customFormat="false" ht="15" hidden="false" customHeight="false" outlineLevel="0" collapsed="false">
      <c r="B3092" s="10" t="s">
        <v>695</v>
      </c>
      <c r="C3092" s="10" t="s">
        <v>696</v>
      </c>
      <c r="D3092" s="10" t="s">
        <v>695</v>
      </c>
      <c r="E3092" s="10" t="s">
        <v>696</v>
      </c>
      <c r="F3092" s="10" t="s">
        <v>695</v>
      </c>
      <c r="G3092" s="10" t="s">
        <v>696</v>
      </c>
      <c r="H3092" s="10" t="s">
        <v>695</v>
      </c>
      <c r="I3092" s="10" t="s">
        <v>696</v>
      </c>
      <c r="J3092" s="10" t="s">
        <v>695</v>
      </c>
      <c r="K3092" s="10" t="s">
        <v>696</v>
      </c>
      <c r="L3092" s="10" t="s">
        <v>695</v>
      </c>
      <c r="M3092" s="10" t="s">
        <v>696</v>
      </c>
      <c r="N3092" s="10" t="s">
        <v>695</v>
      </c>
      <c r="O3092" s="10" t="s">
        <v>696</v>
      </c>
      <c r="P3092" s="10" t="s">
        <v>695</v>
      </c>
      <c r="Q3092" s="10" t="s">
        <v>696</v>
      </c>
    </row>
    <row r="3093" customFormat="false" ht="15" hidden="false" customHeight="false" outlineLevel="0" collapsed="false">
      <c r="A3093" s="11" t="s">
        <v>697</v>
      </c>
    </row>
    <row r="3094" customFormat="false" ht="15" hidden="false" customHeight="false" outlineLevel="0" collapsed="false">
      <c r="A3094" s="12" t="s">
        <v>698</v>
      </c>
      <c r="B3094" s="12" t="n">
        <f aca="false">COUNTIFS(Cleaned!$C$2:$C$125,1,Cleaned!EQ$2:EQ$125,1)</f>
        <v>1</v>
      </c>
      <c r="C3094" s="13" t="n">
        <f aca="false">IFERROR(B3094/$R3094,"")</f>
        <v>0.5</v>
      </c>
      <c r="D3094" s="12" t="n">
        <f aca="false">COUNTIFS(Cleaned!$C$2:$C$125,1,Cleaned!EQ$2:EQ$125,2)</f>
        <v>0</v>
      </c>
      <c r="E3094" s="13" t="n">
        <f aca="false">IFERROR(D3094/$R3094,"")</f>
        <v>0</v>
      </c>
      <c r="F3094" s="12" t="n">
        <f aca="false">COUNTIFS(Cleaned!$C$2:$C$125,1,Cleaned!EQ$2:EQ$125,3)</f>
        <v>0</v>
      </c>
      <c r="G3094" s="13" t="n">
        <f aca="false">IFERROR(F3094/$R3094,"")</f>
        <v>0</v>
      </c>
      <c r="H3094" s="12" t="n">
        <f aca="false">COUNTIFS(Cleaned!$C$2:$C$125,1,Cleaned!EQ$2:EQ$125,4)</f>
        <v>0</v>
      </c>
      <c r="I3094" s="13" t="n">
        <f aca="false">IFERROR(H3094/$R3094,"")</f>
        <v>0</v>
      </c>
      <c r="J3094" s="12" t="n">
        <f aca="false">COUNTIFS(Cleaned!$C$2:$C$125,1,Cleaned!EQ$2:EQ$125,5)</f>
        <v>0</v>
      </c>
      <c r="K3094" s="13" t="n">
        <f aca="false">IFERROR(J3094/$R3094,"")</f>
        <v>0</v>
      </c>
      <c r="L3094" s="12" t="n">
        <f aca="false">COUNTIFS(Cleaned!$C$2:$C$125,1,Cleaned!EQ$2:EQ$125,6)</f>
        <v>0</v>
      </c>
      <c r="M3094" s="13" t="n">
        <f aca="false">IFERROR(L3094/$R3094,"")</f>
        <v>0</v>
      </c>
      <c r="N3094" s="12" t="n">
        <f aca="false">COUNTIFS(Cleaned!$C$2:$C$125,1,Cleaned!EQ$2:EQ$125,7)</f>
        <v>1</v>
      </c>
      <c r="O3094" s="13" t="n">
        <f aca="false">IFERROR(N3094/$R3094,"")</f>
        <v>0.5</v>
      </c>
      <c r="P3094" s="12" t="n">
        <f aca="false">COUNTIFS(Cleaned!$C$2:$C$125,1,Cleaned!EQ$2:EQ$125,8)</f>
        <v>0</v>
      </c>
      <c r="Q3094" s="13" t="n">
        <f aca="false">IFERROR(P3094/$R3094,"")</f>
        <v>0</v>
      </c>
      <c r="R3094" s="12" t="n">
        <f aca="false">B3094+D3094+F3094+H3094+J3094+L3094+N3094+P3094</f>
        <v>2</v>
      </c>
    </row>
    <row r="3095" customFormat="false" ht="15" hidden="false" customHeight="false" outlineLevel="0" collapsed="false">
      <c r="A3095" s="12" t="s">
        <v>699</v>
      </c>
      <c r="B3095" s="12" t="n">
        <f aca="false">COUNTIFS(Cleaned!$C$2:$C$125,2,Cleaned!EQ$2:EQ$125,1)</f>
        <v>1</v>
      </c>
      <c r="C3095" s="13" t="n">
        <f aca="false">IFERROR(B3095/$R3095,"")</f>
        <v>0.5</v>
      </c>
      <c r="D3095" s="12" t="n">
        <f aca="false">COUNTIFS(Cleaned!$C$2:$C$125,2,Cleaned!EQ$2:EQ$125,2)</f>
        <v>0</v>
      </c>
      <c r="E3095" s="13" t="n">
        <f aca="false">IFERROR(D3095/$R3095,"")</f>
        <v>0</v>
      </c>
      <c r="F3095" s="12" t="n">
        <f aca="false">COUNTIFS(Cleaned!$C$2:$C$125,2,Cleaned!EQ$2:EQ$125,3)</f>
        <v>0</v>
      </c>
      <c r="G3095" s="13" t="n">
        <f aca="false">IFERROR(F3095/$R3095,"")</f>
        <v>0</v>
      </c>
      <c r="H3095" s="12" t="n">
        <f aca="false">COUNTIFS(Cleaned!$C$2:$C$125,2,Cleaned!EQ$2:EQ$125,4)</f>
        <v>0</v>
      </c>
      <c r="I3095" s="13" t="n">
        <f aca="false">IFERROR(H3095/$R3095,"")</f>
        <v>0</v>
      </c>
      <c r="J3095" s="12" t="n">
        <f aca="false">COUNTIFS(Cleaned!$C$2:$C$125,2,Cleaned!EQ$2:EQ$125,5)</f>
        <v>0</v>
      </c>
      <c r="K3095" s="13" t="n">
        <f aca="false">IFERROR(J3095/$R3095,"")</f>
        <v>0</v>
      </c>
      <c r="L3095" s="12" t="n">
        <f aca="false">COUNTIFS(Cleaned!$C$2:$C$125,2,Cleaned!EQ$2:EQ$125,6)</f>
        <v>0</v>
      </c>
      <c r="M3095" s="13" t="n">
        <f aca="false">IFERROR(L3095/$R3095,"")</f>
        <v>0</v>
      </c>
      <c r="N3095" s="12" t="n">
        <f aca="false">COUNTIFS(Cleaned!$C$2:$C$125,2,Cleaned!EQ$2:EQ$125,7)</f>
        <v>0</v>
      </c>
      <c r="O3095" s="13" t="n">
        <f aca="false">IFERROR(N3095/$R3095,"")</f>
        <v>0</v>
      </c>
      <c r="P3095" s="12" t="n">
        <f aca="false">COUNTIFS(Cleaned!$C$2:$C$125,2,Cleaned!EQ$2:EQ$125,8)</f>
        <v>1</v>
      </c>
      <c r="Q3095" s="13" t="n">
        <f aca="false">IFERROR(P3095/$R3095,"")</f>
        <v>0.5</v>
      </c>
      <c r="R3095" s="12" t="n">
        <f aca="false">B3095+D3095+F3095+H3095+J3095+L3095+N3095+P3095</f>
        <v>2</v>
      </c>
    </row>
    <row r="3096" customFormat="false" ht="15" hidden="false" customHeight="false" outlineLevel="0" collapsed="false">
      <c r="A3096" s="12" t="s">
        <v>700</v>
      </c>
      <c r="B3096" s="12" t="n">
        <f aca="false">COUNTIFS(Cleaned!$C$2:$C$125,3,Cleaned!EQ$2:EQ$125,1)</f>
        <v>4</v>
      </c>
      <c r="C3096" s="13" t="n">
        <f aca="false">IFERROR(B3096/$R3096,"")</f>
        <v>0.8</v>
      </c>
      <c r="D3096" s="12" t="n">
        <f aca="false">COUNTIFS(Cleaned!$C$2:$C$125,3,Cleaned!EQ$2:EQ$125,2)</f>
        <v>0</v>
      </c>
      <c r="E3096" s="13" t="n">
        <f aca="false">IFERROR(D3096/$R3096,"")</f>
        <v>0</v>
      </c>
      <c r="F3096" s="12" t="n">
        <f aca="false">COUNTIFS(Cleaned!$C$2:$C$125,3,Cleaned!EQ$2:EQ$125,3)</f>
        <v>0</v>
      </c>
      <c r="G3096" s="13" t="n">
        <f aca="false">IFERROR(F3096/$R3096,"")</f>
        <v>0</v>
      </c>
      <c r="H3096" s="12" t="n">
        <f aca="false">COUNTIFS(Cleaned!$C$2:$C$125,3,Cleaned!EQ$2:EQ$125,4)</f>
        <v>0</v>
      </c>
      <c r="I3096" s="13" t="n">
        <f aca="false">IFERROR(H3096/$R3096,"")</f>
        <v>0</v>
      </c>
      <c r="J3096" s="12" t="n">
        <f aca="false">COUNTIFS(Cleaned!$C$2:$C$125,3,Cleaned!EQ$2:EQ$125,5)</f>
        <v>0</v>
      </c>
      <c r="K3096" s="13" t="n">
        <f aca="false">IFERROR(J3096/$R3096,"")</f>
        <v>0</v>
      </c>
      <c r="L3096" s="12" t="n">
        <f aca="false">COUNTIFS(Cleaned!$C$2:$C$125,3,Cleaned!EQ$2:EQ$125,6)</f>
        <v>0</v>
      </c>
      <c r="M3096" s="13" t="n">
        <f aca="false">IFERROR(L3096/$R3096,"")</f>
        <v>0</v>
      </c>
      <c r="N3096" s="12" t="n">
        <f aca="false">COUNTIFS(Cleaned!$C$2:$C$125,3,Cleaned!EQ$2:EQ$125,7)</f>
        <v>1</v>
      </c>
      <c r="O3096" s="13" t="n">
        <f aca="false">IFERROR(N3096/$R3096,"")</f>
        <v>0.2</v>
      </c>
      <c r="P3096" s="12" t="n">
        <f aca="false">COUNTIFS(Cleaned!$C$2:$C$125,3,Cleaned!EQ$2:EQ$125,8)</f>
        <v>0</v>
      </c>
      <c r="Q3096" s="13" t="n">
        <f aca="false">IFERROR(P3096/$R3096,"")</f>
        <v>0</v>
      </c>
      <c r="R3096" s="12" t="n">
        <f aca="false">B3096+D3096+F3096+H3096+J3096+L3096+N3096+P3096</f>
        <v>5</v>
      </c>
    </row>
    <row r="3097" customFormat="false" ht="15" hidden="false" customHeight="false" outlineLevel="0" collapsed="false">
      <c r="A3097" s="12" t="s">
        <v>701</v>
      </c>
      <c r="B3097" s="12" t="n">
        <f aca="false">COUNTIFS(Cleaned!$C$2:$C$125,4,Cleaned!EQ$2:EQ$125,1)</f>
        <v>2</v>
      </c>
      <c r="C3097" s="13" t="n">
        <f aca="false">IFERROR(B3097/$R3097,"")</f>
        <v>1</v>
      </c>
      <c r="D3097" s="12" t="n">
        <f aca="false">COUNTIFS(Cleaned!$C$2:$C$125,4,Cleaned!EQ$2:EQ$125,2)</f>
        <v>0</v>
      </c>
      <c r="E3097" s="13" t="n">
        <f aca="false">IFERROR(D3097/$R3097,"")</f>
        <v>0</v>
      </c>
      <c r="F3097" s="12" t="n">
        <f aca="false">COUNTIFS(Cleaned!$C$2:$C$125,4,Cleaned!EQ$2:EQ$125,3)</f>
        <v>0</v>
      </c>
      <c r="G3097" s="13" t="n">
        <f aca="false">IFERROR(F3097/$R3097,"")</f>
        <v>0</v>
      </c>
      <c r="H3097" s="12" t="n">
        <f aca="false">COUNTIFS(Cleaned!$C$2:$C$125,4,Cleaned!EQ$2:EQ$125,4)</f>
        <v>0</v>
      </c>
      <c r="I3097" s="13" t="n">
        <f aca="false">IFERROR(H3097/$R3097,"")</f>
        <v>0</v>
      </c>
      <c r="J3097" s="12" t="n">
        <f aca="false">COUNTIFS(Cleaned!$C$2:$C$125,4,Cleaned!EQ$2:EQ$125,5)</f>
        <v>0</v>
      </c>
      <c r="K3097" s="13" t="n">
        <f aca="false">IFERROR(J3097/$R3097,"")</f>
        <v>0</v>
      </c>
      <c r="L3097" s="12" t="n">
        <f aca="false">COUNTIFS(Cleaned!$C$2:$C$125,4,Cleaned!EQ$2:EQ$125,6)</f>
        <v>0</v>
      </c>
      <c r="M3097" s="13" t="n">
        <f aca="false">IFERROR(L3097/$R3097,"")</f>
        <v>0</v>
      </c>
      <c r="N3097" s="12" t="n">
        <f aca="false">COUNTIFS(Cleaned!$C$2:$C$125,4,Cleaned!EQ$2:EQ$125,7)</f>
        <v>0</v>
      </c>
      <c r="O3097" s="13" t="n">
        <f aca="false">IFERROR(N3097/$R3097,"")</f>
        <v>0</v>
      </c>
      <c r="P3097" s="12" t="n">
        <f aca="false">COUNTIFS(Cleaned!$C$2:$C$125,4,Cleaned!EQ$2:EQ$125,8)</f>
        <v>0</v>
      </c>
      <c r="Q3097" s="13" t="n">
        <f aca="false">IFERROR(P3097/$R3097,"")</f>
        <v>0</v>
      </c>
      <c r="R3097" s="12" t="n">
        <f aca="false">B3097+D3097+F3097+H3097+J3097+L3097+N3097+P3097</f>
        <v>2</v>
      </c>
    </row>
    <row r="3098" customFormat="false" ht="15" hidden="false" customHeight="false" outlineLevel="0" collapsed="false">
      <c r="A3098" s="12" t="s">
        <v>702</v>
      </c>
      <c r="B3098" s="12" t="n">
        <f aca="false">COUNTIFS(Cleaned!$C$2:$C$125,5,Cleaned!EQ$2:EQ$125,1)</f>
        <v>5</v>
      </c>
      <c r="C3098" s="13" t="n">
        <f aca="false">IFERROR(B3098/$R3098,"")</f>
        <v>0.5</v>
      </c>
      <c r="D3098" s="12" t="n">
        <f aca="false">COUNTIFS(Cleaned!$C$2:$C$125,5,Cleaned!EQ$2:EQ$125,2)</f>
        <v>1</v>
      </c>
      <c r="E3098" s="13" t="n">
        <f aca="false">IFERROR(D3098/$R3098,"")</f>
        <v>0.1</v>
      </c>
      <c r="F3098" s="12" t="n">
        <f aca="false">COUNTIFS(Cleaned!$C$2:$C$125,5,Cleaned!EQ$2:EQ$125,3)</f>
        <v>1</v>
      </c>
      <c r="G3098" s="13" t="n">
        <f aca="false">IFERROR(F3098/$R3098,"")</f>
        <v>0.1</v>
      </c>
      <c r="H3098" s="12" t="n">
        <f aca="false">COUNTIFS(Cleaned!$C$2:$C$125,5,Cleaned!EQ$2:EQ$125,4)</f>
        <v>0</v>
      </c>
      <c r="I3098" s="13" t="n">
        <f aca="false">IFERROR(H3098/$R3098,"")</f>
        <v>0</v>
      </c>
      <c r="J3098" s="12" t="n">
        <f aca="false">COUNTIFS(Cleaned!$C$2:$C$125,5,Cleaned!EQ$2:EQ$125,5)</f>
        <v>2</v>
      </c>
      <c r="K3098" s="13" t="n">
        <f aca="false">IFERROR(J3098/$R3098,"")</f>
        <v>0.2</v>
      </c>
      <c r="L3098" s="12" t="n">
        <f aca="false">COUNTIFS(Cleaned!$C$2:$C$125,5,Cleaned!EQ$2:EQ$125,6)</f>
        <v>1</v>
      </c>
      <c r="M3098" s="13" t="n">
        <f aca="false">IFERROR(L3098/$R3098,"")</f>
        <v>0.1</v>
      </c>
      <c r="N3098" s="12" t="n">
        <f aca="false">COUNTIFS(Cleaned!$C$2:$C$125,5,Cleaned!EQ$2:EQ$125,7)</f>
        <v>0</v>
      </c>
      <c r="O3098" s="13" t="n">
        <f aca="false">IFERROR(N3098/$R3098,"")</f>
        <v>0</v>
      </c>
      <c r="P3098" s="12" t="n">
        <f aca="false">COUNTIFS(Cleaned!$C$2:$C$125,5,Cleaned!EQ$2:EQ$125,8)</f>
        <v>0</v>
      </c>
      <c r="Q3098" s="13" t="n">
        <f aca="false">IFERROR(P3098/$R3098,"")</f>
        <v>0</v>
      </c>
      <c r="R3098" s="12" t="n">
        <f aca="false">B3098+D3098+F3098+H3098+J3098+L3098+N3098+P3098</f>
        <v>10</v>
      </c>
    </row>
    <row r="3099" customFormat="false" ht="15" hidden="false" customHeight="false" outlineLevel="0" collapsed="false">
      <c r="A3099" s="11" t="s">
        <v>703</v>
      </c>
      <c r="B3099" s="11" t="n">
        <f aca="false">SUM(B3094:B3098)</f>
        <v>13</v>
      </c>
      <c r="C3099" s="14" t="n">
        <f aca="false">IFERROR(B3099/$R3099,"")</f>
        <v>0.619047619047619</v>
      </c>
      <c r="D3099" s="11" t="n">
        <f aca="false">SUM(D3094:D3098)</f>
        <v>1</v>
      </c>
      <c r="E3099" s="14" t="n">
        <f aca="false">IFERROR(D3099/$R3099,"")</f>
        <v>0.0476190476190476</v>
      </c>
      <c r="F3099" s="11" t="n">
        <f aca="false">SUM(F3094:F3098)</f>
        <v>1</v>
      </c>
      <c r="G3099" s="14" t="n">
        <f aca="false">IFERROR(F3099/$R3099,"")</f>
        <v>0.0476190476190476</v>
      </c>
      <c r="H3099" s="11" t="n">
        <f aca="false">SUM(H3094:H3098)</f>
        <v>0</v>
      </c>
      <c r="I3099" s="14" t="n">
        <f aca="false">IFERROR(H3099/$R3099,"")</f>
        <v>0</v>
      </c>
      <c r="J3099" s="11" t="n">
        <f aca="false">SUM(J3094:J3098)</f>
        <v>2</v>
      </c>
      <c r="K3099" s="14" t="n">
        <f aca="false">IFERROR(J3099/$R3099,"")</f>
        <v>0.0952380952380952</v>
      </c>
      <c r="L3099" s="11" t="n">
        <f aca="false">SUM(L3094:L3098)</f>
        <v>1</v>
      </c>
      <c r="M3099" s="14" t="n">
        <f aca="false">IFERROR(L3099/$R3099,"")</f>
        <v>0.0476190476190476</v>
      </c>
      <c r="N3099" s="11" t="n">
        <f aca="false">SUM(N3094:N3098)</f>
        <v>2</v>
      </c>
      <c r="O3099" s="14" t="n">
        <f aca="false">IFERROR(N3099/$R3099,"")</f>
        <v>0.0952380952380952</v>
      </c>
      <c r="P3099" s="11" t="n">
        <f aca="false">SUM(P3094:P3098)</f>
        <v>1</v>
      </c>
      <c r="Q3099" s="14" t="n">
        <f aca="false">IFERROR(P3099/$R3099,"")</f>
        <v>0.0476190476190476</v>
      </c>
      <c r="R3099" s="11" t="n">
        <f aca="false">SUM(R3094:R3098)</f>
        <v>21</v>
      </c>
    </row>
    <row r="3100" customFormat="false" ht="15" hidden="false" customHeight="false" outlineLevel="0" collapsed="false">
      <c r="A3100" s="11" t="s">
        <v>3</v>
      </c>
    </row>
    <row r="3101" customFormat="false" ht="15" hidden="false" customHeight="false" outlineLevel="0" collapsed="false">
      <c r="A3101" s="12" t="s">
        <v>704</v>
      </c>
      <c r="B3101" s="12" t="n">
        <f aca="false">COUNTIFS(Cleaned!$D$2:$D$125,1,Cleaned!EQ$2:EQ$125,1)</f>
        <v>2</v>
      </c>
      <c r="C3101" s="13" t="n">
        <f aca="false">IFERROR(B3101/$R3101,"")</f>
        <v>1</v>
      </c>
      <c r="D3101" s="12" t="n">
        <f aca="false">COUNTIFS(Cleaned!$D$2:$D$125,1,Cleaned!EQ$2:EQ$125,2)</f>
        <v>0</v>
      </c>
      <c r="E3101" s="13" t="n">
        <f aca="false">IFERROR(D3101/$R3101,"")</f>
        <v>0</v>
      </c>
      <c r="F3101" s="12" t="n">
        <f aca="false">COUNTIFS(Cleaned!$D$2:$D$125,1,Cleaned!EQ$2:EQ$125,3)</f>
        <v>0</v>
      </c>
      <c r="G3101" s="13" t="n">
        <f aca="false">IFERROR(F3101/$R3101,"")</f>
        <v>0</v>
      </c>
      <c r="H3101" s="12" t="n">
        <f aca="false">COUNTIFS(Cleaned!$D$2:$D$125,1,Cleaned!EQ$2:EQ$125,4)</f>
        <v>0</v>
      </c>
      <c r="I3101" s="13" t="n">
        <f aca="false">IFERROR(H3101/$R3101,"")</f>
        <v>0</v>
      </c>
      <c r="J3101" s="12" t="n">
        <f aca="false">COUNTIFS(Cleaned!$D$2:$D$125,1,Cleaned!EQ$2:EQ$125,5)</f>
        <v>0</v>
      </c>
      <c r="K3101" s="13" t="n">
        <f aca="false">IFERROR(J3101/$R3101,"")</f>
        <v>0</v>
      </c>
      <c r="L3101" s="12" t="n">
        <f aca="false">COUNTIFS(Cleaned!$D$2:$D$125,1,Cleaned!EQ$2:EQ$125,6)</f>
        <v>0</v>
      </c>
      <c r="M3101" s="13" t="n">
        <f aca="false">IFERROR(L3101/$R3101,"")</f>
        <v>0</v>
      </c>
      <c r="N3101" s="12" t="n">
        <f aca="false">COUNTIFS(Cleaned!$D$2:$D$125,1,Cleaned!EQ$2:EQ$125,7)</f>
        <v>0</v>
      </c>
      <c r="O3101" s="13" t="n">
        <f aca="false">IFERROR(N3101/$R3101,"")</f>
        <v>0</v>
      </c>
      <c r="P3101" s="12" t="n">
        <f aca="false">COUNTIFS(Cleaned!$D$2:$D$125,1,Cleaned!EQ$2:EQ$125,8)</f>
        <v>0</v>
      </c>
      <c r="Q3101" s="13" t="n">
        <f aca="false">IFERROR(P3101/$R3101,"")</f>
        <v>0</v>
      </c>
      <c r="R3101" s="12" t="n">
        <f aca="false">B3101+D3101+F3101+H3101+J3101+L3101+N3101+P3101</f>
        <v>2</v>
      </c>
    </row>
    <row r="3102" customFormat="false" ht="15" hidden="false" customHeight="false" outlineLevel="0" collapsed="false">
      <c r="A3102" s="12" t="s">
        <v>705</v>
      </c>
      <c r="B3102" s="12" t="n">
        <f aca="false">COUNTIFS(Cleaned!$D$2:$D$125,2,Cleaned!EQ$2:EQ$125,1)</f>
        <v>4</v>
      </c>
      <c r="C3102" s="13" t="n">
        <f aca="false">IFERROR(B3102/$R3102,"")</f>
        <v>0.571428571428571</v>
      </c>
      <c r="D3102" s="12" t="n">
        <f aca="false">COUNTIFS(Cleaned!$D$2:$D$125,2,Cleaned!EQ$2:EQ$125,2)</f>
        <v>1</v>
      </c>
      <c r="E3102" s="13" t="n">
        <f aca="false">IFERROR(D3102/$R3102,"")</f>
        <v>0.142857142857143</v>
      </c>
      <c r="F3102" s="12" t="n">
        <f aca="false">COUNTIFS(Cleaned!$D$2:$D$125,2,Cleaned!EQ$2:EQ$125,3)</f>
        <v>1</v>
      </c>
      <c r="G3102" s="13" t="n">
        <f aca="false">IFERROR(F3102/$R3102,"")</f>
        <v>0.142857142857143</v>
      </c>
      <c r="H3102" s="12" t="n">
        <f aca="false">COUNTIFS(Cleaned!$D$2:$D$125,2,Cleaned!EQ$2:EQ$125,4)</f>
        <v>0</v>
      </c>
      <c r="I3102" s="13" t="n">
        <f aca="false">IFERROR(H3102/$R3102,"")</f>
        <v>0</v>
      </c>
      <c r="J3102" s="12" t="n">
        <f aca="false">COUNTIFS(Cleaned!$D$2:$D$125,2,Cleaned!EQ$2:EQ$125,5)</f>
        <v>0</v>
      </c>
      <c r="K3102" s="13" t="n">
        <f aca="false">IFERROR(J3102/$R3102,"")</f>
        <v>0</v>
      </c>
      <c r="L3102" s="12" t="n">
        <f aca="false">COUNTIFS(Cleaned!$D$2:$D$125,2,Cleaned!EQ$2:EQ$125,6)</f>
        <v>1</v>
      </c>
      <c r="M3102" s="13" t="n">
        <f aca="false">IFERROR(L3102/$R3102,"")</f>
        <v>0.142857142857143</v>
      </c>
      <c r="N3102" s="12" t="n">
        <f aca="false">COUNTIFS(Cleaned!$D$2:$D$125,2,Cleaned!EQ$2:EQ$125,7)</f>
        <v>0</v>
      </c>
      <c r="O3102" s="13" t="n">
        <f aca="false">IFERROR(N3102/$R3102,"")</f>
        <v>0</v>
      </c>
      <c r="P3102" s="12" t="n">
        <f aca="false">COUNTIFS(Cleaned!$D$2:$D$125,2,Cleaned!EQ$2:EQ$125,8)</f>
        <v>0</v>
      </c>
      <c r="Q3102" s="13" t="n">
        <f aca="false">IFERROR(P3102/$R3102,"")</f>
        <v>0</v>
      </c>
      <c r="R3102" s="12" t="n">
        <f aca="false">B3102+D3102+F3102+H3102+J3102+L3102+N3102+P3102</f>
        <v>7</v>
      </c>
    </row>
    <row r="3103" customFormat="false" ht="15" hidden="false" customHeight="false" outlineLevel="0" collapsed="false">
      <c r="A3103" s="12" t="s">
        <v>706</v>
      </c>
      <c r="B3103" s="12" t="n">
        <f aca="false">COUNTIFS(Cleaned!$D$2:$D$125,3,Cleaned!EQ$2:EQ$125,1)</f>
        <v>0</v>
      </c>
      <c r="C3103" s="13" t="n">
        <f aca="false">IFERROR(B3103/$R3103,"")</f>
        <v>0</v>
      </c>
      <c r="D3103" s="12" t="n">
        <f aca="false">COUNTIFS(Cleaned!$D$2:$D$125,3,Cleaned!EQ$2:EQ$125,2)</f>
        <v>0</v>
      </c>
      <c r="E3103" s="13" t="n">
        <f aca="false">IFERROR(D3103/$R3103,"")</f>
        <v>0</v>
      </c>
      <c r="F3103" s="12" t="n">
        <f aca="false">COUNTIFS(Cleaned!$D$2:$D$125,3,Cleaned!EQ$2:EQ$125,3)</f>
        <v>0</v>
      </c>
      <c r="G3103" s="13" t="n">
        <f aca="false">IFERROR(F3103/$R3103,"")</f>
        <v>0</v>
      </c>
      <c r="H3103" s="12" t="n">
        <f aca="false">COUNTIFS(Cleaned!$D$2:$D$125,3,Cleaned!EQ$2:EQ$125,4)</f>
        <v>0</v>
      </c>
      <c r="I3103" s="13" t="n">
        <f aca="false">IFERROR(H3103/$R3103,"")</f>
        <v>0</v>
      </c>
      <c r="J3103" s="12" t="n">
        <f aca="false">COUNTIFS(Cleaned!$D$2:$D$125,3,Cleaned!EQ$2:EQ$125,5)</f>
        <v>2</v>
      </c>
      <c r="K3103" s="13" t="n">
        <f aca="false">IFERROR(J3103/$R3103,"")</f>
        <v>0.666666666666667</v>
      </c>
      <c r="L3103" s="12" t="n">
        <f aca="false">COUNTIFS(Cleaned!$D$2:$D$125,3,Cleaned!EQ$2:EQ$125,6)</f>
        <v>0</v>
      </c>
      <c r="M3103" s="13" t="n">
        <f aca="false">IFERROR(L3103/$R3103,"")</f>
        <v>0</v>
      </c>
      <c r="N3103" s="12" t="n">
        <f aca="false">COUNTIFS(Cleaned!$D$2:$D$125,3,Cleaned!EQ$2:EQ$125,7)</f>
        <v>1</v>
      </c>
      <c r="O3103" s="13" t="n">
        <f aca="false">IFERROR(N3103/$R3103,"")</f>
        <v>0.333333333333333</v>
      </c>
      <c r="P3103" s="12" t="n">
        <f aca="false">COUNTIFS(Cleaned!$D$2:$D$125,3,Cleaned!EQ$2:EQ$125,8)</f>
        <v>0</v>
      </c>
      <c r="Q3103" s="13" t="n">
        <f aca="false">IFERROR(P3103/$R3103,"")</f>
        <v>0</v>
      </c>
      <c r="R3103" s="12" t="n">
        <f aca="false">B3103+D3103+F3103+H3103+J3103+L3103+N3103+P3103</f>
        <v>3</v>
      </c>
    </row>
    <row r="3104" customFormat="false" ht="15" hidden="false" customHeight="false" outlineLevel="0" collapsed="false">
      <c r="A3104" s="12" t="s">
        <v>707</v>
      </c>
      <c r="B3104" s="12" t="n">
        <f aca="false">COUNTIFS(Cleaned!$D$2:$D$125,4,Cleaned!EQ$2:EQ$125,1)</f>
        <v>2</v>
      </c>
      <c r="C3104" s="13" t="n">
        <f aca="false">IFERROR(B3104/$R3104,"")</f>
        <v>1</v>
      </c>
      <c r="D3104" s="12" t="n">
        <f aca="false">COUNTIFS(Cleaned!$D$2:$D$125,4,Cleaned!EQ$2:EQ$125,2)</f>
        <v>0</v>
      </c>
      <c r="E3104" s="13" t="n">
        <f aca="false">IFERROR(D3104/$R3104,"")</f>
        <v>0</v>
      </c>
      <c r="F3104" s="12" t="n">
        <f aca="false">COUNTIFS(Cleaned!$D$2:$D$125,4,Cleaned!EQ$2:EQ$125,3)</f>
        <v>0</v>
      </c>
      <c r="G3104" s="13" t="n">
        <f aca="false">IFERROR(F3104/$R3104,"")</f>
        <v>0</v>
      </c>
      <c r="H3104" s="12" t="n">
        <f aca="false">COUNTIFS(Cleaned!$D$2:$D$125,4,Cleaned!EQ$2:EQ$125,4)</f>
        <v>0</v>
      </c>
      <c r="I3104" s="13" t="n">
        <f aca="false">IFERROR(H3104/$R3104,"")</f>
        <v>0</v>
      </c>
      <c r="J3104" s="12" t="n">
        <f aca="false">COUNTIFS(Cleaned!$D$2:$D$125,4,Cleaned!EQ$2:EQ$125,5)</f>
        <v>0</v>
      </c>
      <c r="K3104" s="13" t="n">
        <f aca="false">IFERROR(J3104/$R3104,"")</f>
        <v>0</v>
      </c>
      <c r="L3104" s="12" t="n">
        <f aca="false">COUNTIFS(Cleaned!$D$2:$D$125,4,Cleaned!EQ$2:EQ$125,6)</f>
        <v>0</v>
      </c>
      <c r="M3104" s="13" t="n">
        <f aca="false">IFERROR(L3104/$R3104,"")</f>
        <v>0</v>
      </c>
      <c r="N3104" s="12" t="n">
        <f aca="false">COUNTIFS(Cleaned!$D$2:$D$125,4,Cleaned!EQ$2:EQ$125,7)</f>
        <v>0</v>
      </c>
      <c r="O3104" s="13" t="n">
        <f aca="false">IFERROR(N3104/$R3104,"")</f>
        <v>0</v>
      </c>
      <c r="P3104" s="12" t="n">
        <f aca="false">COUNTIFS(Cleaned!$D$2:$D$125,4,Cleaned!EQ$2:EQ$125,8)</f>
        <v>0</v>
      </c>
      <c r="Q3104" s="13" t="n">
        <f aca="false">IFERROR(P3104/$R3104,"")</f>
        <v>0</v>
      </c>
      <c r="R3104" s="12" t="n">
        <f aca="false">B3104+D3104+F3104+H3104+J3104+L3104+N3104+P3104</f>
        <v>2</v>
      </c>
    </row>
    <row r="3105" customFormat="false" ht="15" hidden="false" customHeight="false" outlineLevel="0" collapsed="false">
      <c r="A3105" s="12" t="s">
        <v>708</v>
      </c>
      <c r="B3105" s="12" t="n">
        <f aca="false">COUNTIFS(Cleaned!$D$2:$D$125,5,Cleaned!EQ$2:EQ$125,1)</f>
        <v>0</v>
      </c>
      <c r="C3105" s="13" t="str">
        <f aca="false">IFERROR(B3105/$R3105,"")</f>
        <v/>
      </c>
      <c r="D3105" s="12" t="n">
        <f aca="false">COUNTIFS(Cleaned!$D$2:$D$125,5,Cleaned!EQ$2:EQ$125,2)</f>
        <v>0</v>
      </c>
      <c r="E3105" s="13" t="str">
        <f aca="false">IFERROR(D3105/$R3105,"")</f>
        <v/>
      </c>
      <c r="F3105" s="12" t="n">
        <f aca="false">COUNTIFS(Cleaned!$D$2:$D$125,5,Cleaned!EQ$2:EQ$125,3)</f>
        <v>0</v>
      </c>
      <c r="G3105" s="13" t="str">
        <f aca="false">IFERROR(F3105/$R3105,"")</f>
        <v/>
      </c>
      <c r="H3105" s="12" t="n">
        <f aca="false">COUNTIFS(Cleaned!$D$2:$D$125,5,Cleaned!EQ$2:EQ$125,4)</f>
        <v>0</v>
      </c>
      <c r="I3105" s="13" t="str">
        <f aca="false">IFERROR(H3105/$R3105,"")</f>
        <v/>
      </c>
      <c r="J3105" s="12" t="n">
        <f aca="false">COUNTIFS(Cleaned!$D$2:$D$125,5,Cleaned!EQ$2:EQ$125,5)</f>
        <v>0</v>
      </c>
      <c r="K3105" s="13" t="str">
        <f aca="false">IFERROR(J3105/$R3105,"")</f>
        <v/>
      </c>
      <c r="L3105" s="12" t="n">
        <f aca="false">COUNTIFS(Cleaned!$D$2:$D$125,5,Cleaned!EQ$2:EQ$125,6)</f>
        <v>0</v>
      </c>
      <c r="M3105" s="13" t="str">
        <f aca="false">IFERROR(L3105/$R3105,"")</f>
        <v/>
      </c>
      <c r="N3105" s="12" t="n">
        <f aca="false">COUNTIFS(Cleaned!$D$2:$D$125,5,Cleaned!EQ$2:EQ$125,7)</f>
        <v>0</v>
      </c>
      <c r="O3105" s="13" t="str">
        <f aca="false">IFERROR(N3105/$R3105,"")</f>
        <v/>
      </c>
      <c r="P3105" s="12" t="n">
        <f aca="false">COUNTIFS(Cleaned!$D$2:$D$125,5,Cleaned!EQ$2:EQ$125,8)</f>
        <v>0</v>
      </c>
      <c r="Q3105" s="13" t="str">
        <f aca="false">IFERROR(P3105/$R3105,"")</f>
        <v/>
      </c>
      <c r="R3105" s="12" t="n">
        <f aca="false">B3105+D3105+F3105+H3105+J3105+L3105+N3105+P3105</f>
        <v>0</v>
      </c>
    </row>
    <row r="3106" customFormat="false" ht="15" hidden="false" customHeight="false" outlineLevel="0" collapsed="false">
      <c r="A3106" s="12" t="s">
        <v>709</v>
      </c>
      <c r="B3106" s="12" t="n">
        <f aca="false">COUNTIFS(Cleaned!$D$2:$D$125,6,Cleaned!EQ$2:EQ$125,1)</f>
        <v>1</v>
      </c>
      <c r="C3106" s="13" t="n">
        <f aca="false">IFERROR(B3106/$R3106,"")</f>
        <v>1</v>
      </c>
      <c r="D3106" s="12" t="n">
        <f aca="false">COUNTIFS(Cleaned!$D$2:$D$125,6,Cleaned!EQ$2:EQ$125,2)</f>
        <v>0</v>
      </c>
      <c r="E3106" s="13" t="n">
        <f aca="false">IFERROR(D3106/$R3106,"")</f>
        <v>0</v>
      </c>
      <c r="F3106" s="12" t="n">
        <f aca="false">COUNTIFS(Cleaned!$D$2:$D$125,6,Cleaned!EQ$2:EQ$125,3)</f>
        <v>0</v>
      </c>
      <c r="G3106" s="13" t="n">
        <f aca="false">IFERROR(F3106/$R3106,"")</f>
        <v>0</v>
      </c>
      <c r="H3106" s="12" t="n">
        <f aca="false">COUNTIFS(Cleaned!$D$2:$D$125,6,Cleaned!EQ$2:EQ$125,4)</f>
        <v>0</v>
      </c>
      <c r="I3106" s="13" t="n">
        <f aca="false">IFERROR(H3106/$R3106,"")</f>
        <v>0</v>
      </c>
      <c r="J3106" s="12" t="n">
        <f aca="false">COUNTIFS(Cleaned!$D$2:$D$125,6,Cleaned!EQ$2:EQ$125,5)</f>
        <v>0</v>
      </c>
      <c r="K3106" s="13" t="n">
        <f aca="false">IFERROR(J3106/$R3106,"")</f>
        <v>0</v>
      </c>
      <c r="L3106" s="12" t="n">
        <f aca="false">COUNTIFS(Cleaned!$D$2:$D$125,6,Cleaned!EQ$2:EQ$125,6)</f>
        <v>0</v>
      </c>
      <c r="M3106" s="13" t="n">
        <f aca="false">IFERROR(L3106/$R3106,"")</f>
        <v>0</v>
      </c>
      <c r="N3106" s="12" t="n">
        <f aca="false">COUNTIFS(Cleaned!$D$2:$D$125,6,Cleaned!EQ$2:EQ$125,7)</f>
        <v>0</v>
      </c>
      <c r="O3106" s="13" t="n">
        <f aca="false">IFERROR(N3106/$R3106,"")</f>
        <v>0</v>
      </c>
      <c r="P3106" s="12" t="n">
        <f aca="false">COUNTIFS(Cleaned!$D$2:$D$125,6,Cleaned!EQ$2:EQ$125,8)</f>
        <v>0</v>
      </c>
      <c r="Q3106" s="13" t="n">
        <f aca="false">IFERROR(P3106/$R3106,"")</f>
        <v>0</v>
      </c>
      <c r="R3106" s="12" t="n">
        <f aca="false">B3106+D3106+F3106+H3106+J3106+L3106+N3106+P3106</f>
        <v>1</v>
      </c>
    </row>
    <row r="3107" customFormat="false" ht="15" hidden="false" customHeight="false" outlineLevel="0" collapsed="false">
      <c r="A3107" s="12" t="s">
        <v>710</v>
      </c>
      <c r="B3107" s="12" t="n">
        <f aca="false">COUNTIFS(Cleaned!$D$2:$D$125,7,Cleaned!EQ$2:EQ$125,1)</f>
        <v>2</v>
      </c>
      <c r="C3107" s="13" t="n">
        <f aca="false">IFERROR(B3107/$R3107,"")</f>
        <v>1</v>
      </c>
      <c r="D3107" s="12" t="n">
        <f aca="false">COUNTIFS(Cleaned!$D$2:$D$125,7,Cleaned!EQ$2:EQ$125,2)</f>
        <v>0</v>
      </c>
      <c r="E3107" s="13" t="n">
        <f aca="false">IFERROR(D3107/$R3107,"")</f>
        <v>0</v>
      </c>
      <c r="F3107" s="12" t="n">
        <f aca="false">COUNTIFS(Cleaned!$D$2:$D$125,7,Cleaned!EQ$2:EQ$125,3)</f>
        <v>0</v>
      </c>
      <c r="G3107" s="13" t="n">
        <f aca="false">IFERROR(F3107/$R3107,"")</f>
        <v>0</v>
      </c>
      <c r="H3107" s="12" t="n">
        <f aca="false">COUNTIFS(Cleaned!$D$2:$D$125,7,Cleaned!EQ$2:EQ$125,4)</f>
        <v>0</v>
      </c>
      <c r="I3107" s="13" t="n">
        <f aca="false">IFERROR(H3107/$R3107,"")</f>
        <v>0</v>
      </c>
      <c r="J3107" s="12" t="n">
        <f aca="false">COUNTIFS(Cleaned!$D$2:$D$125,7,Cleaned!EQ$2:EQ$125,5)</f>
        <v>0</v>
      </c>
      <c r="K3107" s="13" t="n">
        <f aca="false">IFERROR(J3107/$R3107,"")</f>
        <v>0</v>
      </c>
      <c r="L3107" s="12" t="n">
        <f aca="false">COUNTIFS(Cleaned!$D$2:$D$125,7,Cleaned!EQ$2:EQ$125,6)</f>
        <v>0</v>
      </c>
      <c r="M3107" s="13" t="n">
        <f aca="false">IFERROR(L3107/$R3107,"")</f>
        <v>0</v>
      </c>
      <c r="N3107" s="12" t="n">
        <f aca="false">COUNTIFS(Cleaned!$D$2:$D$125,7,Cleaned!EQ$2:EQ$125,7)</f>
        <v>0</v>
      </c>
      <c r="O3107" s="13" t="n">
        <f aca="false">IFERROR(N3107/$R3107,"")</f>
        <v>0</v>
      </c>
      <c r="P3107" s="12" t="n">
        <f aca="false">COUNTIFS(Cleaned!$D$2:$D$125,7,Cleaned!EQ$2:EQ$125,8)</f>
        <v>0</v>
      </c>
      <c r="Q3107" s="13" t="n">
        <f aca="false">IFERROR(P3107/$R3107,"")</f>
        <v>0</v>
      </c>
      <c r="R3107" s="12" t="n">
        <f aca="false">B3107+D3107+F3107+H3107+J3107+L3107+N3107+P3107</f>
        <v>2</v>
      </c>
    </row>
    <row r="3108" customFormat="false" ht="15" hidden="false" customHeight="false" outlineLevel="0" collapsed="false">
      <c r="A3108" s="12" t="s">
        <v>711</v>
      </c>
      <c r="B3108" s="12" t="n">
        <f aca="false">COUNTIFS(Cleaned!$D$2:$D$125,8,Cleaned!EQ$2:EQ$125,1)</f>
        <v>0</v>
      </c>
      <c r="C3108" s="13" t="n">
        <f aca="false">IFERROR(B3108/$R3108,"")</f>
        <v>0</v>
      </c>
      <c r="D3108" s="12" t="n">
        <f aca="false">COUNTIFS(Cleaned!$D$2:$D$125,8,Cleaned!EQ$2:EQ$125,2)</f>
        <v>0</v>
      </c>
      <c r="E3108" s="13" t="n">
        <f aca="false">IFERROR(D3108/$R3108,"")</f>
        <v>0</v>
      </c>
      <c r="F3108" s="12" t="n">
        <f aca="false">COUNTIFS(Cleaned!$D$2:$D$125,8,Cleaned!EQ$2:EQ$125,3)</f>
        <v>0</v>
      </c>
      <c r="G3108" s="13" t="n">
        <f aca="false">IFERROR(F3108/$R3108,"")</f>
        <v>0</v>
      </c>
      <c r="H3108" s="12" t="n">
        <f aca="false">COUNTIFS(Cleaned!$D$2:$D$125,8,Cleaned!EQ$2:EQ$125,4)</f>
        <v>0</v>
      </c>
      <c r="I3108" s="13" t="n">
        <f aca="false">IFERROR(H3108/$R3108,"")</f>
        <v>0</v>
      </c>
      <c r="J3108" s="12" t="n">
        <f aca="false">COUNTIFS(Cleaned!$D$2:$D$125,8,Cleaned!EQ$2:EQ$125,5)</f>
        <v>0</v>
      </c>
      <c r="K3108" s="13" t="n">
        <f aca="false">IFERROR(J3108/$R3108,"")</f>
        <v>0</v>
      </c>
      <c r="L3108" s="12" t="n">
        <f aca="false">COUNTIFS(Cleaned!$D$2:$D$125,8,Cleaned!EQ$2:EQ$125,6)</f>
        <v>0</v>
      </c>
      <c r="M3108" s="13" t="n">
        <f aca="false">IFERROR(L3108/$R3108,"")</f>
        <v>0</v>
      </c>
      <c r="N3108" s="12" t="n">
        <f aca="false">COUNTIFS(Cleaned!$D$2:$D$125,8,Cleaned!EQ$2:EQ$125,7)</f>
        <v>1</v>
      </c>
      <c r="O3108" s="13" t="n">
        <f aca="false">IFERROR(N3108/$R3108,"")</f>
        <v>1</v>
      </c>
      <c r="P3108" s="12" t="n">
        <f aca="false">COUNTIFS(Cleaned!$D$2:$D$125,8,Cleaned!EQ$2:EQ$125,8)</f>
        <v>0</v>
      </c>
      <c r="Q3108" s="13" t="n">
        <f aca="false">IFERROR(P3108/$R3108,"")</f>
        <v>0</v>
      </c>
      <c r="R3108" s="12" t="n">
        <f aca="false">B3108+D3108+F3108+H3108+J3108+L3108+N3108+P3108</f>
        <v>1</v>
      </c>
    </row>
    <row r="3109" customFormat="false" ht="15" hidden="false" customHeight="false" outlineLevel="0" collapsed="false">
      <c r="A3109" s="12" t="s">
        <v>712</v>
      </c>
      <c r="B3109" s="12" t="n">
        <f aca="false">COUNTIFS(Cleaned!$D$2:$D$125,9,Cleaned!EQ$2:EQ$125,1)</f>
        <v>0</v>
      </c>
      <c r="C3109" s="13" t="str">
        <f aca="false">IFERROR(B3109/$R3109,"")</f>
        <v/>
      </c>
      <c r="D3109" s="12" t="n">
        <f aca="false">COUNTIFS(Cleaned!$D$2:$D$125,9,Cleaned!EQ$2:EQ$125,2)</f>
        <v>0</v>
      </c>
      <c r="E3109" s="13" t="str">
        <f aca="false">IFERROR(D3109/$R3109,"")</f>
        <v/>
      </c>
      <c r="F3109" s="12" t="n">
        <f aca="false">COUNTIFS(Cleaned!$D$2:$D$125,9,Cleaned!EQ$2:EQ$125,3)</f>
        <v>0</v>
      </c>
      <c r="G3109" s="13" t="str">
        <f aca="false">IFERROR(F3109/$R3109,"")</f>
        <v/>
      </c>
      <c r="H3109" s="12" t="n">
        <f aca="false">COUNTIFS(Cleaned!$D$2:$D$125,9,Cleaned!EQ$2:EQ$125,4)</f>
        <v>0</v>
      </c>
      <c r="I3109" s="13" t="str">
        <f aca="false">IFERROR(H3109/$R3109,"")</f>
        <v/>
      </c>
      <c r="J3109" s="12" t="n">
        <f aca="false">COUNTIFS(Cleaned!$D$2:$D$125,9,Cleaned!EQ$2:EQ$125,5)</f>
        <v>0</v>
      </c>
      <c r="K3109" s="13" t="str">
        <f aca="false">IFERROR(J3109/$R3109,"")</f>
        <v/>
      </c>
      <c r="L3109" s="12" t="n">
        <f aca="false">COUNTIFS(Cleaned!$D$2:$D$125,9,Cleaned!EQ$2:EQ$125,6)</f>
        <v>0</v>
      </c>
      <c r="M3109" s="13" t="str">
        <f aca="false">IFERROR(L3109/$R3109,"")</f>
        <v/>
      </c>
      <c r="N3109" s="12" t="n">
        <f aca="false">COUNTIFS(Cleaned!$D$2:$D$125,9,Cleaned!EQ$2:EQ$125,7)</f>
        <v>0</v>
      </c>
      <c r="O3109" s="13" t="str">
        <f aca="false">IFERROR(N3109/$R3109,"")</f>
        <v/>
      </c>
      <c r="P3109" s="12" t="n">
        <f aca="false">COUNTIFS(Cleaned!$D$2:$D$125,9,Cleaned!EQ$2:EQ$125,8)</f>
        <v>0</v>
      </c>
      <c r="Q3109" s="13" t="str">
        <f aca="false">IFERROR(P3109/$R3109,"")</f>
        <v/>
      </c>
      <c r="R3109" s="12" t="n">
        <f aca="false">B3109+D3109+F3109+H3109+J3109+L3109+N3109+P3109</f>
        <v>0</v>
      </c>
    </row>
    <row r="3110" customFormat="false" ht="15" hidden="false" customHeight="false" outlineLevel="0" collapsed="false">
      <c r="A3110" s="12" t="s">
        <v>713</v>
      </c>
      <c r="B3110" s="12" t="n">
        <f aca="false">COUNTIFS(Cleaned!$D$2:$D$125,10,Cleaned!EQ$2:EQ$125,1)</f>
        <v>0</v>
      </c>
      <c r="C3110" s="13" t="str">
        <f aca="false">IFERROR(B3110/$R3110,"")</f>
        <v/>
      </c>
      <c r="D3110" s="12" t="n">
        <f aca="false">COUNTIFS(Cleaned!$D$2:$D$125,10,Cleaned!EQ$2:EQ$125,2)</f>
        <v>0</v>
      </c>
      <c r="E3110" s="13" t="str">
        <f aca="false">IFERROR(D3110/$R3110,"")</f>
        <v/>
      </c>
      <c r="F3110" s="12" t="n">
        <f aca="false">COUNTIFS(Cleaned!$D$2:$D$125,10,Cleaned!EQ$2:EQ$125,3)</f>
        <v>0</v>
      </c>
      <c r="G3110" s="13" t="str">
        <f aca="false">IFERROR(F3110/$R3110,"")</f>
        <v/>
      </c>
      <c r="H3110" s="12" t="n">
        <f aca="false">COUNTIFS(Cleaned!$D$2:$D$125,10,Cleaned!EQ$2:EQ$125,4)</f>
        <v>0</v>
      </c>
      <c r="I3110" s="13" t="str">
        <f aca="false">IFERROR(H3110/$R3110,"")</f>
        <v/>
      </c>
      <c r="J3110" s="12" t="n">
        <f aca="false">COUNTIFS(Cleaned!$D$2:$D$125,10,Cleaned!EQ$2:EQ$125,5)</f>
        <v>0</v>
      </c>
      <c r="K3110" s="13" t="str">
        <f aca="false">IFERROR(J3110/$R3110,"")</f>
        <v/>
      </c>
      <c r="L3110" s="12" t="n">
        <f aca="false">COUNTIFS(Cleaned!$D$2:$D$125,10,Cleaned!EQ$2:EQ$125,6)</f>
        <v>0</v>
      </c>
      <c r="M3110" s="13" t="str">
        <f aca="false">IFERROR(L3110/$R3110,"")</f>
        <v/>
      </c>
      <c r="N3110" s="12" t="n">
        <f aca="false">COUNTIFS(Cleaned!$D$2:$D$125,10,Cleaned!EQ$2:EQ$125,7)</f>
        <v>0</v>
      </c>
      <c r="O3110" s="13" t="str">
        <f aca="false">IFERROR(N3110/$R3110,"")</f>
        <v/>
      </c>
      <c r="P3110" s="12" t="n">
        <f aca="false">COUNTIFS(Cleaned!$D$2:$D$125,10,Cleaned!EQ$2:EQ$125,8)</f>
        <v>0</v>
      </c>
      <c r="Q3110" s="13" t="str">
        <f aca="false">IFERROR(P3110/$R3110,"")</f>
        <v/>
      </c>
      <c r="R3110" s="12" t="n">
        <f aca="false">B3110+D3110+F3110+H3110+J3110+L3110+N3110+P3110</f>
        <v>0</v>
      </c>
    </row>
    <row r="3111" customFormat="false" ht="15" hidden="false" customHeight="false" outlineLevel="0" collapsed="false">
      <c r="A3111" s="12" t="s">
        <v>714</v>
      </c>
      <c r="B3111" s="12" t="n">
        <f aca="false">COUNTIFS(Cleaned!$D$2:$D$125,11,Cleaned!EQ$2:EQ$125,1)</f>
        <v>2</v>
      </c>
      <c r="C3111" s="13" t="n">
        <f aca="false">IFERROR(B3111/$R3111,"")</f>
        <v>0.666666666666667</v>
      </c>
      <c r="D3111" s="12" t="n">
        <f aca="false">COUNTIFS(Cleaned!$D$2:$D$125,11,Cleaned!EQ$2:EQ$125,2)</f>
        <v>0</v>
      </c>
      <c r="E3111" s="13" t="n">
        <f aca="false">IFERROR(D3111/$R3111,"")</f>
        <v>0</v>
      </c>
      <c r="F3111" s="12" t="n">
        <f aca="false">COUNTIFS(Cleaned!$D$2:$D$125,11,Cleaned!EQ$2:EQ$125,3)</f>
        <v>0</v>
      </c>
      <c r="G3111" s="13" t="n">
        <f aca="false">IFERROR(F3111/$R3111,"")</f>
        <v>0</v>
      </c>
      <c r="H3111" s="12" t="n">
        <f aca="false">COUNTIFS(Cleaned!$D$2:$D$125,11,Cleaned!EQ$2:EQ$125,4)</f>
        <v>0</v>
      </c>
      <c r="I3111" s="13" t="n">
        <f aca="false">IFERROR(H3111/$R3111,"")</f>
        <v>0</v>
      </c>
      <c r="J3111" s="12" t="n">
        <f aca="false">COUNTIFS(Cleaned!$D$2:$D$125,11,Cleaned!EQ$2:EQ$125,5)</f>
        <v>0</v>
      </c>
      <c r="K3111" s="13" t="n">
        <f aca="false">IFERROR(J3111/$R3111,"")</f>
        <v>0</v>
      </c>
      <c r="L3111" s="12" t="n">
        <f aca="false">COUNTIFS(Cleaned!$D$2:$D$125,11,Cleaned!EQ$2:EQ$125,6)</f>
        <v>0</v>
      </c>
      <c r="M3111" s="13" t="n">
        <f aca="false">IFERROR(L3111/$R3111,"")</f>
        <v>0</v>
      </c>
      <c r="N3111" s="12" t="n">
        <f aca="false">COUNTIFS(Cleaned!$D$2:$D$125,11,Cleaned!EQ$2:EQ$125,7)</f>
        <v>0</v>
      </c>
      <c r="O3111" s="13" t="n">
        <f aca="false">IFERROR(N3111/$R3111,"")</f>
        <v>0</v>
      </c>
      <c r="P3111" s="12" t="n">
        <f aca="false">COUNTIFS(Cleaned!$D$2:$D$125,11,Cleaned!EQ$2:EQ$125,8)</f>
        <v>1</v>
      </c>
      <c r="Q3111" s="13" t="n">
        <f aca="false">IFERROR(P3111/$R3111,"")</f>
        <v>0.333333333333333</v>
      </c>
      <c r="R3111" s="12" t="n">
        <f aca="false">B3111+D3111+F3111+H3111+J3111+L3111+N3111+P3111</f>
        <v>3</v>
      </c>
    </row>
    <row r="3112" customFormat="false" ht="15" hidden="false" customHeight="false" outlineLevel="0" collapsed="false">
      <c r="A3112" s="12" t="s">
        <v>715</v>
      </c>
      <c r="B3112" s="12" t="n">
        <f aca="false">COUNTIFS(Cleaned!$D$2:$D$125,12,Cleaned!EQ$2:EQ$125,1)</f>
        <v>0</v>
      </c>
      <c r="C3112" s="13" t="str">
        <f aca="false">IFERROR(B3112/$R3112,"")</f>
        <v/>
      </c>
      <c r="D3112" s="12" t="n">
        <f aca="false">COUNTIFS(Cleaned!$D$2:$D$125,12,Cleaned!EQ$2:EQ$125,2)</f>
        <v>0</v>
      </c>
      <c r="E3112" s="13" t="str">
        <f aca="false">IFERROR(D3112/$R3112,"")</f>
        <v/>
      </c>
      <c r="F3112" s="12" t="n">
        <f aca="false">COUNTIFS(Cleaned!$D$2:$D$125,12,Cleaned!EQ$2:EQ$125,3)</f>
        <v>0</v>
      </c>
      <c r="G3112" s="13" t="str">
        <f aca="false">IFERROR(F3112/$R3112,"")</f>
        <v/>
      </c>
      <c r="H3112" s="12" t="n">
        <f aca="false">COUNTIFS(Cleaned!$D$2:$D$125,12,Cleaned!EQ$2:EQ$125,4)</f>
        <v>0</v>
      </c>
      <c r="I3112" s="13" t="str">
        <f aca="false">IFERROR(H3112/$R3112,"")</f>
        <v/>
      </c>
      <c r="J3112" s="12" t="n">
        <f aca="false">COUNTIFS(Cleaned!$D$2:$D$125,12,Cleaned!EQ$2:EQ$125,5)</f>
        <v>0</v>
      </c>
      <c r="K3112" s="13" t="str">
        <f aca="false">IFERROR(J3112/$R3112,"")</f>
        <v/>
      </c>
      <c r="L3112" s="12" t="n">
        <f aca="false">COUNTIFS(Cleaned!$D$2:$D$125,12,Cleaned!EQ$2:EQ$125,6)</f>
        <v>0</v>
      </c>
      <c r="M3112" s="13" t="str">
        <f aca="false">IFERROR(L3112/$R3112,"")</f>
        <v/>
      </c>
      <c r="N3112" s="12" t="n">
        <f aca="false">COUNTIFS(Cleaned!$D$2:$D$125,12,Cleaned!EQ$2:EQ$125,7)</f>
        <v>0</v>
      </c>
      <c r="O3112" s="13" t="str">
        <f aca="false">IFERROR(N3112/$R3112,"")</f>
        <v/>
      </c>
      <c r="P3112" s="12" t="n">
        <f aca="false">COUNTIFS(Cleaned!$D$2:$D$125,12,Cleaned!EQ$2:EQ$125,8)</f>
        <v>0</v>
      </c>
      <c r="Q3112" s="13" t="str">
        <f aca="false">IFERROR(P3112/$R3112,"")</f>
        <v/>
      </c>
      <c r="R3112" s="12" t="n">
        <f aca="false">B3112+D3112+F3112+H3112+J3112+L3112+N3112+P3112</f>
        <v>0</v>
      </c>
    </row>
    <row r="3113" customFormat="false" ht="15" hidden="false" customHeight="false" outlineLevel="0" collapsed="false">
      <c r="A3113" s="11" t="s">
        <v>716</v>
      </c>
      <c r="B3113" s="11" t="n">
        <f aca="false">SUM(B3101:B3112)</f>
        <v>13</v>
      </c>
      <c r="C3113" s="14" t="n">
        <f aca="false">IFERROR(B3113/$R3113,"")</f>
        <v>0.619047619047619</v>
      </c>
      <c r="D3113" s="11" t="n">
        <f aca="false">SUM(D3101:D3112)</f>
        <v>1</v>
      </c>
      <c r="E3113" s="14" t="n">
        <f aca="false">IFERROR(D3113/$R3113,"")</f>
        <v>0.0476190476190476</v>
      </c>
      <c r="F3113" s="11" t="n">
        <f aca="false">SUM(F3101:F3112)</f>
        <v>1</v>
      </c>
      <c r="G3113" s="14" t="n">
        <f aca="false">IFERROR(F3113/$R3113,"")</f>
        <v>0.0476190476190476</v>
      </c>
      <c r="H3113" s="11" t="n">
        <f aca="false">SUM(H3101:H3112)</f>
        <v>0</v>
      </c>
      <c r="I3113" s="14" t="n">
        <f aca="false">IFERROR(H3113/$R3113,"")</f>
        <v>0</v>
      </c>
      <c r="J3113" s="11" t="n">
        <f aca="false">SUM(J3101:J3112)</f>
        <v>2</v>
      </c>
      <c r="K3113" s="14" t="n">
        <f aca="false">IFERROR(J3113/$R3113,"")</f>
        <v>0.0952380952380952</v>
      </c>
      <c r="L3113" s="11" t="n">
        <f aca="false">SUM(L3101:L3112)</f>
        <v>1</v>
      </c>
      <c r="M3113" s="14" t="n">
        <f aca="false">IFERROR(L3113/$R3113,"")</f>
        <v>0.0476190476190476</v>
      </c>
      <c r="N3113" s="11" t="n">
        <f aca="false">SUM(N3101:N3112)</f>
        <v>2</v>
      </c>
      <c r="O3113" s="14" t="n">
        <f aca="false">IFERROR(N3113/$R3113,"")</f>
        <v>0.0952380952380952</v>
      </c>
      <c r="P3113" s="11" t="n">
        <f aca="false">SUM(P3101:P3112)</f>
        <v>1</v>
      </c>
      <c r="Q3113" s="14" t="n">
        <f aca="false">IFERROR(P3113/$R3113,"")</f>
        <v>0.0476190476190476</v>
      </c>
      <c r="R3113" s="11" t="n">
        <f aca="false">SUM(R3101:R3112)</f>
        <v>21</v>
      </c>
    </row>
    <row r="3116" customFormat="false" ht="15" hidden="false" customHeight="false" outlineLevel="0" collapsed="false">
      <c r="A3116" s="6" t="s">
        <v>148</v>
      </c>
      <c r="B3116" s="7" t="s">
        <v>893</v>
      </c>
    </row>
    <row r="3117" customFormat="false" ht="15" hidden="false" customHeight="false" outlineLevel="0" collapsed="false">
      <c r="A3117" s="11" t="s">
        <v>734</v>
      </c>
      <c r="B3117" s="9" t="s">
        <v>694</v>
      </c>
      <c r="C3117" s="9" t="s">
        <v>735</v>
      </c>
      <c r="D3117" s="9" t="s">
        <v>736</v>
      </c>
      <c r="E3117" s="9" t="s">
        <v>737</v>
      </c>
      <c r="F3117" s="9" t="s">
        <v>738</v>
      </c>
    </row>
    <row r="3118" customFormat="false" ht="15" hidden="false" customHeight="false" outlineLevel="0" collapsed="false">
      <c r="B3118" s="12" t="n">
        <f aca="false">COUNT(Cleaned!$ES$2:$ES$125)</f>
        <v>6</v>
      </c>
      <c r="C3118" s="12" t="n">
        <f aca="false">IFERROR(AVERAGE(Cleaned!$ES$2:$ES$125),"")</f>
        <v>68.6666666666667</v>
      </c>
      <c r="D3118" s="12" t="n">
        <f aca="false">IFERROR(MEDIAN(Cleaned!$ES$2:$ES$125),"")</f>
        <v>1.5</v>
      </c>
      <c r="E3118" s="12" t="n">
        <f aca="false">IFERROR(MIN(Cleaned!$ES$2:$ES$125),"")</f>
        <v>0</v>
      </c>
      <c r="F3118" s="12" t="n">
        <f aca="false">IFERROR(MAX(Cleaned!$ES$2:$ES$125),"")</f>
        <v>400</v>
      </c>
    </row>
    <row r="3119" customFormat="false" ht="15" hidden="false" customHeight="false" outlineLevel="0" collapsed="false">
      <c r="A3119" s="11" t="s">
        <v>697</v>
      </c>
      <c r="B3119" s="9" t="s">
        <v>739</v>
      </c>
      <c r="C3119" s="9" t="s">
        <v>735</v>
      </c>
    </row>
    <row r="3120" customFormat="false" ht="15" hidden="false" customHeight="false" outlineLevel="0" collapsed="false">
      <c r="A3120" s="12" t="s">
        <v>698</v>
      </c>
      <c r="B3120" s="12" t="n">
        <f aca="false">COUNTIFS(Cleaned!$C$2:$C$125,1,Cleaned!ES$2:ES$125,"&lt;&gt;")</f>
        <v>0</v>
      </c>
      <c r="C3120" s="15" t="str">
        <f aca="false">IF(B3120=0,"",AVERAGEIF(Cleaned!$C$2:$C$125,1,Cleaned!ES$2:ES$125))</f>
        <v/>
      </c>
    </row>
    <row r="3121" customFormat="false" ht="15" hidden="false" customHeight="false" outlineLevel="0" collapsed="false">
      <c r="A3121" s="12" t="s">
        <v>699</v>
      </c>
      <c r="B3121" s="12" t="n">
        <f aca="false">COUNTIFS(Cleaned!$C$2:$C$125,2,Cleaned!ES$2:ES$125,"&lt;&gt;")</f>
        <v>0</v>
      </c>
      <c r="C3121" s="15" t="str">
        <f aca="false">IF(B3121=0,"",AVERAGEIF(Cleaned!$C$2:$C$125,2,Cleaned!ES$2:ES$125))</f>
        <v/>
      </c>
    </row>
    <row r="3122" customFormat="false" ht="15" hidden="false" customHeight="false" outlineLevel="0" collapsed="false">
      <c r="A3122" s="12" t="s">
        <v>700</v>
      </c>
      <c r="B3122" s="12" t="n">
        <f aca="false">COUNTIFS(Cleaned!$C$2:$C$125,3,Cleaned!ES$2:ES$125,"&lt;&gt;")</f>
        <v>1</v>
      </c>
      <c r="C3122" s="15" t="n">
        <f aca="false">IF(B3122=0,"",AVERAGEIF(Cleaned!$C$2:$C$125,3,Cleaned!ES$2:ES$125))</f>
        <v>9</v>
      </c>
    </row>
    <row r="3123" customFormat="false" ht="15" hidden="false" customHeight="false" outlineLevel="0" collapsed="false">
      <c r="A3123" s="12" t="s">
        <v>701</v>
      </c>
      <c r="B3123" s="12" t="n">
        <f aca="false">COUNTIFS(Cleaned!$C$2:$C$125,4,Cleaned!ES$2:ES$125,"&lt;&gt;")</f>
        <v>1</v>
      </c>
      <c r="C3123" s="15" t="n">
        <f aca="false">IF(B3123=0,"",AVERAGEIF(Cleaned!$C$2:$C$125,4,Cleaned!ES$2:ES$125))</f>
        <v>3</v>
      </c>
    </row>
    <row r="3124" customFormat="false" ht="15" hidden="false" customHeight="false" outlineLevel="0" collapsed="false">
      <c r="A3124" s="12" t="s">
        <v>702</v>
      </c>
      <c r="B3124" s="12" t="n">
        <f aca="false">COUNTIFS(Cleaned!$C$2:$C$125,5,Cleaned!ES$2:ES$125,"&lt;&gt;")</f>
        <v>4</v>
      </c>
      <c r="C3124" s="15" t="n">
        <f aca="false">IF(B3124=0,"",AVERAGEIF(Cleaned!$C$2:$C$125,5,Cleaned!ES$2:ES$125))</f>
        <v>100</v>
      </c>
    </row>
    <row r="3125" customFormat="false" ht="15" hidden="false" customHeight="false" outlineLevel="0" collapsed="false">
      <c r="A3125" s="11" t="s">
        <v>3</v>
      </c>
      <c r="B3125" s="9" t="s">
        <v>739</v>
      </c>
      <c r="C3125" s="9" t="s">
        <v>735</v>
      </c>
    </row>
    <row r="3126" customFormat="false" ht="15" hidden="false" customHeight="false" outlineLevel="0" collapsed="false">
      <c r="A3126" s="12" t="s">
        <v>704</v>
      </c>
      <c r="B3126" s="12" t="n">
        <f aca="false">COUNTIFS(Cleaned!$D$2:$D$125,1,Cleaned!ES$2:ES$125,"&lt;&gt;")</f>
        <v>0</v>
      </c>
      <c r="C3126" s="15" t="str">
        <f aca="false">IF(B3126=0,"",AVERAGEIF(Cleaned!$D$2:$D$125,1,Cleaned!ES$2:ES$125))</f>
        <v/>
      </c>
    </row>
    <row r="3127" customFormat="false" ht="15" hidden="false" customHeight="false" outlineLevel="0" collapsed="false">
      <c r="A3127" s="12" t="s">
        <v>705</v>
      </c>
      <c r="B3127" s="12" t="n">
        <f aca="false">COUNTIFS(Cleaned!$D$2:$D$125,2,Cleaned!ES$2:ES$125,"&lt;&gt;")</f>
        <v>2</v>
      </c>
      <c r="C3127" s="15" t="n">
        <f aca="false">IF(B3127=0,"",AVERAGEIF(Cleaned!$D$2:$D$125,2,Cleaned!ES$2:ES$125))</f>
        <v>0</v>
      </c>
    </row>
    <row r="3128" customFormat="false" ht="15" hidden="false" customHeight="false" outlineLevel="0" collapsed="false">
      <c r="A3128" s="12" t="s">
        <v>706</v>
      </c>
      <c r="B3128" s="12" t="n">
        <f aca="false">COUNTIFS(Cleaned!$D$2:$D$125,3,Cleaned!ES$2:ES$125,"&lt;&gt;")</f>
        <v>3</v>
      </c>
      <c r="C3128" s="15" t="n">
        <f aca="false">IF(B3128=0,"",AVERAGEIF(Cleaned!$D$2:$D$125,3,Cleaned!ES$2:ES$125))</f>
        <v>137.333333333333</v>
      </c>
    </row>
    <row r="3129" customFormat="false" ht="15" hidden="false" customHeight="false" outlineLevel="0" collapsed="false">
      <c r="A3129" s="12" t="s">
        <v>707</v>
      </c>
      <c r="B3129" s="12" t="n">
        <f aca="false">COUNTIFS(Cleaned!$D$2:$D$125,4,Cleaned!ES$2:ES$125,"&lt;&gt;")</f>
        <v>0</v>
      </c>
      <c r="C3129" s="15" t="str">
        <f aca="false">IF(B3129=0,"",AVERAGEIF(Cleaned!$D$2:$D$125,4,Cleaned!ES$2:ES$125))</f>
        <v/>
      </c>
    </row>
    <row r="3130" customFormat="false" ht="15" hidden="false" customHeight="false" outlineLevel="0" collapsed="false">
      <c r="A3130" s="12" t="s">
        <v>708</v>
      </c>
      <c r="B3130" s="12" t="n">
        <f aca="false">COUNTIFS(Cleaned!$D$2:$D$125,5,Cleaned!ES$2:ES$125,"&lt;&gt;")</f>
        <v>0</v>
      </c>
      <c r="C3130" s="15" t="str">
        <f aca="false">IF(B3130=0,"",AVERAGEIF(Cleaned!$D$2:$D$125,5,Cleaned!ES$2:ES$125))</f>
        <v/>
      </c>
    </row>
    <row r="3131" customFormat="false" ht="15" hidden="false" customHeight="false" outlineLevel="0" collapsed="false">
      <c r="A3131" s="12" t="s">
        <v>709</v>
      </c>
      <c r="B3131" s="12" t="n">
        <f aca="false">COUNTIFS(Cleaned!$D$2:$D$125,6,Cleaned!ES$2:ES$125,"&lt;&gt;")</f>
        <v>0</v>
      </c>
      <c r="C3131" s="15" t="str">
        <f aca="false">IF(B3131=0,"",AVERAGEIF(Cleaned!$D$2:$D$125,6,Cleaned!ES$2:ES$125))</f>
        <v/>
      </c>
    </row>
    <row r="3132" customFormat="false" ht="15" hidden="false" customHeight="false" outlineLevel="0" collapsed="false">
      <c r="A3132" s="12" t="s">
        <v>710</v>
      </c>
      <c r="B3132" s="12" t="n">
        <f aca="false">COUNTIFS(Cleaned!$D$2:$D$125,7,Cleaned!ES$2:ES$125,"&lt;&gt;")</f>
        <v>1</v>
      </c>
      <c r="C3132" s="15" t="n">
        <f aca="false">IF(B3132=0,"",AVERAGEIF(Cleaned!$D$2:$D$125,7,Cleaned!ES$2:ES$125))</f>
        <v>0</v>
      </c>
    </row>
    <row r="3133" customFormat="false" ht="15" hidden="false" customHeight="false" outlineLevel="0" collapsed="false">
      <c r="A3133" s="12" t="s">
        <v>711</v>
      </c>
      <c r="B3133" s="12" t="n">
        <f aca="false">COUNTIFS(Cleaned!$D$2:$D$125,8,Cleaned!ES$2:ES$125,"&lt;&gt;")</f>
        <v>0</v>
      </c>
      <c r="C3133" s="15" t="str">
        <f aca="false">IF(B3133=0,"",AVERAGEIF(Cleaned!$D$2:$D$125,8,Cleaned!ES$2:ES$125))</f>
        <v/>
      </c>
    </row>
    <row r="3134" customFormat="false" ht="15" hidden="false" customHeight="false" outlineLevel="0" collapsed="false">
      <c r="A3134" s="12" t="s">
        <v>712</v>
      </c>
      <c r="B3134" s="12" t="n">
        <f aca="false">COUNTIFS(Cleaned!$D$2:$D$125,9,Cleaned!ES$2:ES$125,"&lt;&gt;")</f>
        <v>0</v>
      </c>
      <c r="C3134" s="15" t="str">
        <f aca="false">IF(B3134=0,"",AVERAGEIF(Cleaned!$D$2:$D$125,9,Cleaned!ES$2:ES$125))</f>
        <v/>
      </c>
    </row>
    <row r="3135" customFormat="false" ht="15" hidden="false" customHeight="false" outlineLevel="0" collapsed="false">
      <c r="A3135" s="12" t="s">
        <v>713</v>
      </c>
      <c r="B3135" s="12" t="n">
        <f aca="false">COUNTIFS(Cleaned!$D$2:$D$125,10,Cleaned!ES$2:ES$125,"&lt;&gt;")</f>
        <v>0</v>
      </c>
      <c r="C3135" s="15" t="str">
        <f aca="false">IF(B3135=0,"",AVERAGEIF(Cleaned!$D$2:$D$125,10,Cleaned!ES$2:ES$125))</f>
        <v/>
      </c>
    </row>
    <row r="3136" customFormat="false" ht="15" hidden="false" customHeight="false" outlineLevel="0" collapsed="false">
      <c r="A3136" s="12" t="s">
        <v>714</v>
      </c>
      <c r="B3136" s="12" t="n">
        <f aca="false">COUNTIFS(Cleaned!$D$2:$D$125,11,Cleaned!ES$2:ES$125,"&lt;&gt;")</f>
        <v>0</v>
      </c>
      <c r="C3136" s="15" t="str">
        <f aca="false">IF(B3136=0,"",AVERAGEIF(Cleaned!$D$2:$D$125,11,Cleaned!ES$2:ES$125))</f>
        <v/>
      </c>
    </row>
    <row r="3137" customFormat="false" ht="15" hidden="false" customHeight="false" outlineLevel="0" collapsed="false">
      <c r="A3137" s="12" t="s">
        <v>715</v>
      </c>
      <c r="B3137" s="12" t="n">
        <f aca="false">COUNTIFS(Cleaned!$D$2:$D$125,12,Cleaned!ES$2:ES$125,"&lt;&gt;")</f>
        <v>0</v>
      </c>
      <c r="C3137" s="15" t="str">
        <f aca="false">IF(B3137=0,"",AVERAGEIF(Cleaned!$D$2:$D$125,12,Cleaned!ES$2:ES$125))</f>
        <v/>
      </c>
    </row>
    <row r="3140" customFormat="false" ht="15" hidden="false" customHeight="false" outlineLevel="0" collapsed="false">
      <c r="A3140" s="6" t="s">
        <v>151</v>
      </c>
      <c r="B3140" s="7" t="s">
        <v>894</v>
      </c>
    </row>
    <row r="3141" customFormat="false" ht="15" hidden="false" customHeight="false" outlineLevel="0" collapsed="false">
      <c r="A3141" s="8"/>
      <c r="B3141" s="9" t="s">
        <v>726</v>
      </c>
      <c r="C3141" s="8"/>
      <c r="D3141" s="9" t="s">
        <v>362</v>
      </c>
      <c r="E3141" s="8"/>
      <c r="F3141" s="9" t="s">
        <v>694</v>
      </c>
    </row>
    <row r="3142" customFormat="false" ht="15" hidden="false" customHeight="false" outlineLevel="0" collapsed="false">
      <c r="B3142" s="10" t="s">
        <v>695</v>
      </c>
      <c r="C3142" s="10" t="s">
        <v>696</v>
      </c>
      <c r="D3142" s="10" t="s">
        <v>695</v>
      </c>
      <c r="E3142" s="10" t="s">
        <v>696</v>
      </c>
    </row>
    <row r="3143" customFormat="false" ht="15" hidden="false" customHeight="false" outlineLevel="0" collapsed="false">
      <c r="A3143" s="11" t="s">
        <v>697</v>
      </c>
    </row>
    <row r="3144" customFormat="false" ht="15" hidden="false" customHeight="false" outlineLevel="0" collapsed="false">
      <c r="A3144" s="12" t="s">
        <v>698</v>
      </c>
      <c r="B3144" s="12" t="n">
        <f aca="false">COUNTIFS(Cleaned!$C$2:$C$125,1,Cleaned!EV$2:EV$125,1)</f>
        <v>3</v>
      </c>
      <c r="C3144" s="13" t="n">
        <f aca="false">IFERROR(B3144/$F3144,"")</f>
        <v>0.6</v>
      </c>
      <c r="D3144" s="12" t="n">
        <f aca="false">COUNTIFS(Cleaned!$C$2:$C$125,1,Cleaned!EV$2:EV$125,2)</f>
        <v>2</v>
      </c>
      <c r="E3144" s="13" t="n">
        <f aca="false">IFERROR(D3144/$F3144,"")</f>
        <v>0.4</v>
      </c>
      <c r="F3144" s="12" t="n">
        <f aca="false">B3144+D3144</f>
        <v>5</v>
      </c>
    </row>
    <row r="3145" customFormat="false" ht="15" hidden="false" customHeight="false" outlineLevel="0" collapsed="false">
      <c r="A3145" s="12" t="s">
        <v>699</v>
      </c>
      <c r="B3145" s="12" t="n">
        <f aca="false">COUNTIFS(Cleaned!$C$2:$C$125,2,Cleaned!EV$2:EV$125,1)</f>
        <v>4</v>
      </c>
      <c r="C3145" s="13" t="n">
        <f aca="false">IFERROR(B3145/$F3145,"")</f>
        <v>0.8</v>
      </c>
      <c r="D3145" s="12" t="n">
        <f aca="false">COUNTIFS(Cleaned!$C$2:$C$125,2,Cleaned!EV$2:EV$125,2)</f>
        <v>1</v>
      </c>
      <c r="E3145" s="13" t="n">
        <f aca="false">IFERROR(D3145/$F3145,"")</f>
        <v>0.2</v>
      </c>
      <c r="F3145" s="12" t="n">
        <f aca="false">B3145+D3145</f>
        <v>5</v>
      </c>
    </row>
    <row r="3146" customFormat="false" ht="15" hidden="false" customHeight="false" outlineLevel="0" collapsed="false">
      <c r="A3146" s="12" t="s">
        <v>700</v>
      </c>
      <c r="B3146" s="12" t="n">
        <f aca="false">COUNTIFS(Cleaned!$C$2:$C$125,3,Cleaned!EV$2:EV$125,1)</f>
        <v>6</v>
      </c>
      <c r="C3146" s="13" t="n">
        <f aca="false">IFERROR(B3146/$F3146,"")</f>
        <v>0.666666666666667</v>
      </c>
      <c r="D3146" s="12" t="n">
        <f aca="false">COUNTIFS(Cleaned!$C$2:$C$125,3,Cleaned!EV$2:EV$125,2)</f>
        <v>3</v>
      </c>
      <c r="E3146" s="13" t="n">
        <f aca="false">IFERROR(D3146/$F3146,"")</f>
        <v>0.333333333333333</v>
      </c>
      <c r="F3146" s="12" t="n">
        <f aca="false">B3146+D3146</f>
        <v>9</v>
      </c>
    </row>
    <row r="3147" customFormat="false" ht="15" hidden="false" customHeight="false" outlineLevel="0" collapsed="false">
      <c r="A3147" s="12" t="s">
        <v>701</v>
      </c>
      <c r="B3147" s="12" t="n">
        <f aca="false">COUNTIFS(Cleaned!$C$2:$C$125,4,Cleaned!EV$2:EV$125,1)</f>
        <v>5</v>
      </c>
      <c r="C3147" s="13" t="n">
        <f aca="false">IFERROR(B3147/$F3147,"")</f>
        <v>0.625</v>
      </c>
      <c r="D3147" s="12" t="n">
        <f aca="false">COUNTIFS(Cleaned!$C$2:$C$125,4,Cleaned!EV$2:EV$125,2)</f>
        <v>3</v>
      </c>
      <c r="E3147" s="13" t="n">
        <f aca="false">IFERROR(D3147/$F3147,"")</f>
        <v>0.375</v>
      </c>
      <c r="F3147" s="12" t="n">
        <f aca="false">B3147+D3147</f>
        <v>8</v>
      </c>
    </row>
    <row r="3148" customFormat="false" ht="15" hidden="false" customHeight="false" outlineLevel="0" collapsed="false">
      <c r="A3148" s="12" t="s">
        <v>702</v>
      </c>
      <c r="B3148" s="12" t="n">
        <f aca="false">COUNTIFS(Cleaned!$C$2:$C$125,5,Cleaned!EV$2:EV$125,1)</f>
        <v>15</v>
      </c>
      <c r="C3148" s="13" t="n">
        <f aca="false">IFERROR(B3148/$F3148,"")</f>
        <v>0.882352941176471</v>
      </c>
      <c r="D3148" s="12" t="n">
        <f aca="false">COUNTIFS(Cleaned!$C$2:$C$125,5,Cleaned!EV$2:EV$125,2)</f>
        <v>2</v>
      </c>
      <c r="E3148" s="13" t="n">
        <f aca="false">IFERROR(D3148/$F3148,"")</f>
        <v>0.117647058823529</v>
      </c>
      <c r="F3148" s="12" t="n">
        <f aca="false">B3148+D3148</f>
        <v>17</v>
      </c>
    </row>
    <row r="3149" customFormat="false" ht="15" hidden="false" customHeight="false" outlineLevel="0" collapsed="false">
      <c r="A3149" s="11" t="s">
        <v>703</v>
      </c>
      <c r="B3149" s="11" t="n">
        <f aca="false">SUM(B3144:B3148)</f>
        <v>33</v>
      </c>
      <c r="C3149" s="14" t="n">
        <f aca="false">IFERROR(B3149/$F3149,"")</f>
        <v>0.75</v>
      </c>
      <c r="D3149" s="11" t="n">
        <f aca="false">SUM(D3144:D3148)</f>
        <v>11</v>
      </c>
      <c r="E3149" s="14" t="n">
        <f aca="false">IFERROR(D3149/$F3149,"")</f>
        <v>0.25</v>
      </c>
      <c r="F3149" s="11" t="n">
        <f aca="false">SUM(F3144:F3148)</f>
        <v>44</v>
      </c>
    </row>
    <row r="3150" customFormat="false" ht="15" hidden="false" customHeight="false" outlineLevel="0" collapsed="false">
      <c r="A3150" s="11" t="s">
        <v>3</v>
      </c>
    </row>
    <row r="3151" customFormat="false" ht="15" hidden="false" customHeight="false" outlineLevel="0" collapsed="false">
      <c r="A3151" s="12" t="s">
        <v>704</v>
      </c>
      <c r="B3151" s="12" t="n">
        <f aca="false">COUNTIFS(Cleaned!$D$2:$D$125,1,Cleaned!EV$2:EV$125,1)</f>
        <v>4</v>
      </c>
      <c r="C3151" s="13" t="n">
        <f aca="false">IFERROR(B3151/$F3151,"")</f>
        <v>0.666666666666667</v>
      </c>
      <c r="D3151" s="12" t="n">
        <f aca="false">COUNTIFS(Cleaned!$D$2:$D$125,1,Cleaned!EV$2:EV$125,2)</f>
        <v>2</v>
      </c>
      <c r="E3151" s="13" t="n">
        <f aca="false">IFERROR(D3151/$F3151,"")</f>
        <v>0.333333333333333</v>
      </c>
      <c r="F3151" s="12" t="n">
        <f aca="false">B3151+D3151</f>
        <v>6</v>
      </c>
    </row>
    <row r="3152" customFormat="false" ht="15" hidden="false" customHeight="false" outlineLevel="0" collapsed="false">
      <c r="A3152" s="12" t="s">
        <v>705</v>
      </c>
      <c r="B3152" s="12" t="n">
        <f aca="false">COUNTIFS(Cleaned!$D$2:$D$125,2,Cleaned!EV$2:EV$125,1)</f>
        <v>7</v>
      </c>
      <c r="C3152" s="13" t="n">
        <f aca="false">IFERROR(B3152/$F3152,"")</f>
        <v>0.777777777777778</v>
      </c>
      <c r="D3152" s="12" t="n">
        <f aca="false">COUNTIFS(Cleaned!$D$2:$D$125,2,Cleaned!EV$2:EV$125,2)</f>
        <v>2</v>
      </c>
      <c r="E3152" s="13" t="n">
        <f aca="false">IFERROR(D3152/$F3152,"")</f>
        <v>0.222222222222222</v>
      </c>
      <c r="F3152" s="12" t="n">
        <f aca="false">B3152+D3152</f>
        <v>9</v>
      </c>
    </row>
    <row r="3153" customFormat="false" ht="15" hidden="false" customHeight="false" outlineLevel="0" collapsed="false">
      <c r="A3153" s="12" t="s">
        <v>706</v>
      </c>
      <c r="B3153" s="12" t="n">
        <f aca="false">COUNTIFS(Cleaned!$D$2:$D$125,3,Cleaned!EV$2:EV$125,1)</f>
        <v>5</v>
      </c>
      <c r="C3153" s="13" t="n">
        <f aca="false">IFERROR(B3153/$F3153,"")</f>
        <v>0.833333333333333</v>
      </c>
      <c r="D3153" s="12" t="n">
        <f aca="false">COUNTIFS(Cleaned!$D$2:$D$125,3,Cleaned!EV$2:EV$125,2)</f>
        <v>1</v>
      </c>
      <c r="E3153" s="13" t="n">
        <f aca="false">IFERROR(D3153/$F3153,"")</f>
        <v>0.166666666666667</v>
      </c>
      <c r="F3153" s="12" t="n">
        <f aca="false">B3153+D3153</f>
        <v>6</v>
      </c>
    </row>
    <row r="3154" customFormat="false" ht="15" hidden="false" customHeight="false" outlineLevel="0" collapsed="false">
      <c r="A3154" s="12" t="s">
        <v>707</v>
      </c>
      <c r="B3154" s="12" t="n">
        <f aca="false">COUNTIFS(Cleaned!$D$2:$D$125,4,Cleaned!EV$2:EV$125,1)</f>
        <v>4</v>
      </c>
      <c r="C3154" s="13" t="n">
        <f aca="false">IFERROR(B3154/$F3154,"")</f>
        <v>1</v>
      </c>
      <c r="D3154" s="12" t="n">
        <f aca="false">COUNTIFS(Cleaned!$D$2:$D$125,4,Cleaned!EV$2:EV$125,2)</f>
        <v>0</v>
      </c>
      <c r="E3154" s="13" t="n">
        <f aca="false">IFERROR(D3154/$F3154,"")</f>
        <v>0</v>
      </c>
      <c r="F3154" s="12" t="n">
        <f aca="false">B3154+D3154</f>
        <v>4</v>
      </c>
    </row>
    <row r="3155" customFormat="false" ht="15" hidden="false" customHeight="false" outlineLevel="0" collapsed="false">
      <c r="A3155" s="12" t="s">
        <v>708</v>
      </c>
      <c r="B3155" s="12" t="n">
        <f aca="false">COUNTIFS(Cleaned!$D$2:$D$125,5,Cleaned!EV$2:EV$125,1)</f>
        <v>1</v>
      </c>
      <c r="C3155" s="13" t="n">
        <f aca="false">IFERROR(B3155/$F3155,"")</f>
        <v>1</v>
      </c>
      <c r="D3155" s="12" t="n">
        <f aca="false">COUNTIFS(Cleaned!$D$2:$D$125,5,Cleaned!EV$2:EV$125,2)</f>
        <v>0</v>
      </c>
      <c r="E3155" s="13" t="n">
        <f aca="false">IFERROR(D3155/$F3155,"")</f>
        <v>0</v>
      </c>
      <c r="F3155" s="12" t="n">
        <f aca="false">B3155+D3155</f>
        <v>1</v>
      </c>
    </row>
    <row r="3156" customFormat="false" ht="15" hidden="false" customHeight="false" outlineLevel="0" collapsed="false">
      <c r="A3156" s="12" t="s">
        <v>709</v>
      </c>
      <c r="B3156" s="12" t="n">
        <f aca="false">COUNTIFS(Cleaned!$D$2:$D$125,6,Cleaned!EV$2:EV$125,1)</f>
        <v>1</v>
      </c>
      <c r="C3156" s="13" t="n">
        <f aca="false">IFERROR(B3156/$F3156,"")</f>
        <v>0.5</v>
      </c>
      <c r="D3156" s="12" t="n">
        <f aca="false">COUNTIFS(Cleaned!$D$2:$D$125,6,Cleaned!EV$2:EV$125,2)</f>
        <v>1</v>
      </c>
      <c r="E3156" s="13" t="n">
        <f aca="false">IFERROR(D3156/$F3156,"")</f>
        <v>0.5</v>
      </c>
      <c r="F3156" s="12" t="n">
        <f aca="false">B3156+D3156</f>
        <v>2</v>
      </c>
    </row>
    <row r="3157" customFormat="false" ht="15" hidden="false" customHeight="false" outlineLevel="0" collapsed="false">
      <c r="A3157" s="12" t="s">
        <v>710</v>
      </c>
      <c r="B3157" s="12" t="n">
        <f aca="false">COUNTIFS(Cleaned!$D$2:$D$125,7,Cleaned!EV$2:EV$125,1)</f>
        <v>5</v>
      </c>
      <c r="C3157" s="13" t="n">
        <f aca="false">IFERROR(B3157/$F3157,"")</f>
        <v>0.833333333333333</v>
      </c>
      <c r="D3157" s="12" t="n">
        <f aca="false">COUNTIFS(Cleaned!$D$2:$D$125,7,Cleaned!EV$2:EV$125,2)</f>
        <v>1</v>
      </c>
      <c r="E3157" s="13" t="n">
        <f aca="false">IFERROR(D3157/$F3157,"")</f>
        <v>0.166666666666667</v>
      </c>
      <c r="F3157" s="12" t="n">
        <f aca="false">B3157+D3157</f>
        <v>6</v>
      </c>
    </row>
    <row r="3158" customFormat="false" ht="15" hidden="false" customHeight="false" outlineLevel="0" collapsed="false">
      <c r="A3158" s="12" t="s">
        <v>711</v>
      </c>
      <c r="B3158" s="12" t="n">
        <f aca="false">COUNTIFS(Cleaned!$D$2:$D$125,8,Cleaned!EV$2:EV$125,1)</f>
        <v>1</v>
      </c>
      <c r="C3158" s="13" t="n">
        <f aca="false">IFERROR(B3158/$F3158,"")</f>
        <v>0.5</v>
      </c>
      <c r="D3158" s="12" t="n">
        <f aca="false">COUNTIFS(Cleaned!$D$2:$D$125,8,Cleaned!EV$2:EV$125,2)</f>
        <v>1</v>
      </c>
      <c r="E3158" s="13" t="n">
        <f aca="false">IFERROR(D3158/$F3158,"")</f>
        <v>0.5</v>
      </c>
      <c r="F3158" s="12" t="n">
        <f aca="false">B3158+D3158</f>
        <v>2</v>
      </c>
    </row>
    <row r="3159" customFormat="false" ht="15" hidden="false" customHeight="false" outlineLevel="0" collapsed="false">
      <c r="A3159" s="12" t="s">
        <v>712</v>
      </c>
      <c r="B3159" s="12" t="n">
        <f aca="false">COUNTIFS(Cleaned!$D$2:$D$125,9,Cleaned!EV$2:EV$125,1)</f>
        <v>2</v>
      </c>
      <c r="C3159" s="13" t="n">
        <f aca="false">IFERROR(B3159/$F3159,"")</f>
        <v>1</v>
      </c>
      <c r="D3159" s="12" t="n">
        <f aca="false">COUNTIFS(Cleaned!$D$2:$D$125,9,Cleaned!EV$2:EV$125,2)</f>
        <v>0</v>
      </c>
      <c r="E3159" s="13" t="n">
        <f aca="false">IFERROR(D3159/$F3159,"")</f>
        <v>0</v>
      </c>
      <c r="F3159" s="12" t="n">
        <f aca="false">B3159+D3159</f>
        <v>2</v>
      </c>
    </row>
    <row r="3160" customFormat="false" ht="15" hidden="false" customHeight="false" outlineLevel="0" collapsed="false">
      <c r="A3160" s="12" t="s">
        <v>713</v>
      </c>
      <c r="B3160" s="12" t="n">
        <f aca="false">COUNTIFS(Cleaned!$D$2:$D$125,10,Cleaned!EV$2:EV$125,1)</f>
        <v>0</v>
      </c>
      <c r="C3160" s="13" t="str">
        <f aca="false">IFERROR(B3160/$F3160,"")</f>
        <v/>
      </c>
      <c r="D3160" s="12" t="n">
        <f aca="false">COUNTIFS(Cleaned!$D$2:$D$125,10,Cleaned!EV$2:EV$125,2)</f>
        <v>0</v>
      </c>
      <c r="E3160" s="13" t="str">
        <f aca="false">IFERROR(D3160/$F3160,"")</f>
        <v/>
      </c>
      <c r="F3160" s="12" t="n">
        <f aca="false">B3160+D3160</f>
        <v>0</v>
      </c>
    </row>
    <row r="3161" customFormat="false" ht="15" hidden="false" customHeight="false" outlineLevel="0" collapsed="false">
      <c r="A3161" s="12" t="s">
        <v>714</v>
      </c>
      <c r="B3161" s="12" t="n">
        <f aca="false">COUNTIFS(Cleaned!$D$2:$D$125,11,Cleaned!EV$2:EV$125,1)</f>
        <v>3</v>
      </c>
      <c r="C3161" s="13" t="n">
        <f aca="false">IFERROR(B3161/$F3161,"")</f>
        <v>0.75</v>
      </c>
      <c r="D3161" s="12" t="n">
        <f aca="false">COUNTIFS(Cleaned!$D$2:$D$125,11,Cleaned!EV$2:EV$125,2)</f>
        <v>1</v>
      </c>
      <c r="E3161" s="13" t="n">
        <f aca="false">IFERROR(D3161/$F3161,"")</f>
        <v>0.25</v>
      </c>
      <c r="F3161" s="12" t="n">
        <f aca="false">B3161+D3161</f>
        <v>4</v>
      </c>
    </row>
    <row r="3162" customFormat="false" ht="15" hidden="false" customHeight="false" outlineLevel="0" collapsed="false">
      <c r="A3162" s="12" t="s">
        <v>715</v>
      </c>
      <c r="B3162" s="12" t="n">
        <f aca="false">COUNTIFS(Cleaned!$D$2:$D$125,12,Cleaned!EV$2:EV$125,1)</f>
        <v>0</v>
      </c>
      <c r="C3162" s="13" t="n">
        <f aca="false">IFERROR(B3162/$F3162,"")</f>
        <v>0</v>
      </c>
      <c r="D3162" s="12" t="n">
        <f aca="false">COUNTIFS(Cleaned!$D$2:$D$125,12,Cleaned!EV$2:EV$125,2)</f>
        <v>2</v>
      </c>
      <c r="E3162" s="13" t="n">
        <f aca="false">IFERROR(D3162/$F3162,"")</f>
        <v>1</v>
      </c>
      <c r="F3162" s="12" t="n">
        <f aca="false">B3162+D3162</f>
        <v>2</v>
      </c>
    </row>
    <row r="3163" customFormat="false" ht="15" hidden="false" customHeight="false" outlineLevel="0" collapsed="false">
      <c r="A3163" s="11" t="s">
        <v>716</v>
      </c>
      <c r="B3163" s="11" t="n">
        <f aca="false">SUM(B3151:B3162)</f>
        <v>33</v>
      </c>
      <c r="C3163" s="14" t="n">
        <f aca="false">IFERROR(B3163/$F3163,"")</f>
        <v>0.75</v>
      </c>
      <c r="D3163" s="11" t="n">
        <f aca="false">SUM(D3151:D3162)</f>
        <v>11</v>
      </c>
      <c r="E3163" s="14" t="n">
        <f aca="false">IFERROR(D3163/$F3163,"")</f>
        <v>0.25</v>
      </c>
      <c r="F3163" s="11" t="n">
        <f aca="false">SUM(F3151:F3162)</f>
        <v>44</v>
      </c>
    </row>
    <row r="3166" customFormat="false" ht="15" hidden="false" customHeight="false" outlineLevel="0" collapsed="false">
      <c r="A3166" s="6" t="s">
        <v>152</v>
      </c>
      <c r="B3166" s="7" t="s">
        <v>895</v>
      </c>
    </row>
    <row r="3167" customFormat="false" ht="15" hidden="false" customHeight="false" outlineLevel="0" collapsed="false">
      <c r="A3167" s="8"/>
      <c r="B3167" s="9" t="s">
        <v>726</v>
      </c>
      <c r="C3167" s="8"/>
      <c r="D3167" s="9" t="s">
        <v>362</v>
      </c>
      <c r="E3167" s="8"/>
      <c r="F3167" s="9" t="s">
        <v>694</v>
      </c>
    </row>
    <row r="3168" customFormat="false" ht="15" hidden="false" customHeight="false" outlineLevel="0" collapsed="false">
      <c r="B3168" s="10" t="s">
        <v>695</v>
      </c>
      <c r="C3168" s="10" t="s">
        <v>696</v>
      </c>
      <c r="D3168" s="10" t="s">
        <v>695</v>
      </c>
      <c r="E3168" s="10" t="s">
        <v>696</v>
      </c>
    </row>
    <row r="3169" customFormat="false" ht="15" hidden="false" customHeight="false" outlineLevel="0" collapsed="false">
      <c r="A3169" s="11" t="s">
        <v>697</v>
      </c>
    </row>
    <row r="3170" customFormat="false" ht="15" hidden="false" customHeight="false" outlineLevel="0" collapsed="false">
      <c r="A3170" s="12" t="s">
        <v>698</v>
      </c>
      <c r="B3170" s="12" t="n">
        <f aca="false">COUNTIFS(Cleaned!$C$2:$C$125,1,Cleaned!EW$2:EW$125,1)</f>
        <v>4</v>
      </c>
      <c r="C3170" s="13" t="n">
        <f aca="false">IFERROR(B3170/$F3170,"")</f>
        <v>0.8</v>
      </c>
      <c r="D3170" s="12" t="n">
        <f aca="false">COUNTIFS(Cleaned!$C$2:$C$125,1,Cleaned!EW$2:EW$125,2)</f>
        <v>1</v>
      </c>
      <c r="E3170" s="13" t="n">
        <f aca="false">IFERROR(D3170/$F3170,"")</f>
        <v>0.2</v>
      </c>
      <c r="F3170" s="12" t="n">
        <f aca="false">B3170+D3170</f>
        <v>5</v>
      </c>
    </row>
    <row r="3171" customFormat="false" ht="15" hidden="false" customHeight="false" outlineLevel="0" collapsed="false">
      <c r="A3171" s="12" t="s">
        <v>699</v>
      </c>
      <c r="B3171" s="12" t="n">
        <f aca="false">COUNTIFS(Cleaned!$C$2:$C$125,2,Cleaned!EW$2:EW$125,1)</f>
        <v>5</v>
      </c>
      <c r="C3171" s="13" t="n">
        <f aca="false">IFERROR(B3171/$F3171,"")</f>
        <v>0.833333333333333</v>
      </c>
      <c r="D3171" s="12" t="n">
        <f aca="false">COUNTIFS(Cleaned!$C$2:$C$125,2,Cleaned!EW$2:EW$125,2)</f>
        <v>1</v>
      </c>
      <c r="E3171" s="13" t="n">
        <f aca="false">IFERROR(D3171/$F3171,"")</f>
        <v>0.166666666666667</v>
      </c>
      <c r="F3171" s="12" t="n">
        <f aca="false">B3171+D3171</f>
        <v>6</v>
      </c>
    </row>
    <row r="3172" customFormat="false" ht="15" hidden="false" customHeight="false" outlineLevel="0" collapsed="false">
      <c r="A3172" s="12" t="s">
        <v>700</v>
      </c>
      <c r="B3172" s="12" t="n">
        <f aca="false">COUNTIFS(Cleaned!$C$2:$C$125,3,Cleaned!EW$2:EW$125,1)</f>
        <v>7</v>
      </c>
      <c r="C3172" s="13" t="n">
        <f aca="false">IFERROR(B3172/$F3172,"")</f>
        <v>0.875</v>
      </c>
      <c r="D3172" s="12" t="n">
        <f aca="false">COUNTIFS(Cleaned!$C$2:$C$125,3,Cleaned!EW$2:EW$125,2)</f>
        <v>1</v>
      </c>
      <c r="E3172" s="13" t="n">
        <f aca="false">IFERROR(D3172/$F3172,"")</f>
        <v>0.125</v>
      </c>
      <c r="F3172" s="12" t="n">
        <f aca="false">B3172+D3172</f>
        <v>8</v>
      </c>
    </row>
    <row r="3173" customFormat="false" ht="15" hidden="false" customHeight="false" outlineLevel="0" collapsed="false">
      <c r="A3173" s="12" t="s">
        <v>701</v>
      </c>
      <c r="B3173" s="12" t="n">
        <f aca="false">COUNTIFS(Cleaned!$C$2:$C$125,4,Cleaned!EW$2:EW$125,1)</f>
        <v>6</v>
      </c>
      <c r="C3173" s="13" t="n">
        <f aca="false">IFERROR(B3173/$F3173,"")</f>
        <v>0.75</v>
      </c>
      <c r="D3173" s="12" t="n">
        <f aca="false">COUNTIFS(Cleaned!$C$2:$C$125,4,Cleaned!EW$2:EW$125,2)</f>
        <v>2</v>
      </c>
      <c r="E3173" s="13" t="n">
        <f aca="false">IFERROR(D3173/$F3173,"")</f>
        <v>0.25</v>
      </c>
      <c r="F3173" s="12" t="n">
        <f aca="false">B3173+D3173</f>
        <v>8</v>
      </c>
    </row>
    <row r="3174" customFormat="false" ht="15" hidden="false" customHeight="false" outlineLevel="0" collapsed="false">
      <c r="A3174" s="12" t="s">
        <v>702</v>
      </c>
      <c r="B3174" s="12" t="n">
        <f aca="false">COUNTIFS(Cleaned!$C$2:$C$125,5,Cleaned!EW$2:EW$125,1)</f>
        <v>16</v>
      </c>
      <c r="C3174" s="13" t="n">
        <f aca="false">IFERROR(B3174/$F3174,"")</f>
        <v>1</v>
      </c>
      <c r="D3174" s="12" t="n">
        <f aca="false">COUNTIFS(Cleaned!$C$2:$C$125,5,Cleaned!EW$2:EW$125,2)</f>
        <v>0</v>
      </c>
      <c r="E3174" s="13" t="n">
        <f aca="false">IFERROR(D3174/$F3174,"")</f>
        <v>0</v>
      </c>
      <c r="F3174" s="12" t="n">
        <f aca="false">B3174+D3174</f>
        <v>16</v>
      </c>
    </row>
    <row r="3175" customFormat="false" ht="15" hidden="false" customHeight="false" outlineLevel="0" collapsed="false">
      <c r="A3175" s="11" t="s">
        <v>703</v>
      </c>
      <c r="B3175" s="11" t="n">
        <f aca="false">SUM(B3170:B3174)</f>
        <v>38</v>
      </c>
      <c r="C3175" s="14" t="n">
        <f aca="false">IFERROR(B3175/$F3175,"")</f>
        <v>0.883720930232558</v>
      </c>
      <c r="D3175" s="11" t="n">
        <f aca="false">SUM(D3170:D3174)</f>
        <v>5</v>
      </c>
      <c r="E3175" s="14" t="n">
        <f aca="false">IFERROR(D3175/$F3175,"")</f>
        <v>0.116279069767442</v>
      </c>
      <c r="F3175" s="11" t="n">
        <f aca="false">SUM(F3170:F3174)</f>
        <v>43</v>
      </c>
    </row>
    <row r="3176" customFormat="false" ht="15" hidden="false" customHeight="false" outlineLevel="0" collapsed="false">
      <c r="A3176" s="11" t="s">
        <v>3</v>
      </c>
    </row>
    <row r="3177" customFormat="false" ht="15" hidden="false" customHeight="false" outlineLevel="0" collapsed="false">
      <c r="A3177" s="12" t="s">
        <v>704</v>
      </c>
      <c r="B3177" s="12" t="n">
        <f aca="false">COUNTIFS(Cleaned!$D$2:$D$125,1,Cleaned!EW$2:EW$125,1)</f>
        <v>4</v>
      </c>
      <c r="C3177" s="13" t="n">
        <f aca="false">IFERROR(B3177/$F3177,"")</f>
        <v>0.8</v>
      </c>
      <c r="D3177" s="12" t="n">
        <f aca="false">COUNTIFS(Cleaned!$D$2:$D$125,1,Cleaned!EW$2:EW$125,2)</f>
        <v>1</v>
      </c>
      <c r="E3177" s="13" t="n">
        <f aca="false">IFERROR(D3177/$F3177,"")</f>
        <v>0.2</v>
      </c>
      <c r="F3177" s="12" t="n">
        <f aca="false">B3177+D3177</f>
        <v>5</v>
      </c>
    </row>
    <row r="3178" customFormat="false" ht="15" hidden="false" customHeight="false" outlineLevel="0" collapsed="false">
      <c r="A3178" s="12" t="s">
        <v>705</v>
      </c>
      <c r="B3178" s="12" t="n">
        <f aca="false">COUNTIFS(Cleaned!$D$2:$D$125,2,Cleaned!EW$2:EW$125,1)</f>
        <v>10</v>
      </c>
      <c r="C3178" s="13" t="n">
        <f aca="false">IFERROR(B3178/$F3178,"")</f>
        <v>1</v>
      </c>
      <c r="D3178" s="12" t="n">
        <f aca="false">COUNTIFS(Cleaned!$D$2:$D$125,2,Cleaned!EW$2:EW$125,2)</f>
        <v>0</v>
      </c>
      <c r="E3178" s="13" t="n">
        <f aca="false">IFERROR(D3178/$F3178,"")</f>
        <v>0</v>
      </c>
      <c r="F3178" s="12" t="n">
        <f aca="false">B3178+D3178</f>
        <v>10</v>
      </c>
    </row>
    <row r="3179" customFormat="false" ht="15" hidden="false" customHeight="false" outlineLevel="0" collapsed="false">
      <c r="A3179" s="12" t="s">
        <v>706</v>
      </c>
      <c r="B3179" s="12" t="n">
        <f aca="false">COUNTIFS(Cleaned!$D$2:$D$125,3,Cleaned!EW$2:EW$125,1)</f>
        <v>6</v>
      </c>
      <c r="C3179" s="13" t="n">
        <f aca="false">IFERROR(B3179/$F3179,"")</f>
        <v>1</v>
      </c>
      <c r="D3179" s="12" t="n">
        <f aca="false">COUNTIFS(Cleaned!$D$2:$D$125,3,Cleaned!EW$2:EW$125,2)</f>
        <v>0</v>
      </c>
      <c r="E3179" s="13" t="n">
        <f aca="false">IFERROR(D3179/$F3179,"")</f>
        <v>0</v>
      </c>
      <c r="F3179" s="12" t="n">
        <f aca="false">B3179+D3179</f>
        <v>6</v>
      </c>
    </row>
    <row r="3180" customFormat="false" ht="15" hidden="false" customHeight="false" outlineLevel="0" collapsed="false">
      <c r="A3180" s="12" t="s">
        <v>707</v>
      </c>
      <c r="B3180" s="12" t="n">
        <f aca="false">COUNTIFS(Cleaned!$D$2:$D$125,4,Cleaned!EW$2:EW$125,1)</f>
        <v>4</v>
      </c>
      <c r="C3180" s="13" t="n">
        <f aca="false">IFERROR(B3180/$F3180,"")</f>
        <v>1</v>
      </c>
      <c r="D3180" s="12" t="n">
        <f aca="false">COUNTIFS(Cleaned!$D$2:$D$125,4,Cleaned!EW$2:EW$125,2)</f>
        <v>0</v>
      </c>
      <c r="E3180" s="13" t="n">
        <f aca="false">IFERROR(D3180/$F3180,"")</f>
        <v>0</v>
      </c>
      <c r="F3180" s="12" t="n">
        <f aca="false">B3180+D3180</f>
        <v>4</v>
      </c>
    </row>
    <row r="3181" customFormat="false" ht="15" hidden="false" customHeight="false" outlineLevel="0" collapsed="false">
      <c r="A3181" s="12" t="s">
        <v>708</v>
      </c>
      <c r="B3181" s="12" t="n">
        <f aca="false">COUNTIFS(Cleaned!$D$2:$D$125,5,Cleaned!EW$2:EW$125,1)</f>
        <v>1</v>
      </c>
      <c r="C3181" s="13" t="n">
        <f aca="false">IFERROR(B3181/$F3181,"")</f>
        <v>1</v>
      </c>
      <c r="D3181" s="12" t="n">
        <f aca="false">COUNTIFS(Cleaned!$D$2:$D$125,5,Cleaned!EW$2:EW$125,2)</f>
        <v>0</v>
      </c>
      <c r="E3181" s="13" t="n">
        <f aca="false">IFERROR(D3181/$F3181,"")</f>
        <v>0</v>
      </c>
      <c r="F3181" s="12" t="n">
        <f aca="false">B3181+D3181</f>
        <v>1</v>
      </c>
    </row>
    <row r="3182" customFormat="false" ht="15" hidden="false" customHeight="false" outlineLevel="0" collapsed="false">
      <c r="A3182" s="12" t="s">
        <v>709</v>
      </c>
      <c r="B3182" s="12" t="n">
        <f aca="false">COUNTIFS(Cleaned!$D$2:$D$125,6,Cleaned!EW$2:EW$125,1)</f>
        <v>1</v>
      </c>
      <c r="C3182" s="13" t="n">
        <f aca="false">IFERROR(B3182/$F3182,"")</f>
        <v>0.5</v>
      </c>
      <c r="D3182" s="12" t="n">
        <f aca="false">COUNTIFS(Cleaned!$D$2:$D$125,6,Cleaned!EW$2:EW$125,2)</f>
        <v>1</v>
      </c>
      <c r="E3182" s="13" t="n">
        <f aca="false">IFERROR(D3182/$F3182,"")</f>
        <v>0.5</v>
      </c>
      <c r="F3182" s="12" t="n">
        <f aca="false">B3182+D3182</f>
        <v>2</v>
      </c>
    </row>
    <row r="3183" customFormat="false" ht="15" hidden="false" customHeight="false" outlineLevel="0" collapsed="false">
      <c r="A3183" s="12" t="s">
        <v>710</v>
      </c>
      <c r="B3183" s="12" t="n">
        <f aca="false">COUNTIFS(Cleaned!$D$2:$D$125,7,Cleaned!EW$2:EW$125,1)</f>
        <v>6</v>
      </c>
      <c r="C3183" s="13" t="n">
        <f aca="false">IFERROR(B3183/$F3183,"")</f>
        <v>1</v>
      </c>
      <c r="D3183" s="12" t="n">
        <f aca="false">COUNTIFS(Cleaned!$D$2:$D$125,7,Cleaned!EW$2:EW$125,2)</f>
        <v>0</v>
      </c>
      <c r="E3183" s="13" t="n">
        <f aca="false">IFERROR(D3183/$F3183,"")</f>
        <v>0</v>
      </c>
      <c r="F3183" s="12" t="n">
        <f aca="false">B3183+D3183</f>
        <v>6</v>
      </c>
    </row>
    <row r="3184" customFormat="false" ht="15" hidden="false" customHeight="false" outlineLevel="0" collapsed="false">
      <c r="A3184" s="12" t="s">
        <v>711</v>
      </c>
      <c r="B3184" s="12" t="n">
        <f aca="false">COUNTIFS(Cleaned!$D$2:$D$125,8,Cleaned!EW$2:EW$125,1)</f>
        <v>1</v>
      </c>
      <c r="C3184" s="13" t="n">
        <f aca="false">IFERROR(B3184/$F3184,"")</f>
        <v>0.5</v>
      </c>
      <c r="D3184" s="12" t="n">
        <f aca="false">COUNTIFS(Cleaned!$D$2:$D$125,8,Cleaned!EW$2:EW$125,2)</f>
        <v>1</v>
      </c>
      <c r="E3184" s="13" t="n">
        <f aca="false">IFERROR(D3184/$F3184,"")</f>
        <v>0.5</v>
      </c>
      <c r="F3184" s="12" t="n">
        <f aca="false">B3184+D3184</f>
        <v>2</v>
      </c>
    </row>
    <row r="3185" customFormat="false" ht="15" hidden="false" customHeight="false" outlineLevel="0" collapsed="false">
      <c r="A3185" s="12" t="s">
        <v>712</v>
      </c>
      <c r="B3185" s="12" t="n">
        <f aca="false">COUNTIFS(Cleaned!$D$2:$D$125,9,Cleaned!EW$2:EW$125,1)</f>
        <v>1</v>
      </c>
      <c r="C3185" s="13" t="n">
        <f aca="false">IFERROR(B3185/$F3185,"")</f>
        <v>1</v>
      </c>
      <c r="D3185" s="12" t="n">
        <f aca="false">COUNTIFS(Cleaned!$D$2:$D$125,9,Cleaned!EW$2:EW$125,2)</f>
        <v>0</v>
      </c>
      <c r="E3185" s="13" t="n">
        <f aca="false">IFERROR(D3185/$F3185,"")</f>
        <v>0</v>
      </c>
      <c r="F3185" s="12" t="n">
        <f aca="false">B3185+D3185</f>
        <v>1</v>
      </c>
    </row>
    <row r="3186" customFormat="false" ht="15" hidden="false" customHeight="false" outlineLevel="0" collapsed="false">
      <c r="A3186" s="12" t="s">
        <v>713</v>
      </c>
      <c r="B3186" s="12" t="n">
        <f aca="false">COUNTIFS(Cleaned!$D$2:$D$125,10,Cleaned!EW$2:EW$125,1)</f>
        <v>0</v>
      </c>
      <c r="C3186" s="13" t="str">
        <f aca="false">IFERROR(B3186/$F3186,"")</f>
        <v/>
      </c>
      <c r="D3186" s="12" t="n">
        <f aca="false">COUNTIFS(Cleaned!$D$2:$D$125,10,Cleaned!EW$2:EW$125,2)</f>
        <v>0</v>
      </c>
      <c r="E3186" s="13" t="str">
        <f aca="false">IFERROR(D3186/$F3186,"")</f>
        <v/>
      </c>
      <c r="F3186" s="12" t="n">
        <f aca="false">B3186+D3186</f>
        <v>0</v>
      </c>
    </row>
    <row r="3187" customFormat="false" ht="15" hidden="false" customHeight="false" outlineLevel="0" collapsed="false">
      <c r="A3187" s="12" t="s">
        <v>714</v>
      </c>
      <c r="B3187" s="12" t="n">
        <f aca="false">COUNTIFS(Cleaned!$D$2:$D$125,11,Cleaned!EW$2:EW$125,1)</f>
        <v>4</v>
      </c>
      <c r="C3187" s="13" t="n">
        <f aca="false">IFERROR(B3187/$F3187,"")</f>
        <v>1</v>
      </c>
      <c r="D3187" s="12" t="n">
        <f aca="false">COUNTIFS(Cleaned!$D$2:$D$125,11,Cleaned!EW$2:EW$125,2)</f>
        <v>0</v>
      </c>
      <c r="E3187" s="13" t="n">
        <f aca="false">IFERROR(D3187/$F3187,"")</f>
        <v>0</v>
      </c>
      <c r="F3187" s="12" t="n">
        <f aca="false">B3187+D3187</f>
        <v>4</v>
      </c>
    </row>
    <row r="3188" customFormat="false" ht="15" hidden="false" customHeight="false" outlineLevel="0" collapsed="false">
      <c r="A3188" s="12" t="s">
        <v>715</v>
      </c>
      <c r="B3188" s="12" t="n">
        <f aca="false">COUNTIFS(Cleaned!$D$2:$D$125,12,Cleaned!EW$2:EW$125,1)</f>
        <v>0</v>
      </c>
      <c r="C3188" s="13" t="n">
        <f aca="false">IFERROR(B3188/$F3188,"")</f>
        <v>0</v>
      </c>
      <c r="D3188" s="12" t="n">
        <f aca="false">COUNTIFS(Cleaned!$D$2:$D$125,12,Cleaned!EW$2:EW$125,2)</f>
        <v>2</v>
      </c>
      <c r="E3188" s="13" t="n">
        <f aca="false">IFERROR(D3188/$F3188,"")</f>
        <v>1</v>
      </c>
      <c r="F3188" s="12" t="n">
        <f aca="false">B3188+D3188</f>
        <v>2</v>
      </c>
    </row>
    <row r="3189" customFormat="false" ht="15" hidden="false" customHeight="false" outlineLevel="0" collapsed="false">
      <c r="A3189" s="11" t="s">
        <v>716</v>
      </c>
      <c r="B3189" s="11" t="n">
        <f aca="false">SUM(B3177:B3188)</f>
        <v>38</v>
      </c>
      <c r="C3189" s="14" t="n">
        <f aca="false">IFERROR(B3189/$F3189,"")</f>
        <v>0.883720930232558</v>
      </c>
      <c r="D3189" s="11" t="n">
        <f aca="false">SUM(D3177:D3188)</f>
        <v>5</v>
      </c>
      <c r="E3189" s="14" t="n">
        <f aca="false">IFERROR(D3189/$F3189,"")</f>
        <v>0.116279069767442</v>
      </c>
      <c r="F3189" s="11" t="n">
        <f aca="false">SUM(F3177:F3188)</f>
        <v>43</v>
      </c>
    </row>
    <row r="3192" customFormat="false" ht="15" hidden="false" customHeight="false" outlineLevel="0" collapsed="false">
      <c r="A3192" s="6" t="s">
        <v>153</v>
      </c>
      <c r="B3192" s="7" t="s">
        <v>896</v>
      </c>
    </row>
    <row r="3193" customFormat="false" ht="15" hidden="false" customHeight="false" outlineLevel="0" collapsed="false">
      <c r="A3193" s="8"/>
      <c r="B3193" s="9" t="s">
        <v>897</v>
      </c>
      <c r="C3193" s="8"/>
      <c r="D3193" s="9" t="s">
        <v>898</v>
      </c>
      <c r="E3193" s="8"/>
      <c r="F3193" s="9" t="s">
        <v>341</v>
      </c>
      <c r="G3193" s="8"/>
      <c r="H3193" s="9" t="s">
        <v>693</v>
      </c>
      <c r="I3193" s="8"/>
      <c r="J3193" s="9" t="s">
        <v>694</v>
      </c>
    </row>
    <row r="3194" customFormat="false" ht="15" hidden="false" customHeight="false" outlineLevel="0" collapsed="false">
      <c r="B3194" s="10" t="s">
        <v>695</v>
      </c>
      <c r="C3194" s="10" t="s">
        <v>696</v>
      </c>
      <c r="D3194" s="10" t="s">
        <v>695</v>
      </c>
      <c r="E3194" s="10" t="s">
        <v>696</v>
      </c>
      <c r="F3194" s="10" t="s">
        <v>695</v>
      </c>
      <c r="G3194" s="10" t="s">
        <v>696</v>
      </c>
      <c r="H3194" s="10" t="s">
        <v>695</v>
      </c>
      <c r="I3194" s="10" t="s">
        <v>696</v>
      </c>
    </row>
    <row r="3195" customFormat="false" ht="15" hidden="false" customHeight="false" outlineLevel="0" collapsed="false">
      <c r="A3195" s="11" t="s">
        <v>697</v>
      </c>
    </row>
    <row r="3196" customFormat="false" ht="15" hidden="false" customHeight="false" outlineLevel="0" collapsed="false">
      <c r="A3196" s="12" t="s">
        <v>698</v>
      </c>
      <c r="B3196" s="12" t="n">
        <f aca="false">COUNTIFS(Cleaned!$C$2:$C$125,1,Cleaned!EX$2:EX$125,1)</f>
        <v>3</v>
      </c>
      <c r="C3196" s="13" t="n">
        <f aca="false">IFERROR(B3196/$J3196,"")</f>
        <v>0.6</v>
      </c>
      <c r="D3196" s="12" t="n">
        <f aca="false">COUNTIFS(Cleaned!$C$2:$C$125,1,Cleaned!EX$2:EX$125,2)</f>
        <v>1</v>
      </c>
      <c r="E3196" s="13" t="n">
        <f aca="false">IFERROR(D3196/$J3196,"")</f>
        <v>0.2</v>
      </c>
      <c r="F3196" s="12" t="n">
        <f aca="false">COUNTIFS(Cleaned!$C$2:$C$125,1,Cleaned!EX$2:EX$125,3)</f>
        <v>1</v>
      </c>
      <c r="G3196" s="13" t="n">
        <f aca="false">IFERROR(F3196/$J3196,"")</f>
        <v>0.2</v>
      </c>
      <c r="H3196" s="12" t="n">
        <f aca="false">COUNTIFS(Cleaned!$C$2:$C$125,1,Cleaned!EX$2:EX$125,4)</f>
        <v>0</v>
      </c>
      <c r="I3196" s="13" t="n">
        <f aca="false">IFERROR(H3196/$J3196,"")</f>
        <v>0</v>
      </c>
      <c r="J3196" s="12" t="n">
        <f aca="false">B3196+D3196+F3196+H3196</f>
        <v>5</v>
      </c>
    </row>
    <row r="3197" customFormat="false" ht="15" hidden="false" customHeight="false" outlineLevel="0" collapsed="false">
      <c r="A3197" s="12" t="s">
        <v>699</v>
      </c>
      <c r="B3197" s="12" t="n">
        <f aca="false">COUNTIFS(Cleaned!$C$2:$C$125,2,Cleaned!EX$2:EX$125,1)</f>
        <v>2</v>
      </c>
      <c r="C3197" s="13" t="n">
        <f aca="false">IFERROR(B3197/$J3197,"")</f>
        <v>0.4</v>
      </c>
      <c r="D3197" s="12" t="n">
        <f aca="false">COUNTIFS(Cleaned!$C$2:$C$125,2,Cleaned!EX$2:EX$125,2)</f>
        <v>2</v>
      </c>
      <c r="E3197" s="13" t="n">
        <f aca="false">IFERROR(D3197/$J3197,"")</f>
        <v>0.4</v>
      </c>
      <c r="F3197" s="12" t="n">
        <f aca="false">COUNTIFS(Cleaned!$C$2:$C$125,2,Cleaned!EX$2:EX$125,3)</f>
        <v>1</v>
      </c>
      <c r="G3197" s="13" t="n">
        <f aca="false">IFERROR(F3197/$J3197,"")</f>
        <v>0.2</v>
      </c>
      <c r="H3197" s="12" t="n">
        <f aca="false">COUNTIFS(Cleaned!$C$2:$C$125,2,Cleaned!EX$2:EX$125,4)</f>
        <v>0</v>
      </c>
      <c r="I3197" s="13" t="n">
        <f aca="false">IFERROR(H3197/$J3197,"")</f>
        <v>0</v>
      </c>
      <c r="J3197" s="12" t="n">
        <f aca="false">B3197+D3197+F3197+H3197</f>
        <v>5</v>
      </c>
    </row>
    <row r="3198" customFormat="false" ht="15" hidden="false" customHeight="false" outlineLevel="0" collapsed="false">
      <c r="A3198" s="12" t="s">
        <v>700</v>
      </c>
      <c r="B3198" s="12" t="n">
        <f aca="false">COUNTIFS(Cleaned!$C$2:$C$125,3,Cleaned!EX$2:EX$125,1)</f>
        <v>7</v>
      </c>
      <c r="C3198" s="13" t="n">
        <f aca="false">IFERROR(B3198/$J3198,"")</f>
        <v>0.875</v>
      </c>
      <c r="D3198" s="12" t="n">
        <f aca="false">COUNTIFS(Cleaned!$C$2:$C$125,3,Cleaned!EX$2:EX$125,2)</f>
        <v>0</v>
      </c>
      <c r="E3198" s="13" t="n">
        <f aca="false">IFERROR(D3198/$J3198,"")</f>
        <v>0</v>
      </c>
      <c r="F3198" s="12" t="n">
        <f aca="false">COUNTIFS(Cleaned!$C$2:$C$125,3,Cleaned!EX$2:EX$125,3)</f>
        <v>1</v>
      </c>
      <c r="G3198" s="13" t="n">
        <f aca="false">IFERROR(F3198/$J3198,"")</f>
        <v>0.125</v>
      </c>
      <c r="H3198" s="12" t="n">
        <f aca="false">COUNTIFS(Cleaned!$C$2:$C$125,3,Cleaned!EX$2:EX$125,4)</f>
        <v>0</v>
      </c>
      <c r="I3198" s="13" t="n">
        <f aca="false">IFERROR(H3198/$J3198,"")</f>
        <v>0</v>
      </c>
      <c r="J3198" s="12" t="n">
        <f aca="false">B3198+D3198+F3198+H3198</f>
        <v>8</v>
      </c>
    </row>
    <row r="3199" customFormat="false" ht="15" hidden="false" customHeight="false" outlineLevel="0" collapsed="false">
      <c r="A3199" s="12" t="s">
        <v>701</v>
      </c>
      <c r="B3199" s="12" t="n">
        <f aca="false">COUNTIFS(Cleaned!$C$2:$C$125,4,Cleaned!EX$2:EX$125,1)</f>
        <v>5</v>
      </c>
      <c r="C3199" s="13" t="n">
        <f aca="false">IFERROR(B3199/$J3199,"")</f>
        <v>0.714285714285714</v>
      </c>
      <c r="D3199" s="12" t="n">
        <f aca="false">COUNTIFS(Cleaned!$C$2:$C$125,4,Cleaned!EX$2:EX$125,2)</f>
        <v>1</v>
      </c>
      <c r="E3199" s="13" t="n">
        <f aca="false">IFERROR(D3199/$J3199,"")</f>
        <v>0.142857142857143</v>
      </c>
      <c r="F3199" s="12" t="n">
        <f aca="false">COUNTIFS(Cleaned!$C$2:$C$125,4,Cleaned!EX$2:EX$125,3)</f>
        <v>0</v>
      </c>
      <c r="G3199" s="13" t="n">
        <f aca="false">IFERROR(F3199/$J3199,"")</f>
        <v>0</v>
      </c>
      <c r="H3199" s="12" t="n">
        <f aca="false">COUNTIFS(Cleaned!$C$2:$C$125,4,Cleaned!EX$2:EX$125,4)</f>
        <v>1</v>
      </c>
      <c r="I3199" s="13" t="n">
        <f aca="false">IFERROR(H3199/$J3199,"")</f>
        <v>0.142857142857143</v>
      </c>
      <c r="J3199" s="12" t="n">
        <f aca="false">B3199+D3199+F3199+H3199</f>
        <v>7</v>
      </c>
    </row>
    <row r="3200" customFormat="false" ht="15" hidden="false" customHeight="false" outlineLevel="0" collapsed="false">
      <c r="A3200" s="12" t="s">
        <v>702</v>
      </c>
      <c r="B3200" s="12" t="n">
        <f aca="false">COUNTIFS(Cleaned!$C$2:$C$125,5,Cleaned!EX$2:EX$125,1)</f>
        <v>10</v>
      </c>
      <c r="C3200" s="13" t="n">
        <f aca="false">IFERROR(B3200/$J3200,"")</f>
        <v>0.625</v>
      </c>
      <c r="D3200" s="12" t="n">
        <f aca="false">COUNTIFS(Cleaned!$C$2:$C$125,5,Cleaned!EX$2:EX$125,2)</f>
        <v>5</v>
      </c>
      <c r="E3200" s="13" t="n">
        <f aca="false">IFERROR(D3200/$J3200,"")</f>
        <v>0.3125</v>
      </c>
      <c r="F3200" s="12" t="n">
        <f aca="false">COUNTIFS(Cleaned!$C$2:$C$125,5,Cleaned!EX$2:EX$125,3)</f>
        <v>1</v>
      </c>
      <c r="G3200" s="13" t="n">
        <f aca="false">IFERROR(F3200/$J3200,"")</f>
        <v>0.0625</v>
      </c>
      <c r="H3200" s="12" t="n">
        <f aca="false">COUNTIFS(Cleaned!$C$2:$C$125,5,Cleaned!EX$2:EX$125,4)</f>
        <v>0</v>
      </c>
      <c r="I3200" s="13" t="n">
        <f aca="false">IFERROR(H3200/$J3200,"")</f>
        <v>0</v>
      </c>
      <c r="J3200" s="12" t="n">
        <f aca="false">B3200+D3200+F3200+H3200</f>
        <v>16</v>
      </c>
    </row>
    <row r="3201" customFormat="false" ht="15" hidden="false" customHeight="false" outlineLevel="0" collapsed="false">
      <c r="A3201" s="11" t="s">
        <v>703</v>
      </c>
      <c r="B3201" s="11" t="n">
        <f aca="false">SUM(B3196:B3200)</f>
        <v>27</v>
      </c>
      <c r="C3201" s="14" t="n">
        <f aca="false">IFERROR(B3201/$J3201,"")</f>
        <v>0.658536585365854</v>
      </c>
      <c r="D3201" s="11" t="n">
        <f aca="false">SUM(D3196:D3200)</f>
        <v>9</v>
      </c>
      <c r="E3201" s="14" t="n">
        <f aca="false">IFERROR(D3201/$J3201,"")</f>
        <v>0.219512195121951</v>
      </c>
      <c r="F3201" s="11" t="n">
        <f aca="false">SUM(F3196:F3200)</f>
        <v>4</v>
      </c>
      <c r="G3201" s="14" t="n">
        <f aca="false">IFERROR(F3201/$J3201,"")</f>
        <v>0.0975609756097561</v>
      </c>
      <c r="H3201" s="11" t="n">
        <f aca="false">SUM(H3196:H3200)</f>
        <v>1</v>
      </c>
      <c r="I3201" s="14" t="n">
        <f aca="false">IFERROR(H3201/$J3201,"")</f>
        <v>0.024390243902439</v>
      </c>
      <c r="J3201" s="11" t="n">
        <f aca="false">SUM(J3196:J3200)</f>
        <v>41</v>
      </c>
    </row>
    <row r="3202" customFormat="false" ht="15" hidden="false" customHeight="false" outlineLevel="0" collapsed="false">
      <c r="A3202" s="11" t="s">
        <v>3</v>
      </c>
    </row>
    <row r="3203" customFormat="false" ht="15" hidden="false" customHeight="false" outlineLevel="0" collapsed="false">
      <c r="A3203" s="12" t="s">
        <v>704</v>
      </c>
      <c r="B3203" s="12" t="n">
        <f aca="false">COUNTIFS(Cleaned!$D$2:$D$125,1,Cleaned!EX$2:EX$125,1)</f>
        <v>4</v>
      </c>
      <c r="C3203" s="13" t="n">
        <f aca="false">IFERROR(B3203/$J3203,"")</f>
        <v>0.8</v>
      </c>
      <c r="D3203" s="12" t="n">
        <f aca="false">COUNTIFS(Cleaned!$D$2:$D$125,1,Cleaned!EX$2:EX$125,2)</f>
        <v>0</v>
      </c>
      <c r="E3203" s="13" t="n">
        <f aca="false">IFERROR(D3203/$J3203,"")</f>
        <v>0</v>
      </c>
      <c r="F3203" s="12" t="n">
        <f aca="false">COUNTIFS(Cleaned!$D$2:$D$125,1,Cleaned!EX$2:EX$125,3)</f>
        <v>1</v>
      </c>
      <c r="G3203" s="13" t="n">
        <f aca="false">IFERROR(F3203/$J3203,"")</f>
        <v>0.2</v>
      </c>
      <c r="H3203" s="12" t="n">
        <f aca="false">COUNTIFS(Cleaned!$D$2:$D$125,1,Cleaned!EX$2:EX$125,4)</f>
        <v>0</v>
      </c>
      <c r="I3203" s="13" t="n">
        <f aca="false">IFERROR(H3203/$J3203,"")</f>
        <v>0</v>
      </c>
      <c r="J3203" s="12" t="n">
        <f aca="false">B3203+D3203+F3203+H3203</f>
        <v>5</v>
      </c>
    </row>
    <row r="3204" customFormat="false" ht="15" hidden="false" customHeight="false" outlineLevel="0" collapsed="false">
      <c r="A3204" s="12" t="s">
        <v>705</v>
      </c>
      <c r="B3204" s="12" t="n">
        <f aca="false">COUNTIFS(Cleaned!$D$2:$D$125,2,Cleaned!EX$2:EX$125,1)</f>
        <v>4</v>
      </c>
      <c r="C3204" s="13" t="n">
        <f aca="false">IFERROR(B3204/$J3204,"")</f>
        <v>0.4</v>
      </c>
      <c r="D3204" s="12" t="n">
        <f aca="false">COUNTIFS(Cleaned!$D$2:$D$125,2,Cleaned!EX$2:EX$125,2)</f>
        <v>5</v>
      </c>
      <c r="E3204" s="13" t="n">
        <f aca="false">IFERROR(D3204/$J3204,"")</f>
        <v>0.5</v>
      </c>
      <c r="F3204" s="12" t="n">
        <f aca="false">COUNTIFS(Cleaned!$D$2:$D$125,2,Cleaned!EX$2:EX$125,3)</f>
        <v>1</v>
      </c>
      <c r="G3204" s="13" t="n">
        <f aca="false">IFERROR(F3204/$J3204,"")</f>
        <v>0.1</v>
      </c>
      <c r="H3204" s="12" t="n">
        <f aca="false">COUNTIFS(Cleaned!$D$2:$D$125,2,Cleaned!EX$2:EX$125,4)</f>
        <v>0</v>
      </c>
      <c r="I3204" s="13" t="n">
        <f aca="false">IFERROR(H3204/$J3204,"")</f>
        <v>0</v>
      </c>
      <c r="J3204" s="12" t="n">
        <f aca="false">B3204+D3204+F3204+H3204</f>
        <v>10</v>
      </c>
    </row>
    <row r="3205" customFormat="false" ht="15" hidden="false" customHeight="false" outlineLevel="0" collapsed="false">
      <c r="A3205" s="12" t="s">
        <v>706</v>
      </c>
      <c r="B3205" s="12" t="n">
        <f aca="false">COUNTIFS(Cleaned!$D$2:$D$125,3,Cleaned!EX$2:EX$125,1)</f>
        <v>5</v>
      </c>
      <c r="C3205" s="13" t="n">
        <f aca="false">IFERROR(B3205/$J3205,"")</f>
        <v>0.833333333333333</v>
      </c>
      <c r="D3205" s="12" t="n">
        <f aca="false">COUNTIFS(Cleaned!$D$2:$D$125,3,Cleaned!EX$2:EX$125,2)</f>
        <v>0</v>
      </c>
      <c r="E3205" s="13" t="n">
        <f aca="false">IFERROR(D3205/$J3205,"")</f>
        <v>0</v>
      </c>
      <c r="F3205" s="12" t="n">
        <f aca="false">COUNTIFS(Cleaned!$D$2:$D$125,3,Cleaned!EX$2:EX$125,3)</f>
        <v>0</v>
      </c>
      <c r="G3205" s="13" t="n">
        <f aca="false">IFERROR(F3205/$J3205,"")</f>
        <v>0</v>
      </c>
      <c r="H3205" s="12" t="n">
        <f aca="false">COUNTIFS(Cleaned!$D$2:$D$125,3,Cleaned!EX$2:EX$125,4)</f>
        <v>1</v>
      </c>
      <c r="I3205" s="13" t="n">
        <f aca="false">IFERROR(H3205/$J3205,"")</f>
        <v>0.166666666666667</v>
      </c>
      <c r="J3205" s="12" t="n">
        <f aca="false">B3205+D3205+F3205+H3205</f>
        <v>6</v>
      </c>
    </row>
    <row r="3206" customFormat="false" ht="15" hidden="false" customHeight="false" outlineLevel="0" collapsed="false">
      <c r="A3206" s="12" t="s">
        <v>707</v>
      </c>
      <c r="B3206" s="12" t="n">
        <f aca="false">COUNTIFS(Cleaned!$D$2:$D$125,4,Cleaned!EX$2:EX$125,1)</f>
        <v>2</v>
      </c>
      <c r="C3206" s="13" t="n">
        <f aca="false">IFERROR(B3206/$J3206,"")</f>
        <v>0.666666666666667</v>
      </c>
      <c r="D3206" s="12" t="n">
        <f aca="false">COUNTIFS(Cleaned!$D$2:$D$125,4,Cleaned!EX$2:EX$125,2)</f>
        <v>1</v>
      </c>
      <c r="E3206" s="13" t="n">
        <f aca="false">IFERROR(D3206/$J3206,"")</f>
        <v>0.333333333333333</v>
      </c>
      <c r="F3206" s="12" t="n">
        <f aca="false">COUNTIFS(Cleaned!$D$2:$D$125,4,Cleaned!EX$2:EX$125,3)</f>
        <v>0</v>
      </c>
      <c r="G3206" s="13" t="n">
        <f aca="false">IFERROR(F3206/$J3206,"")</f>
        <v>0</v>
      </c>
      <c r="H3206" s="12" t="n">
        <f aca="false">COUNTIFS(Cleaned!$D$2:$D$125,4,Cleaned!EX$2:EX$125,4)</f>
        <v>0</v>
      </c>
      <c r="I3206" s="13" t="n">
        <f aca="false">IFERROR(H3206/$J3206,"")</f>
        <v>0</v>
      </c>
      <c r="J3206" s="12" t="n">
        <f aca="false">B3206+D3206+F3206+H3206</f>
        <v>3</v>
      </c>
    </row>
    <row r="3207" customFormat="false" ht="15" hidden="false" customHeight="false" outlineLevel="0" collapsed="false">
      <c r="A3207" s="12" t="s">
        <v>708</v>
      </c>
      <c r="B3207" s="12" t="n">
        <f aca="false">COUNTIFS(Cleaned!$D$2:$D$125,5,Cleaned!EX$2:EX$125,1)</f>
        <v>1</v>
      </c>
      <c r="C3207" s="13" t="n">
        <f aca="false">IFERROR(B3207/$J3207,"")</f>
        <v>1</v>
      </c>
      <c r="D3207" s="12" t="n">
        <f aca="false">COUNTIFS(Cleaned!$D$2:$D$125,5,Cleaned!EX$2:EX$125,2)</f>
        <v>0</v>
      </c>
      <c r="E3207" s="13" t="n">
        <f aca="false">IFERROR(D3207/$J3207,"")</f>
        <v>0</v>
      </c>
      <c r="F3207" s="12" t="n">
        <f aca="false">COUNTIFS(Cleaned!$D$2:$D$125,5,Cleaned!EX$2:EX$125,3)</f>
        <v>0</v>
      </c>
      <c r="G3207" s="13" t="n">
        <f aca="false">IFERROR(F3207/$J3207,"")</f>
        <v>0</v>
      </c>
      <c r="H3207" s="12" t="n">
        <f aca="false">COUNTIFS(Cleaned!$D$2:$D$125,5,Cleaned!EX$2:EX$125,4)</f>
        <v>0</v>
      </c>
      <c r="I3207" s="13" t="n">
        <f aca="false">IFERROR(H3207/$J3207,"")</f>
        <v>0</v>
      </c>
      <c r="J3207" s="12" t="n">
        <f aca="false">B3207+D3207+F3207+H3207</f>
        <v>1</v>
      </c>
    </row>
    <row r="3208" customFormat="false" ht="15" hidden="false" customHeight="false" outlineLevel="0" collapsed="false">
      <c r="A3208" s="12" t="s">
        <v>709</v>
      </c>
      <c r="B3208" s="12" t="n">
        <f aca="false">COUNTIFS(Cleaned!$D$2:$D$125,6,Cleaned!EX$2:EX$125,1)</f>
        <v>2</v>
      </c>
      <c r="C3208" s="13" t="n">
        <f aca="false">IFERROR(B3208/$J3208,"")</f>
        <v>1</v>
      </c>
      <c r="D3208" s="12" t="n">
        <f aca="false">COUNTIFS(Cleaned!$D$2:$D$125,6,Cleaned!EX$2:EX$125,2)</f>
        <v>0</v>
      </c>
      <c r="E3208" s="13" t="n">
        <f aca="false">IFERROR(D3208/$J3208,"")</f>
        <v>0</v>
      </c>
      <c r="F3208" s="12" t="n">
        <f aca="false">COUNTIFS(Cleaned!$D$2:$D$125,6,Cleaned!EX$2:EX$125,3)</f>
        <v>0</v>
      </c>
      <c r="G3208" s="13" t="n">
        <f aca="false">IFERROR(F3208/$J3208,"")</f>
        <v>0</v>
      </c>
      <c r="H3208" s="12" t="n">
        <f aca="false">COUNTIFS(Cleaned!$D$2:$D$125,6,Cleaned!EX$2:EX$125,4)</f>
        <v>0</v>
      </c>
      <c r="I3208" s="13" t="n">
        <f aca="false">IFERROR(H3208/$J3208,"")</f>
        <v>0</v>
      </c>
      <c r="J3208" s="12" t="n">
        <f aca="false">B3208+D3208+F3208+H3208</f>
        <v>2</v>
      </c>
    </row>
    <row r="3209" customFormat="false" ht="15" hidden="false" customHeight="false" outlineLevel="0" collapsed="false">
      <c r="A3209" s="12" t="s">
        <v>710</v>
      </c>
      <c r="B3209" s="12" t="n">
        <f aca="false">COUNTIFS(Cleaned!$D$2:$D$125,7,Cleaned!EX$2:EX$125,1)</f>
        <v>5</v>
      </c>
      <c r="C3209" s="13" t="n">
        <f aca="false">IFERROR(B3209/$J3209,"")</f>
        <v>0.833333333333333</v>
      </c>
      <c r="D3209" s="12" t="n">
        <f aca="false">COUNTIFS(Cleaned!$D$2:$D$125,7,Cleaned!EX$2:EX$125,2)</f>
        <v>0</v>
      </c>
      <c r="E3209" s="13" t="n">
        <f aca="false">IFERROR(D3209/$J3209,"")</f>
        <v>0</v>
      </c>
      <c r="F3209" s="12" t="n">
        <f aca="false">COUNTIFS(Cleaned!$D$2:$D$125,7,Cleaned!EX$2:EX$125,3)</f>
        <v>1</v>
      </c>
      <c r="G3209" s="13" t="n">
        <f aca="false">IFERROR(F3209/$J3209,"")</f>
        <v>0.166666666666667</v>
      </c>
      <c r="H3209" s="12" t="n">
        <f aca="false">COUNTIFS(Cleaned!$D$2:$D$125,7,Cleaned!EX$2:EX$125,4)</f>
        <v>0</v>
      </c>
      <c r="I3209" s="13" t="n">
        <f aca="false">IFERROR(H3209/$J3209,"")</f>
        <v>0</v>
      </c>
      <c r="J3209" s="12" t="n">
        <f aca="false">B3209+D3209+F3209+H3209</f>
        <v>6</v>
      </c>
    </row>
    <row r="3210" customFormat="false" ht="15" hidden="false" customHeight="false" outlineLevel="0" collapsed="false">
      <c r="A3210" s="12" t="s">
        <v>711</v>
      </c>
      <c r="B3210" s="12" t="n">
        <f aca="false">COUNTIFS(Cleaned!$D$2:$D$125,8,Cleaned!EX$2:EX$125,1)</f>
        <v>2</v>
      </c>
      <c r="C3210" s="13" t="n">
        <f aca="false">IFERROR(B3210/$J3210,"")</f>
        <v>1</v>
      </c>
      <c r="D3210" s="12" t="n">
        <f aca="false">COUNTIFS(Cleaned!$D$2:$D$125,8,Cleaned!EX$2:EX$125,2)</f>
        <v>0</v>
      </c>
      <c r="E3210" s="13" t="n">
        <f aca="false">IFERROR(D3210/$J3210,"")</f>
        <v>0</v>
      </c>
      <c r="F3210" s="12" t="n">
        <f aca="false">COUNTIFS(Cleaned!$D$2:$D$125,8,Cleaned!EX$2:EX$125,3)</f>
        <v>0</v>
      </c>
      <c r="G3210" s="13" t="n">
        <f aca="false">IFERROR(F3210/$J3210,"")</f>
        <v>0</v>
      </c>
      <c r="H3210" s="12" t="n">
        <f aca="false">COUNTIFS(Cleaned!$D$2:$D$125,8,Cleaned!EX$2:EX$125,4)</f>
        <v>0</v>
      </c>
      <c r="I3210" s="13" t="n">
        <f aca="false">IFERROR(H3210/$J3210,"")</f>
        <v>0</v>
      </c>
      <c r="J3210" s="12" t="n">
        <f aca="false">B3210+D3210+F3210+H3210</f>
        <v>2</v>
      </c>
    </row>
    <row r="3211" customFormat="false" ht="15" hidden="false" customHeight="false" outlineLevel="0" collapsed="false">
      <c r="A3211" s="12" t="s">
        <v>712</v>
      </c>
      <c r="B3211" s="12" t="n">
        <f aca="false">COUNTIFS(Cleaned!$D$2:$D$125,9,Cleaned!EX$2:EX$125,1)</f>
        <v>0</v>
      </c>
      <c r="C3211" s="13" t="n">
        <f aca="false">IFERROR(B3211/$J3211,"")</f>
        <v>0</v>
      </c>
      <c r="D3211" s="12" t="n">
        <f aca="false">COUNTIFS(Cleaned!$D$2:$D$125,9,Cleaned!EX$2:EX$125,2)</f>
        <v>1</v>
      </c>
      <c r="E3211" s="13" t="n">
        <f aca="false">IFERROR(D3211/$J3211,"")</f>
        <v>1</v>
      </c>
      <c r="F3211" s="12" t="n">
        <f aca="false">COUNTIFS(Cleaned!$D$2:$D$125,9,Cleaned!EX$2:EX$125,3)</f>
        <v>0</v>
      </c>
      <c r="G3211" s="13" t="n">
        <f aca="false">IFERROR(F3211/$J3211,"")</f>
        <v>0</v>
      </c>
      <c r="H3211" s="12" t="n">
        <f aca="false">COUNTIFS(Cleaned!$D$2:$D$125,9,Cleaned!EX$2:EX$125,4)</f>
        <v>0</v>
      </c>
      <c r="I3211" s="13" t="n">
        <f aca="false">IFERROR(H3211/$J3211,"")</f>
        <v>0</v>
      </c>
      <c r="J3211" s="12" t="n">
        <f aca="false">B3211+D3211+F3211+H3211</f>
        <v>1</v>
      </c>
    </row>
    <row r="3212" customFormat="false" ht="15" hidden="false" customHeight="false" outlineLevel="0" collapsed="false">
      <c r="A3212" s="12" t="s">
        <v>713</v>
      </c>
      <c r="B3212" s="12" t="n">
        <f aca="false">COUNTIFS(Cleaned!$D$2:$D$125,10,Cleaned!EX$2:EX$125,1)</f>
        <v>0</v>
      </c>
      <c r="C3212" s="13" t="str">
        <f aca="false">IFERROR(B3212/$J3212,"")</f>
        <v/>
      </c>
      <c r="D3212" s="12" t="n">
        <f aca="false">COUNTIFS(Cleaned!$D$2:$D$125,10,Cleaned!EX$2:EX$125,2)</f>
        <v>0</v>
      </c>
      <c r="E3212" s="13" t="str">
        <f aca="false">IFERROR(D3212/$J3212,"")</f>
        <v/>
      </c>
      <c r="F3212" s="12" t="n">
        <f aca="false">COUNTIFS(Cleaned!$D$2:$D$125,10,Cleaned!EX$2:EX$125,3)</f>
        <v>0</v>
      </c>
      <c r="G3212" s="13" t="str">
        <f aca="false">IFERROR(F3212/$J3212,"")</f>
        <v/>
      </c>
      <c r="H3212" s="12" t="n">
        <f aca="false">COUNTIFS(Cleaned!$D$2:$D$125,10,Cleaned!EX$2:EX$125,4)</f>
        <v>0</v>
      </c>
      <c r="I3212" s="13" t="str">
        <f aca="false">IFERROR(H3212/$J3212,"")</f>
        <v/>
      </c>
      <c r="J3212" s="12" t="n">
        <f aca="false">B3212+D3212+F3212+H3212</f>
        <v>0</v>
      </c>
    </row>
    <row r="3213" customFormat="false" ht="15" hidden="false" customHeight="false" outlineLevel="0" collapsed="false">
      <c r="A3213" s="12" t="s">
        <v>714</v>
      </c>
      <c r="B3213" s="12" t="n">
        <f aca="false">COUNTIFS(Cleaned!$D$2:$D$125,11,Cleaned!EX$2:EX$125,1)</f>
        <v>2</v>
      </c>
      <c r="C3213" s="13" t="n">
        <f aca="false">IFERROR(B3213/$J3213,"")</f>
        <v>0.5</v>
      </c>
      <c r="D3213" s="12" t="n">
        <f aca="false">COUNTIFS(Cleaned!$D$2:$D$125,11,Cleaned!EX$2:EX$125,2)</f>
        <v>2</v>
      </c>
      <c r="E3213" s="13" t="n">
        <f aca="false">IFERROR(D3213/$J3213,"")</f>
        <v>0.5</v>
      </c>
      <c r="F3213" s="12" t="n">
        <f aca="false">COUNTIFS(Cleaned!$D$2:$D$125,11,Cleaned!EX$2:EX$125,3)</f>
        <v>0</v>
      </c>
      <c r="G3213" s="13" t="n">
        <f aca="false">IFERROR(F3213/$J3213,"")</f>
        <v>0</v>
      </c>
      <c r="H3213" s="12" t="n">
        <f aca="false">COUNTIFS(Cleaned!$D$2:$D$125,11,Cleaned!EX$2:EX$125,4)</f>
        <v>0</v>
      </c>
      <c r="I3213" s="13" t="n">
        <f aca="false">IFERROR(H3213/$J3213,"")</f>
        <v>0</v>
      </c>
      <c r="J3213" s="12" t="n">
        <f aca="false">B3213+D3213+F3213+H3213</f>
        <v>4</v>
      </c>
    </row>
    <row r="3214" customFormat="false" ht="15" hidden="false" customHeight="false" outlineLevel="0" collapsed="false">
      <c r="A3214" s="12" t="s">
        <v>715</v>
      </c>
      <c r="B3214" s="12" t="n">
        <f aca="false">COUNTIFS(Cleaned!$D$2:$D$125,12,Cleaned!EX$2:EX$125,1)</f>
        <v>0</v>
      </c>
      <c r="C3214" s="13" t="n">
        <f aca="false">IFERROR(B3214/$J3214,"")</f>
        <v>0</v>
      </c>
      <c r="D3214" s="12" t="n">
        <f aca="false">COUNTIFS(Cleaned!$D$2:$D$125,12,Cleaned!EX$2:EX$125,2)</f>
        <v>0</v>
      </c>
      <c r="E3214" s="13" t="n">
        <f aca="false">IFERROR(D3214/$J3214,"")</f>
        <v>0</v>
      </c>
      <c r="F3214" s="12" t="n">
        <f aca="false">COUNTIFS(Cleaned!$D$2:$D$125,12,Cleaned!EX$2:EX$125,3)</f>
        <v>1</v>
      </c>
      <c r="G3214" s="13" t="n">
        <f aca="false">IFERROR(F3214/$J3214,"")</f>
        <v>1</v>
      </c>
      <c r="H3214" s="12" t="n">
        <f aca="false">COUNTIFS(Cleaned!$D$2:$D$125,12,Cleaned!EX$2:EX$125,4)</f>
        <v>0</v>
      </c>
      <c r="I3214" s="13" t="n">
        <f aca="false">IFERROR(H3214/$J3214,"")</f>
        <v>0</v>
      </c>
      <c r="J3214" s="12" t="n">
        <f aca="false">B3214+D3214+F3214+H3214</f>
        <v>1</v>
      </c>
    </row>
    <row r="3215" customFormat="false" ht="15" hidden="false" customHeight="false" outlineLevel="0" collapsed="false">
      <c r="A3215" s="11" t="s">
        <v>716</v>
      </c>
      <c r="B3215" s="11" t="n">
        <f aca="false">SUM(B3203:B3214)</f>
        <v>27</v>
      </c>
      <c r="C3215" s="14" t="n">
        <f aca="false">IFERROR(B3215/$J3215,"")</f>
        <v>0.658536585365854</v>
      </c>
      <c r="D3215" s="11" t="n">
        <f aca="false">SUM(D3203:D3214)</f>
        <v>9</v>
      </c>
      <c r="E3215" s="14" t="n">
        <f aca="false">IFERROR(D3215/$J3215,"")</f>
        <v>0.219512195121951</v>
      </c>
      <c r="F3215" s="11" t="n">
        <f aca="false">SUM(F3203:F3214)</f>
        <v>4</v>
      </c>
      <c r="G3215" s="14" t="n">
        <f aca="false">IFERROR(F3215/$J3215,"")</f>
        <v>0.0975609756097561</v>
      </c>
      <c r="H3215" s="11" t="n">
        <f aca="false">SUM(H3203:H3214)</f>
        <v>1</v>
      </c>
      <c r="I3215" s="14" t="n">
        <f aca="false">IFERROR(H3215/$J3215,"")</f>
        <v>0.024390243902439</v>
      </c>
      <c r="J3215" s="11" t="n">
        <f aca="false">SUM(J3203:J3214)</f>
        <v>41</v>
      </c>
    </row>
    <row r="3218" customFormat="false" ht="15" hidden="false" customHeight="false" outlineLevel="0" collapsed="false">
      <c r="A3218" s="6" t="s">
        <v>155</v>
      </c>
      <c r="B3218" s="7" t="s">
        <v>899</v>
      </c>
    </row>
    <row r="3219" customFormat="false" ht="15" hidden="false" customHeight="false" outlineLevel="0" collapsed="false">
      <c r="A3219" s="11" t="s">
        <v>734</v>
      </c>
      <c r="B3219" s="9" t="s">
        <v>694</v>
      </c>
      <c r="C3219" s="9" t="s">
        <v>735</v>
      </c>
      <c r="D3219" s="9" t="s">
        <v>736</v>
      </c>
      <c r="E3219" s="9" t="s">
        <v>737</v>
      </c>
      <c r="F3219" s="9" t="s">
        <v>738</v>
      </c>
    </row>
    <row r="3220" customFormat="false" ht="15" hidden="false" customHeight="false" outlineLevel="0" collapsed="false">
      <c r="B3220" s="12" t="n">
        <f aca="false">COUNT(Cleaned!$EZ$2:$EZ$125)</f>
        <v>34</v>
      </c>
      <c r="C3220" s="12" t="n">
        <f aca="false">IFERROR(AVERAGE(Cleaned!$EZ$2:$EZ$125),"")</f>
        <v>58.1523529411765</v>
      </c>
      <c r="D3220" s="12" t="n">
        <f aca="false">IFERROR(MEDIAN(Cleaned!$EZ$2:$EZ$125),"")</f>
        <v>95</v>
      </c>
      <c r="E3220" s="12" t="n">
        <f aca="false">IFERROR(MIN(Cleaned!$EZ$2:$EZ$125),"")</f>
        <v>0</v>
      </c>
      <c r="F3220" s="12" t="n">
        <f aca="false">IFERROR(MAX(Cleaned!$EZ$2:$EZ$125),"")</f>
        <v>100</v>
      </c>
    </row>
    <row r="3221" customFormat="false" ht="15" hidden="false" customHeight="false" outlineLevel="0" collapsed="false">
      <c r="A3221" s="11" t="s">
        <v>697</v>
      </c>
      <c r="B3221" s="9" t="s">
        <v>739</v>
      </c>
      <c r="C3221" s="9" t="s">
        <v>735</v>
      </c>
    </row>
    <row r="3222" customFormat="false" ht="15" hidden="false" customHeight="false" outlineLevel="0" collapsed="false">
      <c r="A3222" s="12" t="s">
        <v>698</v>
      </c>
      <c r="B3222" s="12" t="n">
        <f aca="false">COUNTIFS(Cleaned!$C$2:$C$125,1,Cleaned!EZ$2:EZ$125,"&lt;&gt;")</f>
        <v>1</v>
      </c>
      <c r="C3222" s="15" t="n">
        <f aca="false">IF(B3222=0,"",AVERAGEIF(Cleaned!$C$2:$C$125,1,Cleaned!EZ$2:EZ$125))</f>
        <v>100</v>
      </c>
    </row>
    <row r="3223" customFormat="false" ht="15" hidden="false" customHeight="false" outlineLevel="0" collapsed="false">
      <c r="A3223" s="12" t="s">
        <v>699</v>
      </c>
      <c r="B3223" s="12" t="n">
        <f aca="false">COUNTIFS(Cleaned!$C$2:$C$125,2,Cleaned!EZ$2:EZ$125,"&lt;&gt;")</f>
        <v>4</v>
      </c>
      <c r="C3223" s="15" t="n">
        <f aca="false">IF(B3223=0,"",AVERAGEIF(Cleaned!$C$2:$C$125,2,Cleaned!EZ$2:EZ$125))</f>
        <v>59.745</v>
      </c>
    </row>
    <row r="3224" customFormat="false" ht="15" hidden="false" customHeight="false" outlineLevel="0" collapsed="false">
      <c r="A3224" s="12" t="s">
        <v>700</v>
      </c>
      <c r="B3224" s="12" t="n">
        <f aca="false">COUNTIFS(Cleaned!$C$2:$C$125,3,Cleaned!EZ$2:EZ$125,"&lt;&gt;")</f>
        <v>7</v>
      </c>
      <c r="C3224" s="15" t="n">
        <f aca="false">IF(B3224=0,"",AVERAGEIF(Cleaned!$C$2:$C$125,3,Cleaned!EZ$2:EZ$125))</f>
        <v>75.7114285714286</v>
      </c>
    </row>
    <row r="3225" customFormat="false" ht="15" hidden="false" customHeight="false" outlineLevel="0" collapsed="false">
      <c r="A3225" s="12" t="s">
        <v>701</v>
      </c>
      <c r="B3225" s="12" t="n">
        <f aca="false">COUNTIFS(Cleaned!$C$2:$C$125,4,Cleaned!EZ$2:EZ$125,"&lt;&gt;")</f>
        <v>8</v>
      </c>
      <c r="C3225" s="15" t="n">
        <f aca="false">IF(B3225=0,"",AVERAGEIF(Cleaned!$C$2:$C$125,4,Cleaned!EZ$2:EZ$125))</f>
        <v>86.24125</v>
      </c>
    </row>
    <row r="3226" customFormat="false" ht="15" hidden="false" customHeight="false" outlineLevel="0" collapsed="false">
      <c r="A3226" s="12" t="s">
        <v>702</v>
      </c>
      <c r="B3226" s="12" t="n">
        <f aca="false">COUNTIFS(Cleaned!$C$2:$C$125,5,Cleaned!EZ$2:EZ$125,"&lt;&gt;")</f>
        <v>14</v>
      </c>
      <c r="C3226" s="15" t="n">
        <f aca="false">IF(B3226=0,"",AVERAGEIF(Cleaned!$C$2:$C$125,5,Cleaned!EZ$2:EZ$125))</f>
        <v>29.8778571428571</v>
      </c>
    </row>
    <row r="3227" customFormat="false" ht="15" hidden="false" customHeight="false" outlineLevel="0" collapsed="false">
      <c r="A3227" s="11" t="s">
        <v>3</v>
      </c>
      <c r="B3227" s="9" t="s">
        <v>739</v>
      </c>
      <c r="C3227" s="9" t="s">
        <v>735</v>
      </c>
    </row>
    <row r="3228" customFormat="false" ht="15" hidden="false" customHeight="false" outlineLevel="0" collapsed="false">
      <c r="A3228" s="12" t="s">
        <v>704</v>
      </c>
      <c r="B3228" s="12" t="n">
        <f aca="false">COUNTIFS(Cleaned!$D$2:$D$125,1,Cleaned!EZ$2:EZ$125,"&lt;&gt;")</f>
        <v>4</v>
      </c>
      <c r="C3228" s="15" t="n">
        <f aca="false">IF(B3228=0,"",AVERAGEIF(Cleaned!$D$2:$D$125,1,Cleaned!EZ$2:EZ$125))</f>
        <v>82.25</v>
      </c>
    </row>
    <row r="3229" customFormat="false" ht="15" hidden="false" customHeight="false" outlineLevel="0" collapsed="false">
      <c r="A3229" s="12" t="s">
        <v>705</v>
      </c>
      <c r="B3229" s="12" t="n">
        <f aca="false">COUNTIFS(Cleaned!$D$2:$D$125,2,Cleaned!EZ$2:EZ$125,"&lt;&gt;")</f>
        <v>9</v>
      </c>
      <c r="C3229" s="15" t="n">
        <f aca="false">IF(B3229=0,"",AVERAGEIF(Cleaned!$D$2:$D$125,2,Cleaned!EZ$2:EZ$125))</f>
        <v>33.6933333333333</v>
      </c>
    </row>
    <row r="3230" customFormat="false" ht="15" hidden="false" customHeight="false" outlineLevel="0" collapsed="false">
      <c r="A3230" s="12" t="s">
        <v>706</v>
      </c>
      <c r="B3230" s="12" t="n">
        <f aca="false">COUNTIFS(Cleaned!$D$2:$D$125,3,Cleaned!EZ$2:EZ$125,"&lt;&gt;")</f>
        <v>6</v>
      </c>
      <c r="C3230" s="15" t="n">
        <f aca="false">IF(B3230=0,"",AVERAGEIF(Cleaned!$D$2:$D$125,3,Cleaned!EZ$2:EZ$125))</f>
        <v>52.6633333333333</v>
      </c>
    </row>
    <row r="3231" customFormat="false" ht="15" hidden="false" customHeight="false" outlineLevel="0" collapsed="false">
      <c r="A3231" s="12" t="s">
        <v>707</v>
      </c>
      <c r="B3231" s="12" t="n">
        <f aca="false">COUNTIFS(Cleaned!$D$2:$D$125,4,Cleaned!EZ$2:EZ$125,"&lt;&gt;")</f>
        <v>3</v>
      </c>
      <c r="C3231" s="15" t="n">
        <f aca="false">IF(B3231=0,"",AVERAGEIF(Cleaned!$D$2:$D$125,4,Cleaned!EZ$2:EZ$125))</f>
        <v>99.995</v>
      </c>
    </row>
    <row r="3232" customFormat="false" ht="15" hidden="false" customHeight="false" outlineLevel="0" collapsed="false">
      <c r="A3232" s="12" t="s">
        <v>708</v>
      </c>
      <c r="B3232" s="12" t="n">
        <f aca="false">COUNTIFS(Cleaned!$D$2:$D$125,5,Cleaned!EZ$2:EZ$125,"&lt;&gt;")</f>
        <v>1</v>
      </c>
      <c r="C3232" s="15" t="n">
        <f aca="false">IF(B3232=0,"",AVERAGEIF(Cleaned!$D$2:$D$125,5,Cleaned!EZ$2:EZ$125))</f>
        <v>100</v>
      </c>
    </row>
    <row r="3233" customFormat="false" ht="15" hidden="false" customHeight="false" outlineLevel="0" collapsed="false">
      <c r="A3233" s="12" t="s">
        <v>709</v>
      </c>
      <c r="B3233" s="12" t="n">
        <f aca="false">COUNTIFS(Cleaned!$D$2:$D$125,6,Cleaned!EZ$2:EZ$125,"&lt;&gt;")</f>
        <v>2</v>
      </c>
      <c r="C3233" s="15" t="n">
        <f aca="false">IF(B3233=0,"",AVERAGEIF(Cleaned!$D$2:$D$125,6,Cleaned!EZ$2:EZ$125))</f>
        <v>47.9725</v>
      </c>
    </row>
    <row r="3234" customFormat="false" ht="15" hidden="false" customHeight="false" outlineLevel="0" collapsed="false">
      <c r="A3234" s="12" t="s">
        <v>710</v>
      </c>
      <c r="B3234" s="12" t="n">
        <f aca="false">COUNTIFS(Cleaned!$D$2:$D$125,7,Cleaned!EZ$2:EZ$125,"&lt;&gt;")</f>
        <v>4</v>
      </c>
      <c r="C3234" s="15" t="n">
        <f aca="false">IF(B3234=0,"",AVERAGEIF(Cleaned!$D$2:$D$125,7,Cleaned!EZ$2:EZ$125))</f>
        <v>50.0125</v>
      </c>
    </row>
    <row r="3235" customFormat="false" ht="15" hidden="false" customHeight="false" outlineLevel="0" collapsed="false">
      <c r="A3235" s="12" t="s">
        <v>711</v>
      </c>
      <c r="B3235" s="12" t="n">
        <f aca="false">COUNTIFS(Cleaned!$D$2:$D$125,8,Cleaned!EZ$2:EZ$125,"&lt;&gt;")</f>
        <v>1</v>
      </c>
      <c r="C3235" s="15" t="n">
        <f aca="false">IF(B3235=0,"",AVERAGEIF(Cleaned!$D$2:$D$125,8,Cleaned!EZ$2:EZ$125))</f>
        <v>95</v>
      </c>
    </row>
    <row r="3236" customFormat="false" ht="15" hidden="false" customHeight="false" outlineLevel="0" collapsed="false">
      <c r="A3236" s="12" t="s">
        <v>712</v>
      </c>
      <c r="B3236" s="12" t="n">
        <f aca="false">COUNTIFS(Cleaned!$D$2:$D$125,9,Cleaned!EZ$2:EZ$125,"&lt;&gt;")</f>
        <v>0</v>
      </c>
      <c r="C3236" s="15" t="str">
        <f aca="false">IF(B3236=0,"",AVERAGEIF(Cleaned!$D$2:$D$125,9,Cleaned!EZ$2:EZ$125))</f>
        <v/>
      </c>
    </row>
    <row r="3237" customFormat="false" ht="15" hidden="false" customHeight="false" outlineLevel="0" collapsed="false">
      <c r="A3237" s="12" t="s">
        <v>713</v>
      </c>
      <c r="B3237" s="12" t="n">
        <f aca="false">COUNTIFS(Cleaned!$D$2:$D$125,10,Cleaned!EZ$2:EZ$125,"&lt;&gt;")</f>
        <v>0</v>
      </c>
      <c r="C3237" s="15" t="str">
        <f aca="false">IF(B3237=0,"",AVERAGEIF(Cleaned!$D$2:$D$125,10,Cleaned!EZ$2:EZ$125))</f>
        <v/>
      </c>
    </row>
    <row r="3238" customFormat="false" ht="15" hidden="false" customHeight="false" outlineLevel="0" collapsed="false">
      <c r="A3238" s="12" t="s">
        <v>714</v>
      </c>
      <c r="B3238" s="12" t="n">
        <f aca="false">COUNTIFS(Cleaned!$D$2:$D$125,11,Cleaned!EZ$2:EZ$125,"&lt;&gt;")</f>
        <v>4</v>
      </c>
      <c r="C3238" s="15" t="n">
        <f aca="false">IF(B3238=0,"",AVERAGEIF(Cleaned!$D$2:$D$125,11,Cleaned!EZ$2:EZ$125))</f>
        <v>59.495</v>
      </c>
    </row>
    <row r="3239" customFormat="false" ht="15" hidden="false" customHeight="false" outlineLevel="0" collapsed="false">
      <c r="A3239" s="12" t="s">
        <v>715</v>
      </c>
      <c r="B3239" s="12" t="n">
        <f aca="false">COUNTIFS(Cleaned!$D$2:$D$125,12,Cleaned!EZ$2:EZ$125,"&lt;&gt;")</f>
        <v>0</v>
      </c>
      <c r="C3239" s="15" t="str">
        <f aca="false">IF(B3239=0,"",AVERAGEIF(Cleaned!$D$2:$D$125,12,Cleaned!EZ$2:EZ$125))</f>
        <v/>
      </c>
    </row>
    <row r="3242" customFormat="false" ht="15" hidden="false" customHeight="false" outlineLevel="0" collapsed="false">
      <c r="A3242" s="6" t="s">
        <v>156</v>
      </c>
      <c r="B3242" s="7" t="s">
        <v>900</v>
      </c>
    </row>
    <row r="3243" customFormat="false" ht="15" hidden="false" customHeight="false" outlineLevel="0" collapsed="false">
      <c r="A3243" s="11" t="s">
        <v>734</v>
      </c>
      <c r="B3243" s="9" t="s">
        <v>694</v>
      </c>
      <c r="C3243" s="9" t="s">
        <v>735</v>
      </c>
      <c r="D3243" s="9" t="s">
        <v>736</v>
      </c>
      <c r="E3243" s="9" t="s">
        <v>737</v>
      </c>
      <c r="F3243" s="9" t="s">
        <v>738</v>
      </c>
    </row>
    <row r="3244" customFormat="false" ht="15" hidden="false" customHeight="false" outlineLevel="0" collapsed="false">
      <c r="B3244" s="12" t="n">
        <f aca="false">COUNT(Cleaned!$FA$2:$FA$125)</f>
        <v>16</v>
      </c>
      <c r="C3244" s="12" t="n">
        <f aca="false">IFERROR(AVERAGE(Cleaned!$FA$2:$FA$125),"")</f>
        <v>21.2865625</v>
      </c>
      <c r="D3244" s="12" t="n">
        <f aca="false">IFERROR(MEDIAN(Cleaned!$FA$2:$FA$125),"")</f>
        <v>0.035</v>
      </c>
      <c r="E3244" s="12" t="n">
        <f aca="false">IFERROR(MIN(Cleaned!$FA$2:$FA$125),"")</f>
        <v>0</v>
      </c>
      <c r="F3244" s="12" t="n">
        <f aca="false">IFERROR(MAX(Cleaned!$FA$2:$FA$125),"")</f>
        <v>100</v>
      </c>
    </row>
    <row r="3245" customFormat="false" ht="15" hidden="false" customHeight="false" outlineLevel="0" collapsed="false">
      <c r="A3245" s="11" t="s">
        <v>697</v>
      </c>
      <c r="B3245" s="9" t="s">
        <v>739</v>
      </c>
      <c r="C3245" s="9" t="s">
        <v>735</v>
      </c>
    </row>
    <row r="3246" customFormat="false" ht="15" hidden="false" customHeight="false" outlineLevel="0" collapsed="false">
      <c r="A3246" s="12" t="s">
        <v>698</v>
      </c>
      <c r="B3246" s="12" t="n">
        <f aca="false">COUNTIFS(Cleaned!$C$2:$C$125,1,Cleaned!FA$2:FA$125,"&lt;&gt;")</f>
        <v>0</v>
      </c>
      <c r="C3246" s="15" t="str">
        <f aca="false">IF(B3246=0,"",AVERAGEIF(Cleaned!$C$2:$C$125,1,Cleaned!FA$2:FA$125))</f>
        <v/>
      </c>
    </row>
    <row r="3247" customFormat="false" ht="15" hidden="false" customHeight="false" outlineLevel="0" collapsed="false">
      <c r="A3247" s="12" t="s">
        <v>699</v>
      </c>
      <c r="B3247" s="12" t="n">
        <f aca="false">COUNTIFS(Cleaned!$C$2:$C$125,2,Cleaned!FA$2:FA$125,"&lt;&gt;")</f>
        <v>3</v>
      </c>
      <c r="C3247" s="15" t="n">
        <f aca="false">IF(B3247=0,"",AVERAGEIF(Cleaned!$C$2:$C$125,2,Cleaned!FA$2:FA$125))</f>
        <v>17.34</v>
      </c>
    </row>
    <row r="3248" customFormat="false" ht="15" hidden="false" customHeight="false" outlineLevel="0" collapsed="false">
      <c r="A3248" s="12" t="s">
        <v>700</v>
      </c>
      <c r="B3248" s="12" t="n">
        <f aca="false">COUNTIFS(Cleaned!$C$2:$C$125,3,Cleaned!FA$2:FA$125,"&lt;&gt;")</f>
        <v>3</v>
      </c>
      <c r="C3248" s="15" t="n">
        <f aca="false">IF(B3248=0,"",AVERAGEIF(Cleaned!$C$2:$C$125,3,Cleaned!FA$2:FA$125))</f>
        <v>33.3333333333333</v>
      </c>
    </row>
    <row r="3249" customFormat="false" ht="15" hidden="false" customHeight="false" outlineLevel="0" collapsed="false">
      <c r="A3249" s="12" t="s">
        <v>701</v>
      </c>
      <c r="B3249" s="12" t="n">
        <f aca="false">COUNTIFS(Cleaned!$C$2:$C$125,4,Cleaned!FA$2:FA$125,"&lt;&gt;")</f>
        <v>3</v>
      </c>
      <c r="C3249" s="15" t="n">
        <f aca="false">IF(B3249=0,"",AVERAGEIF(Cleaned!$C$2:$C$125,4,Cleaned!FA$2:FA$125))</f>
        <v>0.005</v>
      </c>
    </row>
    <row r="3250" customFormat="false" ht="15" hidden="false" customHeight="false" outlineLevel="0" collapsed="false">
      <c r="A3250" s="12" t="s">
        <v>702</v>
      </c>
      <c r="B3250" s="12" t="n">
        <f aca="false">COUNTIFS(Cleaned!$C$2:$C$125,5,Cleaned!FA$2:FA$125,"&lt;&gt;")</f>
        <v>7</v>
      </c>
      <c r="C3250" s="15" t="n">
        <f aca="false">IF(B3250=0,"",AVERAGEIF(Cleaned!$C$2:$C$125,5,Cleaned!FA$2:FA$125))</f>
        <v>26.9357142857143</v>
      </c>
    </row>
    <row r="3251" customFormat="false" ht="15" hidden="false" customHeight="false" outlineLevel="0" collapsed="false">
      <c r="A3251" s="11" t="s">
        <v>3</v>
      </c>
      <c r="B3251" s="9" t="s">
        <v>739</v>
      </c>
      <c r="C3251" s="9" t="s">
        <v>735</v>
      </c>
    </row>
    <row r="3252" customFormat="false" ht="15" hidden="false" customHeight="false" outlineLevel="0" collapsed="false">
      <c r="A3252" s="12" t="s">
        <v>704</v>
      </c>
      <c r="B3252" s="12" t="n">
        <f aca="false">COUNTIFS(Cleaned!$D$2:$D$125,1,Cleaned!FA$2:FA$125,"&lt;&gt;")</f>
        <v>0</v>
      </c>
      <c r="C3252" s="15" t="str">
        <f aca="false">IF(B3252=0,"",AVERAGEIF(Cleaned!$D$2:$D$125,1,Cleaned!FA$2:FA$125))</f>
        <v/>
      </c>
    </row>
    <row r="3253" customFormat="false" ht="15" hidden="false" customHeight="false" outlineLevel="0" collapsed="false">
      <c r="A3253" s="12" t="s">
        <v>705</v>
      </c>
      <c r="B3253" s="12" t="n">
        <f aca="false">COUNTIFS(Cleaned!$D$2:$D$125,2,Cleaned!FA$2:FA$125,"&lt;&gt;")</f>
        <v>4</v>
      </c>
      <c r="C3253" s="15" t="n">
        <f aca="false">IF(B3253=0,"",AVERAGEIF(Cleaned!$D$2:$D$125,2,Cleaned!FA$2:FA$125))</f>
        <v>1.0125</v>
      </c>
    </row>
    <row r="3254" customFormat="false" ht="15" hidden="false" customHeight="false" outlineLevel="0" collapsed="false">
      <c r="A3254" s="12" t="s">
        <v>706</v>
      </c>
      <c r="B3254" s="12" t="n">
        <f aca="false">COUNTIFS(Cleaned!$D$2:$D$125,3,Cleaned!FA$2:FA$125,"&lt;&gt;")</f>
        <v>4</v>
      </c>
      <c r="C3254" s="15" t="n">
        <f aca="false">IF(B3254=0,"",AVERAGEIF(Cleaned!$D$2:$D$125,3,Cleaned!FA$2:FA$125))</f>
        <v>46.005</v>
      </c>
    </row>
    <row r="3255" customFormat="false" ht="15" hidden="false" customHeight="false" outlineLevel="0" collapsed="false">
      <c r="A3255" s="12" t="s">
        <v>707</v>
      </c>
      <c r="B3255" s="12" t="n">
        <f aca="false">COUNTIFS(Cleaned!$D$2:$D$125,4,Cleaned!FA$2:FA$125,"&lt;&gt;")</f>
        <v>2</v>
      </c>
      <c r="C3255" s="15" t="n">
        <f aca="false">IF(B3255=0,"",AVERAGEIF(Cleaned!$D$2:$D$125,4,Cleaned!FA$2:FA$125))</f>
        <v>50.0075</v>
      </c>
    </row>
    <row r="3256" customFormat="false" ht="15" hidden="false" customHeight="false" outlineLevel="0" collapsed="false">
      <c r="A3256" s="12" t="s">
        <v>708</v>
      </c>
      <c r="B3256" s="12" t="n">
        <f aca="false">COUNTIFS(Cleaned!$D$2:$D$125,5,Cleaned!FA$2:FA$125,"&lt;&gt;")</f>
        <v>0</v>
      </c>
      <c r="C3256" s="15" t="str">
        <f aca="false">IF(B3256=0,"",AVERAGEIF(Cleaned!$D$2:$D$125,5,Cleaned!FA$2:FA$125))</f>
        <v/>
      </c>
    </row>
    <row r="3257" customFormat="false" ht="15" hidden="false" customHeight="false" outlineLevel="0" collapsed="false">
      <c r="A3257" s="12" t="s">
        <v>709</v>
      </c>
      <c r="B3257" s="12" t="n">
        <f aca="false">COUNTIFS(Cleaned!$D$2:$D$125,6,Cleaned!FA$2:FA$125,"&lt;&gt;")</f>
        <v>1</v>
      </c>
      <c r="C3257" s="15" t="n">
        <f aca="false">IF(B3257=0,"",AVERAGEIF(Cleaned!$D$2:$D$125,6,Cleaned!FA$2:FA$125))</f>
        <v>0</v>
      </c>
    </row>
    <row r="3258" customFormat="false" ht="15" hidden="false" customHeight="false" outlineLevel="0" collapsed="false">
      <c r="A3258" s="12" t="s">
        <v>710</v>
      </c>
      <c r="B3258" s="12" t="n">
        <f aca="false">COUNTIFS(Cleaned!$D$2:$D$125,7,Cleaned!FA$2:FA$125,"&lt;&gt;")</f>
        <v>1</v>
      </c>
      <c r="C3258" s="15" t="n">
        <f aca="false">IF(B3258=0,"",AVERAGEIF(Cleaned!$D$2:$D$125,7,Cleaned!FA$2:FA$125))</f>
        <v>0.5</v>
      </c>
    </row>
    <row r="3259" customFormat="false" ht="15" hidden="false" customHeight="false" outlineLevel="0" collapsed="false">
      <c r="A3259" s="12" t="s">
        <v>711</v>
      </c>
      <c r="B3259" s="12" t="n">
        <f aca="false">COUNTIFS(Cleaned!$D$2:$D$125,8,Cleaned!FA$2:FA$125,"&lt;&gt;")</f>
        <v>0</v>
      </c>
      <c r="C3259" s="15" t="str">
        <f aca="false">IF(B3259=0,"",AVERAGEIF(Cleaned!$D$2:$D$125,8,Cleaned!FA$2:FA$125))</f>
        <v/>
      </c>
    </row>
    <row r="3260" customFormat="false" ht="15" hidden="false" customHeight="false" outlineLevel="0" collapsed="false">
      <c r="A3260" s="12" t="s">
        <v>712</v>
      </c>
      <c r="B3260" s="12" t="n">
        <f aca="false">COUNTIFS(Cleaned!$D$2:$D$125,9,Cleaned!FA$2:FA$125,"&lt;&gt;")</f>
        <v>0</v>
      </c>
      <c r="C3260" s="15" t="str">
        <f aca="false">IF(B3260=0,"",AVERAGEIF(Cleaned!$D$2:$D$125,9,Cleaned!FA$2:FA$125))</f>
        <v/>
      </c>
    </row>
    <row r="3261" customFormat="false" ht="15" hidden="false" customHeight="false" outlineLevel="0" collapsed="false">
      <c r="A3261" s="12" t="s">
        <v>713</v>
      </c>
      <c r="B3261" s="12" t="n">
        <f aca="false">COUNTIFS(Cleaned!$D$2:$D$125,10,Cleaned!FA$2:FA$125,"&lt;&gt;")</f>
        <v>0</v>
      </c>
      <c r="C3261" s="15" t="str">
        <f aca="false">IF(B3261=0,"",AVERAGEIF(Cleaned!$D$2:$D$125,10,Cleaned!FA$2:FA$125))</f>
        <v/>
      </c>
    </row>
    <row r="3262" customFormat="false" ht="15" hidden="false" customHeight="false" outlineLevel="0" collapsed="false">
      <c r="A3262" s="12" t="s">
        <v>714</v>
      </c>
      <c r="B3262" s="12" t="n">
        <f aca="false">COUNTIFS(Cleaned!$D$2:$D$125,11,Cleaned!FA$2:FA$125,"&lt;&gt;")</f>
        <v>4</v>
      </c>
      <c r="C3262" s="15" t="n">
        <f aca="false">IF(B3262=0,"",AVERAGEIF(Cleaned!$D$2:$D$125,11,Cleaned!FA$2:FA$125))</f>
        <v>13</v>
      </c>
    </row>
    <row r="3263" customFormat="false" ht="15" hidden="false" customHeight="false" outlineLevel="0" collapsed="false">
      <c r="A3263" s="12" t="s">
        <v>715</v>
      </c>
      <c r="B3263" s="12" t="n">
        <f aca="false">COUNTIFS(Cleaned!$D$2:$D$125,12,Cleaned!FA$2:FA$125,"&lt;&gt;")</f>
        <v>0</v>
      </c>
      <c r="C3263" s="15" t="str">
        <f aca="false">IF(B3263=0,"",AVERAGEIF(Cleaned!$D$2:$D$125,12,Cleaned!FA$2:FA$125))</f>
        <v/>
      </c>
    </row>
    <row r="3266" customFormat="false" ht="15" hidden="false" customHeight="false" outlineLevel="0" collapsed="false">
      <c r="A3266" s="6" t="s">
        <v>157</v>
      </c>
      <c r="B3266" s="7" t="s">
        <v>901</v>
      </c>
    </row>
    <row r="3267" customFormat="false" ht="15" hidden="false" customHeight="false" outlineLevel="0" collapsed="false">
      <c r="A3267" s="11" t="s">
        <v>734</v>
      </c>
      <c r="B3267" s="9" t="s">
        <v>694</v>
      </c>
      <c r="C3267" s="9" t="s">
        <v>735</v>
      </c>
      <c r="D3267" s="9" t="s">
        <v>736</v>
      </c>
      <c r="E3267" s="9" t="s">
        <v>737</v>
      </c>
      <c r="F3267" s="9" t="s">
        <v>738</v>
      </c>
    </row>
    <row r="3268" customFormat="false" ht="15" hidden="false" customHeight="false" outlineLevel="0" collapsed="false">
      <c r="B3268" s="12" t="n">
        <f aca="false">COUNT(Cleaned!$FB$2:$FB$125)</f>
        <v>25</v>
      </c>
      <c r="C3268" s="12" t="n">
        <f aca="false">IFERROR(AVERAGE(Cleaned!$FB$2:$FB$125),"")</f>
        <v>35.7286</v>
      </c>
      <c r="D3268" s="12" t="n">
        <f aca="false">IFERROR(MEDIAN(Cleaned!$FB$2:$FB$125),"")</f>
        <v>5</v>
      </c>
      <c r="E3268" s="12" t="n">
        <f aca="false">IFERROR(MIN(Cleaned!$FB$2:$FB$125),"")</f>
        <v>0</v>
      </c>
      <c r="F3268" s="12" t="n">
        <f aca="false">IFERROR(MAX(Cleaned!$FB$2:$FB$125),"")</f>
        <v>100</v>
      </c>
    </row>
    <row r="3269" customFormat="false" ht="15" hidden="false" customHeight="false" outlineLevel="0" collapsed="false">
      <c r="A3269" s="11" t="s">
        <v>697</v>
      </c>
      <c r="B3269" s="9" t="s">
        <v>739</v>
      </c>
      <c r="C3269" s="9" t="s">
        <v>735</v>
      </c>
    </row>
    <row r="3270" customFormat="false" ht="15" hidden="false" customHeight="false" outlineLevel="0" collapsed="false">
      <c r="A3270" s="12" t="s">
        <v>698</v>
      </c>
      <c r="B3270" s="12" t="n">
        <f aca="false">COUNTIFS(Cleaned!$C$2:$C$125,1,Cleaned!FB$2:FB$125,"&lt;&gt;")</f>
        <v>2</v>
      </c>
      <c r="C3270" s="15" t="n">
        <f aca="false">IF(B3270=0,"",AVERAGEIF(Cleaned!$C$2:$C$125,1,Cleaned!FB$2:FB$125))</f>
        <v>100</v>
      </c>
    </row>
    <row r="3271" customFormat="false" ht="15" hidden="false" customHeight="false" outlineLevel="0" collapsed="false">
      <c r="A3271" s="12" t="s">
        <v>699</v>
      </c>
      <c r="B3271" s="12" t="n">
        <f aca="false">COUNTIFS(Cleaned!$C$2:$C$125,2,Cleaned!FB$2:FB$125,"&lt;&gt;")</f>
        <v>3</v>
      </c>
      <c r="C3271" s="15" t="n">
        <f aca="false">IF(B3271=0,"",AVERAGEIF(Cleaned!$C$2:$C$125,2,Cleaned!FB$2:FB$125))</f>
        <v>70</v>
      </c>
    </row>
    <row r="3272" customFormat="false" ht="15" hidden="false" customHeight="false" outlineLevel="0" collapsed="false">
      <c r="A3272" s="12" t="s">
        <v>700</v>
      </c>
      <c r="B3272" s="12" t="n">
        <f aca="false">COUNTIFS(Cleaned!$C$2:$C$125,3,Cleaned!FB$2:FB$125,"&lt;&gt;")</f>
        <v>4</v>
      </c>
      <c r="C3272" s="15" t="n">
        <f aca="false">IF(B3272=0,"",AVERAGEIF(Cleaned!$C$2:$C$125,3,Cleaned!FB$2:FB$125))</f>
        <v>18.25</v>
      </c>
    </row>
    <row r="3273" customFormat="false" ht="15" hidden="false" customHeight="false" outlineLevel="0" collapsed="false">
      <c r="A3273" s="12" t="s">
        <v>701</v>
      </c>
      <c r="B3273" s="12" t="n">
        <f aca="false">COUNTIFS(Cleaned!$C$2:$C$125,4,Cleaned!FB$2:FB$125,"&lt;&gt;")</f>
        <v>4</v>
      </c>
      <c r="C3273" s="15" t="n">
        <f aca="false">IF(B3273=0,"",AVERAGEIF(Cleaned!$C$2:$C$125,4,Cleaned!FB$2:FB$125))</f>
        <v>2.76375</v>
      </c>
    </row>
    <row r="3274" customFormat="false" ht="15" hidden="false" customHeight="false" outlineLevel="0" collapsed="false">
      <c r="A3274" s="12" t="s">
        <v>702</v>
      </c>
      <c r="B3274" s="12" t="n">
        <f aca="false">COUNTIFS(Cleaned!$C$2:$C$125,5,Cleaned!FB$2:FB$125,"&lt;&gt;")</f>
        <v>12</v>
      </c>
      <c r="C3274" s="15" t="n">
        <f aca="false">IF(B3274=0,"",AVERAGEIF(Cleaned!$C$2:$C$125,5,Cleaned!FB$2:FB$125))</f>
        <v>33.2633333333333</v>
      </c>
    </row>
    <row r="3275" customFormat="false" ht="15" hidden="false" customHeight="false" outlineLevel="0" collapsed="false">
      <c r="A3275" s="11" t="s">
        <v>3</v>
      </c>
      <c r="B3275" s="9" t="s">
        <v>739</v>
      </c>
      <c r="C3275" s="9" t="s">
        <v>735</v>
      </c>
    </row>
    <row r="3276" customFormat="false" ht="15" hidden="false" customHeight="false" outlineLevel="0" collapsed="false">
      <c r="A3276" s="12" t="s">
        <v>704</v>
      </c>
      <c r="B3276" s="12" t="n">
        <f aca="false">COUNTIFS(Cleaned!$D$2:$D$125,1,Cleaned!FB$2:FB$125,"&lt;&gt;")</f>
        <v>2</v>
      </c>
      <c r="C3276" s="15" t="n">
        <f aca="false">IF(B3276=0,"",AVERAGEIF(Cleaned!$D$2:$D$125,1,Cleaned!FB$2:FB$125))</f>
        <v>35.5</v>
      </c>
    </row>
    <row r="3277" customFormat="false" ht="15" hidden="false" customHeight="false" outlineLevel="0" collapsed="false">
      <c r="A3277" s="12" t="s">
        <v>705</v>
      </c>
      <c r="B3277" s="12" t="n">
        <f aca="false">COUNTIFS(Cleaned!$D$2:$D$125,2,Cleaned!FB$2:FB$125,"&lt;&gt;")</f>
        <v>8</v>
      </c>
      <c r="C3277" s="15" t="n">
        <f aca="false">IF(B3277=0,"",AVERAGEIF(Cleaned!$D$2:$D$125,2,Cleaned!FB$2:FB$125))</f>
        <v>24.71375</v>
      </c>
    </row>
    <row r="3278" customFormat="false" ht="15" hidden="false" customHeight="false" outlineLevel="0" collapsed="false">
      <c r="A3278" s="12" t="s">
        <v>706</v>
      </c>
      <c r="B3278" s="12" t="n">
        <f aca="false">COUNTIFS(Cleaned!$D$2:$D$125,3,Cleaned!FB$2:FB$125,"&lt;&gt;")</f>
        <v>2</v>
      </c>
      <c r="C3278" s="15" t="n">
        <f aca="false">IF(B3278=0,"",AVERAGEIF(Cleaned!$D$2:$D$125,3,Cleaned!FB$2:FB$125))</f>
        <v>0.5</v>
      </c>
    </row>
    <row r="3279" customFormat="false" ht="15" hidden="false" customHeight="false" outlineLevel="0" collapsed="false">
      <c r="A3279" s="12" t="s">
        <v>707</v>
      </c>
      <c r="B3279" s="12" t="n">
        <f aca="false">COUNTIFS(Cleaned!$D$2:$D$125,4,Cleaned!FB$2:FB$125,"&lt;&gt;")</f>
        <v>0</v>
      </c>
      <c r="C3279" s="15" t="str">
        <f aca="false">IF(B3279=0,"",AVERAGEIF(Cleaned!$D$2:$D$125,4,Cleaned!FB$2:FB$125))</f>
        <v/>
      </c>
    </row>
    <row r="3280" customFormat="false" ht="15" hidden="false" customHeight="false" outlineLevel="0" collapsed="false">
      <c r="A3280" s="12" t="s">
        <v>708</v>
      </c>
      <c r="B3280" s="12" t="n">
        <f aca="false">COUNTIFS(Cleaned!$D$2:$D$125,5,Cleaned!FB$2:FB$125,"&lt;&gt;")</f>
        <v>0</v>
      </c>
      <c r="C3280" s="15" t="str">
        <f aca="false">IF(B3280=0,"",AVERAGEIF(Cleaned!$D$2:$D$125,5,Cleaned!FB$2:FB$125))</f>
        <v/>
      </c>
    </row>
    <row r="3281" customFormat="false" ht="15" hidden="false" customHeight="false" outlineLevel="0" collapsed="false">
      <c r="A3281" s="12" t="s">
        <v>709</v>
      </c>
      <c r="B3281" s="12" t="n">
        <f aca="false">COUNTIFS(Cleaned!$D$2:$D$125,6,Cleaned!FB$2:FB$125,"&lt;&gt;")</f>
        <v>2</v>
      </c>
      <c r="C3281" s="15" t="n">
        <f aca="false">IF(B3281=0,"",AVERAGEIF(Cleaned!$D$2:$D$125,6,Cleaned!FB$2:FB$125))</f>
        <v>2.5275</v>
      </c>
    </row>
    <row r="3282" customFormat="false" ht="15" hidden="false" customHeight="false" outlineLevel="0" collapsed="false">
      <c r="A3282" s="12" t="s">
        <v>710</v>
      </c>
      <c r="B3282" s="12" t="n">
        <f aca="false">COUNTIFS(Cleaned!$D$2:$D$125,7,Cleaned!FB$2:FB$125,"&lt;&gt;")</f>
        <v>4</v>
      </c>
      <c r="C3282" s="15" t="n">
        <f aca="false">IF(B3282=0,"",AVERAGEIF(Cleaned!$D$2:$D$125,7,Cleaned!FB$2:FB$125))</f>
        <v>75.1125</v>
      </c>
    </row>
    <row r="3283" customFormat="false" ht="15" hidden="false" customHeight="false" outlineLevel="0" collapsed="false">
      <c r="A3283" s="12" t="s">
        <v>711</v>
      </c>
      <c r="B3283" s="12" t="n">
        <f aca="false">COUNTIFS(Cleaned!$D$2:$D$125,8,Cleaned!FB$2:FB$125,"&lt;&gt;")</f>
        <v>2</v>
      </c>
      <c r="C3283" s="15" t="n">
        <f aca="false">IF(B3283=0,"",AVERAGEIF(Cleaned!$D$2:$D$125,8,Cleaned!FB$2:FB$125))</f>
        <v>52.5</v>
      </c>
    </row>
    <row r="3284" customFormat="false" ht="15" hidden="false" customHeight="false" outlineLevel="0" collapsed="false">
      <c r="A3284" s="12" t="s">
        <v>712</v>
      </c>
      <c r="B3284" s="12" t="n">
        <f aca="false">COUNTIFS(Cleaned!$D$2:$D$125,9,Cleaned!FB$2:FB$125,"&lt;&gt;")</f>
        <v>0</v>
      </c>
      <c r="C3284" s="15" t="str">
        <f aca="false">IF(B3284=0,"",AVERAGEIF(Cleaned!$D$2:$D$125,9,Cleaned!FB$2:FB$125))</f>
        <v/>
      </c>
    </row>
    <row r="3285" customFormat="false" ht="15" hidden="false" customHeight="false" outlineLevel="0" collapsed="false">
      <c r="A3285" s="12" t="s">
        <v>713</v>
      </c>
      <c r="B3285" s="12" t="n">
        <f aca="false">COUNTIFS(Cleaned!$D$2:$D$125,10,Cleaned!FB$2:FB$125,"&lt;&gt;")</f>
        <v>0</v>
      </c>
      <c r="C3285" s="15" t="str">
        <f aca="false">IF(B3285=0,"",AVERAGEIF(Cleaned!$D$2:$D$125,10,Cleaned!FB$2:FB$125))</f>
        <v/>
      </c>
    </row>
    <row r="3286" customFormat="false" ht="15" hidden="false" customHeight="false" outlineLevel="0" collapsed="false">
      <c r="A3286" s="12" t="s">
        <v>714</v>
      </c>
      <c r="B3286" s="12" t="n">
        <f aca="false">COUNTIFS(Cleaned!$D$2:$D$125,11,Cleaned!FB$2:FB$125,"&lt;&gt;")</f>
        <v>3</v>
      </c>
      <c r="C3286" s="15" t="n">
        <f aca="false">IF(B3286=0,"",AVERAGEIF(Cleaned!$D$2:$D$125,11,Cleaned!FB$2:FB$125))</f>
        <v>4.33333333333333</v>
      </c>
    </row>
    <row r="3287" customFormat="false" ht="15" hidden="false" customHeight="false" outlineLevel="0" collapsed="false">
      <c r="A3287" s="12" t="s">
        <v>715</v>
      </c>
      <c r="B3287" s="12" t="n">
        <f aca="false">COUNTIFS(Cleaned!$D$2:$D$125,12,Cleaned!FB$2:FB$125,"&lt;&gt;")</f>
        <v>2</v>
      </c>
      <c r="C3287" s="15" t="n">
        <f aca="false">IF(B3287=0,"",AVERAGEIF(Cleaned!$D$2:$D$125,12,Cleaned!FB$2:FB$125))</f>
        <v>100</v>
      </c>
    </row>
    <row r="3290" customFormat="false" ht="15" hidden="false" customHeight="false" outlineLevel="0" collapsed="false">
      <c r="A3290" s="6" t="s">
        <v>159</v>
      </c>
      <c r="B3290" s="7" t="s">
        <v>902</v>
      </c>
    </row>
    <row r="3291" customFormat="false" ht="15" hidden="false" customHeight="false" outlineLevel="0" collapsed="false">
      <c r="A3291" s="8"/>
      <c r="B3291" s="9" t="s">
        <v>726</v>
      </c>
      <c r="C3291" s="8"/>
      <c r="D3291" s="9" t="s">
        <v>362</v>
      </c>
      <c r="E3291" s="8"/>
      <c r="F3291" s="9" t="s">
        <v>694</v>
      </c>
    </row>
    <row r="3292" customFormat="false" ht="15" hidden="false" customHeight="false" outlineLevel="0" collapsed="false">
      <c r="B3292" s="10" t="s">
        <v>695</v>
      </c>
      <c r="C3292" s="10" t="s">
        <v>696</v>
      </c>
      <c r="D3292" s="10" t="s">
        <v>695</v>
      </c>
      <c r="E3292" s="10" t="s">
        <v>696</v>
      </c>
    </row>
    <row r="3293" customFormat="false" ht="15" hidden="false" customHeight="false" outlineLevel="0" collapsed="false">
      <c r="A3293" s="11" t="s">
        <v>697</v>
      </c>
    </row>
    <row r="3294" customFormat="false" ht="15" hidden="false" customHeight="false" outlineLevel="0" collapsed="false">
      <c r="A3294" s="12" t="s">
        <v>698</v>
      </c>
      <c r="B3294" s="12" t="n">
        <f aca="false">COUNTIFS(Cleaned!$C$2:$C$125,1,Cleaned!FD$2:FD$125,1)</f>
        <v>4</v>
      </c>
      <c r="C3294" s="13" t="n">
        <f aca="false">IFERROR(B3294/$F3294,"")</f>
        <v>0.5</v>
      </c>
      <c r="D3294" s="12" t="n">
        <f aca="false">COUNTIFS(Cleaned!$C$2:$C$125,1,Cleaned!FD$2:FD$125,2)</f>
        <v>4</v>
      </c>
      <c r="E3294" s="13" t="n">
        <f aca="false">IFERROR(D3294/$F3294,"")</f>
        <v>0.5</v>
      </c>
      <c r="F3294" s="12" t="n">
        <f aca="false">B3294+D3294</f>
        <v>8</v>
      </c>
    </row>
    <row r="3295" customFormat="false" ht="15" hidden="false" customHeight="false" outlineLevel="0" collapsed="false">
      <c r="A3295" s="12" t="s">
        <v>699</v>
      </c>
      <c r="B3295" s="12" t="n">
        <f aca="false">COUNTIFS(Cleaned!$C$2:$C$125,2,Cleaned!FD$2:FD$125,1)</f>
        <v>5</v>
      </c>
      <c r="C3295" s="13" t="n">
        <f aca="false">IFERROR(B3295/$F3295,"")</f>
        <v>0.833333333333333</v>
      </c>
      <c r="D3295" s="12" t="n">
        <f aca="false">COUNTIFS(Cleaned!$C$2:$C$125,2,Cleaned!FD$2:FD$125,2)</f>
        <v>1</v>
      </c>
      <c r="E3295" s="13" t="n">
        <f aca="false">IFERROR(D3295/$F3295,"")</f>
        <v>0.166666666666667</v>
      </c>
      <c r="F3295" s="12" t="n">
        <f aca="false">B3295+D3295</f>
        <v>6</v>
      </c>
    </row>
    <row r="3296" customFormat="false" ht="15" hidden="false" customHeight="false" outlineLevel="0" collapsed="false">
      <c r="A3296" s="12" t="s">
        <v>700</v>
      </c>
      <c r="B3296" s="12" t="n">
        <f aca="false">COUNTIFS(Cleaned!$C$2:$C$125,3,Cleaned!FD$2:FD$125,1)</f>
        <v>11</v>
      </c>
      <c r="C3296" s="13" t="n">
        <f aca="false">IFERROR(B3296/$F3296,"")</f>
        <v>1</v>
      </c>
      <c r="D3296" s="12" t="n">
        <f aca="false">COUNTIFS(Cleaned!$C$2:$C$125,3,Cleaned!FD$2:FD$125,2)</f>
        <v>0</v>
      </c>
      <c r="E3296" s="13" t="n">
        <f aca="false">IFERROR(D3296/$F3296,"")</f>
        <v>0</v>
      </c>
      <c r="F3296" s="12" t="n">
        <f aca="false">B3296+D3296</f>
        <v>11</v>
      </c>
    </row>
    <row r="3297" customFormat="false" ht="15" hidden="false" customHeight="false" outlineLevel="0" collapsed="false">
      <c r="A3297" s="12" t="s">
        <v>701</v>
      </c>
      <c r="B3297" s="12" t="n">
        <f aca="false">COUNTIFS(Cleaned!$C$2:$C$125,4,Cleaned!FD$2:FD$125,1)</f>
        <v>10</v>
      </c>
      <c r="C3297" s="13" t="n">
        <f aca="false">IFERROR(B3297/$F3297,"")</f>
        <v>0.909090909090909</v>
      </c>
      <c r="D3297" s="12" t="n">
        <f aca="false">COUNTIFS(Cleaned!$C$2:$C$125,4,Cleaned!FD$2:FD$125,2)</f>
        <v>1</v>
      </c>
      <c r="E3297" s="13" t="n">
        <f aca="false">IFERROR(D3297/$F3297,"")</f>
        <v>0.0909090909090909</v>
      </c>
      <c r="F3297" s="12" t="n">
        <f aca="false">B3297+D3297</f>
        <v>11</v>
      </c>
    </row>
    <row r="3298" customFormat="false" ht="15" hidden="false" customHeight="false" outlineLevel="0" collapsed="false">
      <c r="A3298" s="12" t="s">
        <v>702</v>
      </c>
      <c r="B3298" s="12" t="n">
        <f aca="false">COUNTIFS(Cleaned!$C$2:$C$125,5,Cleaned!FD$2:FD$125,1)</f>
        <v>20</v>
      </c>
      <c r="C3298" s="13" t="n">
        <f aca="false">IFERROR(B3298/$F3298,"")</f>
        <v>0.952380952380952</v>
      </c>
      <c r="D3298" s="12" t="n">
        <f aca="false">COUNTIFS(Cleaned!$C$2:$C$125,5,Cleaned!FD$2:FD$125,2)</f>
        <v>1</v>
      </c>
      <c r="E3298" s="13" t="n">
        <f aca="false">IFERROR(D3298/$F3298,"")</f>
        <v>0.0476190476190476</v>
      </c>
      <c r="F3298" s="12" t="n">
        <f aca="false">B3298+D3298</f>
        <v>21</v>
      </c>
    </row>
    <row r="3299" customFormat="false" ht="15" hidden="false" customHeight="false" outlineLevel="0" collapsed="false">
      <c r="A3299" s="11" t="s">
        <v>703</v>
      </c>
      <c r="B3299" s="11" t="n">
        <f aca="false">SUM(B3294:B3298)</f>
        <v>50</v>
      </c>
      <c r="C3299" s="14" t="n">
        <f aca="false">IFERROR(B3299/$F3299,"")</f>
        <v>0.87719298245614</v>
      </c>
      <c r="D3299" s="11" t="n">
        <f aca="false">SUM(D3294:D3298)</f>
        <v>7</v>
      </c>
      <c r="E3299" s="14" t="n">
        <f aca="false">IFERROR(D3299/$F3299,"")</f>
        <v>0.12280701754386</v>
      </c>
      <c r="F3299" s="11" t="n">
        <f aca="false">SUM(F3294:F3298)</f>
        <v>57</v>
      </c>
    </row>
    <row r="3300" customFormat="false" ht="15" hidden="false" customHeight="false" outlineLevel="0" collapsed="false">
      <c r="A3300" s="11" t="s">
        <v>3</v>
      </c>
    </row>
    <row r="3301" customFormat="false" ht="15" hidden="false" customHeight="false" outlineLevel="0" collapsed="false">
      <c r="A3301" s="12" t="s">
        <v>704</v>
      </c>
      <c r="B3301" s="12" t="n">
        <f aca="false">COUNTIFS(Cleaned!$D$2:$D$125,1,Cleaned!FD$2:FD$125,1)</f>
        <v>8</v>
      </c>
      <c r="C3301" s="13" t="n">
        <f aca="false">IFERROR(B3301/$F3301,"")</f>
        <v>0.8</v>
      </c>
      <c r="D3301" s="12" t="n">
        <f aca="false">COUNTIFS(Cleaned!$D$2:$D$125,1,Cleaned!FD$2:FD$125,2)</f>
        <v>2</v>
      </c>
      <c r="E3301" s="13" t="n">
        <f aca="false">IFERROR(D3301/$F3301,"")</f>
        <v>0.2</v>
      </c>
      <c r="F3301" s="12" t="n">
        <f aca="false">B3301+D3301</f>
        <v>10</v>
      </c>
    </row>
    <row r="3302" customFormat="false" ht="15" hidden="false" customHeight="false" outlineLevel="0" collapsed="false">
      <c r="A3302" s="12" t="s">
        <v>705</v>
      </c>
      <c r="B3302" s="12" t="n">
        <f aca="false">COUNTIFS(Cleaned!$D$2:$D$125,2,Cleaned!FD$2:FD$125,1)</f>
        <v>13</v>
      </c>
      <c r="C3302" s="13" t="n">
        <f aca="false">IFERROR(B3302/$F3302,"")</f>
        <v>0.928571428571429</v>
      </c>
      <c r="D3302" s="12" t="n">
        <f aca="false">COUNTIFS(Cleaned!$D$2:$D$125,2,Cleaned!FD$2:FD$125,2)</f>
        <v>1</v>
      </c>
      <c r="E3302" s="13" t="n">
        <f aca="false">IFERROR(D3302/$F3302,"")</f>
        <v>0.0714285714285714</v>
      </c>
      <c r="F3302" s="12" t="n">
        <f aca="false">B3302+D3302</f>
        <v>14</v>
      </c>
    </row>
    <row r="3303" customFormat="false" ht="15" hidden="false" customHeight="false" outlineLevel="0" collapsed="false">
      <c r="A3303" s="12" t="s">
        <v>706</v>
      </c>
      <c r="B3303" s="12" t="n">
        <f aca="false">COUNTIFS(Cleaned!$D$2:$D$125,3,Cleaned!FD$2:FD$125,1)</f>
        <v>5</v>
      </c>
      <c r="C3303" s="13" t="n">
        <f aca="false">IFERROR(B3303/$F3303,"")</f>
        <v>0.833333333333333</v>
      </c>
      <c r="D3303" s="12" t="n">
        <f aca="false">COUNTIFS(Cleaned!$D$2:$D$125,3,Cleaned!FD$2:FD$125,2)</f>
        <v>1</v>
      </c>
      <c r="E3303" s="13" t="n">
        <f aca="false">IFERROR(D3303/$F3303,"")</f>
        <v>0.166666666666667</v>
      </c>
      <c r="F3303" s="12" t="n">
        <f aca="false">B3303+D3303</f>
        <v>6</v>
      </c>
    </row>
    <row r="3304" customFormat="false" ht="15" hidden="false" customHeight="false" outlineLevel="0" collapsed="false">
      <c r="A3304" s="12" t="s">
        <v>707</v>
      </c>
      <c r="B3304" s="12" t="n">
        <f aca="false">COUNTIFS(Cleaned!$D$2:$D$125,4,Cleaned!FD$2:FD$125,1)</f>
        <v>4</v>
      </c>
      <c r="C3304" s="13" t="n">
        <f aca="false">IFERROR(B3304/$F3304,"")</f>
        <v>1</v>
      </c>
      <c r="D3304" s="12" t="n">
        <f aca="false">COUNTIFS(Cleaned!$D$2:$D$125,4,Cleaned!FD$2:FD$125,2)</f>
        <v>0</v>
      </c>
      <c r="E3304" s="13" t="n">
        <f aca="false">IFERROR(D3304/$F3304,"")</f>
        <v>0</v>
      </c>
      <c r="F3304" s="12" t="n">
        <f aca="false">B3304+D3304</f>
        <v>4</v>
      </c>
    </row>
    <row r="3305" customFormat="false" ht="15" hidden="false" customHeight="false" outlineLevel="0" collapsed="false">
      <c r="A3305" s="12" t="s">
        <v>708</v>
      </c>
      <c r="B3305" s="12" t="n">
        <f aca="false">COUNTIFS(Cleaned!$D$2:$D$125,5,Cleaned!FD$2:FD$125,1)</f>
        <v>1</v>
      </c>
      <c r="C3305" s="13" t="n">
        <f aca="false">IFERROR(B3305/$F3305,"")</f>
        <v>1</v>
      </c>
      <c r="D3305" s="12" t="n">
        <f aca="false">COUNTIFS(Cleaned!$D$2:$D$125,5,Cleaned!FD$2:FD$125,2)</f>
        <v>0</v>
      </c>
      <c r="E3305" s="13" t="n">
        <f aca="false">IFERROR(D3305/$F3305,"")</f>
        <v>0</v>
      </c>
      <c r="F3305" s="12" t="n">
        <f aca="false">B3305+D3305</f>
        <v>1</v>
      </c>
    </row>
    <row r="3306" customFormat="false" ht="15" hidden="false" customHeight="false" outlineLevel="0" collapsed="false">
      <c r="A3306" s="12" t="s">
        <v>709</v>
      </c>
      <c r="B3306" s="12" t="n">
        <f aca="false">COUNTIFS(Cleaned!$D$2:$D$125,6,Cleaned!FD$2:FD$125,1)</f>
        <v>2</v>
      </c>
      <c r="C3306" s="13" t="n">
        <f aca="false">IFERROR(B3306/$F3306,"")</f>
        <v>1</v>
      </c>
      <c r="D3306" s="12" t="n">
        <f aca="false">COUNTIFS(Cleaned!$D$2:$D$125,6,Cleaned!FD$2:FD$125,2)</f>
        <v>0</v>
      </c>
      <c r="E3306" s="13" t="n">
        <f aca="false">IFERROR(D3306/$F3306,"")</f>
        <v>0</v>
      </c>
      <c r="F3306" s="12" t="n">
        <f aca="false">B3306+D3306</f>
        <v>2</v>
      </c>
    </row>
    <row r="3307" customFormat="false" ht="15" hidden="false" customHeight="false" outlineLevel="0" collapsed="false">
      <c r="A3307" s="12" t="s">
        <v>710</v>
      </c>
      <c r="B3307" s="12" t="n">
        <f aca="false">COUNTIFS(Cleaned!$D$2:$D$125,7,Cleaned!FD$2:FD$125,1)</f>
        <v>6</v>
      </c>
      <c r="C3307" s="13" t="n">
        <f aca="false">IFERROR(B3307/$F3307,"")</f>
        <v>0.857142857142857</v>
      </c>
      <c r="D3307" s="12" t="n">
        <f aca="false">COUNTIFS(Cleaned!$D$2:$D$125,7,Cleaned!FD$2:FD$125,2)</f>
        <v>1</v>
      </c>
      <c r="E3307" s="13" t="n">
        <f aca="false">IFERROR(D3307/$F3307,"")</f>
        <v>0.142857142857143</v>
      </c>
      <c r="F3307" s="12" t="n">
        <f aca="false">B3307+D3307</f>
        <v>7</v>
      </c>
    </row>
    <row r="3308" customFormat="false" ht="15" hidden="false" customHeight="false" outlineLevel="0" collapsed="false">
      <c r="A3308" s="12" t="s">
        <v>711</v>
      </c>
      <c r="B3308" s="12" t="n">
        <f aca="false">COUNTIFS(Cleaned!$D$2:$D$125,8,Cleaned!FD$2:FD$125,1)</f>
        <v>2</v>
      </c>
      <c r="C3308" s="13" t="n">
        <f aca="false">IFERROR(B3308/$F3308,"")</f>
        <v>0.666666666666667</v>
      </c>
      <c r="D3308" s="12" t="n">
        <f aca="false">COUNTIFS(Cleaned!$D$2:$D$125,8,Cleaned!FD$2:FD$125,2)</f>
        <v>1</v>
      </c>
      <c r="E3308" s="13" t="n">
        <f aca="false">IFERROR(D3308/$F3308,"")</f>
        <v>0.333333333333333</v>
      </c>
      <c r="F3308" s="12" t="n">
        <f aca="false">B3308+D3308</f>
        <v>3</v>
      </c>
    </row>
    <row r="3309" customFormat="false" ht="15" hidden="false" customHeight="false" outlineLevel="0" collapsed="false">
      <c r="A3309" s="12" t="s">
        <v>712</v>
      </c>
      <c r="B3309" s="12" t="n">
        <f aca="false">COUNTIFS(Cleaned!$D$2:$D$125,9,Cleaned!FD$2:FD$125,1)</f>
        <v>2</v>
      </c>
      <c r="C3309" s="13" t="n">
        <f aca="false">IFERROR(B3309/$F3309,"")</f>
        <v>1</v>
      </c>
      <c r="D3309" s="12" t="n">
        <f aca="false">COUNTIFS(Cleaned!$D$2:$D$125,9,Cleaned!FD$2:FD$125,2)</f>
        <v>0</v>
      </c>
      <c r="E3309" s="13" t="n">
        <f aca="false">IFERROR(D3309/$F3309,"")</f>
        <v>0</v>
      </c>
      <c r="F3309" s="12" t="n">
        <f aca="false">B3309+D3309</f>
        <v>2</v>
      </c>
    </row>
    <row r="3310" customFormat="false" ht="15" hidden="false" customHeight="false" outlineLevel="0" collapsed="false">
      <c r="A3310" s="12" t="s">
        <v>713</v>
      </c>
      <c r="B3310" s="12" t="n">
        <f aca="false">COUNTIFS(Cleaned!$D$2:$D$125,10,Cleaned!FD$2:FD$125,1)</f>
        <v>0</v>
      </c>
      <c r="C3310" s="13" t="str">
        <f aca="false">IFERROR(B3310/$F3310,"")</f>
        <v/>
      </c>
      <c r="D3310" s="12" t="n">
        <f aca="false">COUNTIFS(Cleaned!$D$2:$D$125,10,Cleaned!FD$2:FD$125,2)</f>
        <v>0</v>
      </c>
      <c r="E3310" s="13" t="str">
        <f aca="false">IFERROR(D3310/$F3310,"")</f>
        <v/>
      </c>
      <c r="F3310" s="12" t="n">
        <f aca="false">B3310+D3310</f>
        <v>0</v>
      </c>
    </row>
    <row r="3311" customFormat="false" ht="15" hidden="false" customHeight="false" outlineLevel="0" collapsed="false">
      <c r="A3311" s="12" t="s">
        <v>714</v>
      </c>
      <c r="B3311" s="12" t="n">
        <f aca="false">COUNTIFS(Cleaned!$D$2:$D$125,11,Cleaned!FD$2:FD$125,1)</f>
        <v>4</v>
      </c>
      <c r="C3311" s="13" t="n">
        <f aca="false">IFERROR(B3311/$F3311,"")</f>
        <v>0.8</v>
      </c>
      <c r="D3311" s="12" t="n">
        <f aca="false">COUNTIFS(Cleaned!$D$2:$D$125,11,Cleaned!FD$2:FD$125,2)</f>
        <v>1</v>
      </c>
      <c r="E3311" s="13" t="n">
        <f aca="false">IFERROR(D3311/$F3311,"")</f>
        <v>0.2</v>
      </c>
      <c r="F3311" s="12" t="n">
        <f aca="false">B3311+D3311</f>
        <v>5</v>
      </c>
    </row>
    <row r="3312" customFormat="false" ht="15" hidden="false" customHeight="false" outlineLevel="0" collapsed="false">
      <c r="A3312" s="12" t="s">
        <v>715</v>
      </c>
      <c r="B3312" s="12" t="n">
        <f aca="false">COUNTIFS(Cleaned!$D$2:$D$125,12,Cleaned!FD$2:FD$125,1)</f>
        <v>3</v>
      </c>
      <c r="C3312" s="13" t="n">
        <f aca="false">IFERROR(B3312/$F3312,"")</f>
        <v>1</v>
      </c>
      <c r="D3312" s="12" t="n">
        <f aca="false">COUNTIFS(Cleaned!$D$2:$D$125,12,Cleaned!FD$2:FD$125,2)</f>
        <v>0</v>
      </c>
      <c r="E3312" s="13" t="n">
        <f aca="false">IFERROR(D3312/$F3312,"")</f>
        <v>0</v>
      </c>
      <c r="F3312" s="12" t="n">
        <f aca="false">B3312+D3312</f>
        <v>3</v>
      </c>
    </row>
    <row r="3313" customFormat="false" ht="15" hidden="false" customHeight="false" outlineLevel="0" collapsed="false">
      <c r="A3313" s="11" t="s">
        <v>716</v>
      </c>
      <c r="B3313" s="11" t="n">
        <f aca="false">SUM(B3301:B3312)</f>
        <v>50</v>
      </c>
      <c r="C3313" s="14" t="n">
        <f aca="false">IFERROR(B3313/$F3313,"")</f>
        <v>0.87719298245614</v>
      </c>
      <c r="D3313" s="11" t="n">
        <f aca="false">SUM(D3301:D3312)</f>
        <v>7</v>
      </c>
      <c r="E3313" s="14" t="n">
        <f aca="false">IFERROR(D3313/$F3313,"")</f>
        <v>0.12280701754386</v>
      </c>
      <c r="F3313" s="11" t="n">
        <f aca="false">SUM(F3301:F3312)</f>
        <v>57</v>
      </c>
    </row>
    <row r="3316" customFormat="false" ht="15" hidden="false" customHeight="false" outlineLevel="0" collapsed="false">
      <c r="A3316" s="6" t="s">
        <v>119</v>
      </c>
      <c r="B3316" s="7" t="s">
        <v>903</v>
      </c>
    </row>
    <row r="3317" customFormat="false" ht="15" hidden="false" customHeight="false" outlineLevel="0" collapsed="false">
      <c r="A3317" s="11" t="s">
        <v>734</v>
      </c>
      <c r="B3317" s="9" t="s">
        <v>694</v>
      </c>
      <c r="C3317" s="9" t="s">
        <v>735</v>
      </c>
      <c r="D3317" s="9" t="s">
        <v>736</v>
      </c>
      <c r="E3317" s="9" t="s">
        <v>737</v>
      </c>
      <c r="F3317" s="9" t="s">
        <v>738</v>
      </c>
    </row>
    <row r="3318" customFormat="false" ht="15" hidden="false" customHeight="false" outlineLevel="0" collapsed="false">
      <c r="B3318" s="12" t="n">
        <f aca="false">COUNT(Cleaned!$FE$2:$FE$125)</f>
        <v>41</v>
      </c>
      <c r="C3318" s="12" t="n">
        <f aca="false">IFERROR(AVERAGE(Cleaned!$FE$2:$FE$125),"")</f>
        <v>38284.2195121951</v>
      </c>
      <c r="D3318" s="12" t="n">
        <f aca="false">IFERROR(MEDIAN(Cleaned!$FE$2:$FE$125),"")</f>
        <v>5241</v>
      </c>
      <c r="E3318" s="12" t="n">
        <f aca="false">IFERROR(MIN(Cleaned!$FE$2:$FE$125),"")</f>
        <v>80</v>
      </c>
      <c r="F3318" s="12" t="n">
        <f aca="false">IFERROR(MAX(Cleaned!$FE$2:$FE$125),"")</f>
        <v>666200</v>
      </c>
    </row>
    <row r="3319" customFormat="false" ht="15" hidden="false" customHeight="false" outlineLevel="0" collapsed="false">
      <c r="A3319" s="11" t="s">
        <v>697</v>
      </c>
      <c r="B3319" s="9" t="s">
        <v>739</v>
      </c>
      <c r="C3319" s="9" t="s">
        <v>735</v>
      </c>
    </row>
    <row r="3320" customFormat="false" ht="15" hidden="false" customHeight="false" outlineLevel="0" collapsed="false">
      <c r="A3320" s="12" t="s">
        <v>698</v>
      </c>
      <c r="B3320" s="12" t="n">
        <f aca="false">COUNTIFS(Cleaned!$C$2:$C$125,1,Cleaned!FE$2:FE$125,"&lt;&gt;")</f>
        <v>4</v>
      </c>
      <c r="C3320" s="15" t="n">
        <f aca="false">IF(B3320=0,"",AVERAGEIF(Cleaned!$C$2:$C$125,1,Cleaned!FE$2:FE$125))</f>
        <v>161.5</v>
      </c>
    </row>
    <row r="3321" customFormat="false" ht="15" hidden="false" customHeight="false" outlineLevel="0" collapsed="false">
      <c r="A3321" s="12" t="s">
        <v>699</v>
      </c>
      <c r="B3321" s="12" t="n">
        <f aca="false">COUNTIFS(Cleaned!$C$2:$C$125,2,Cleaned!FE$2:FE$125,"&lt;&gt;")</f>
        <v>3</v>
      </c>
      <c r="C3321" s="15" t="n">
        <f aca="false">IF(B3321=0,"",AVERAGEIF(Cleaned!$C$2:$C$125,2,Cleaned!FE$2:FE$125))</f>
        <v>937.666666666667</v>
      </c>
    </row>
    <row r="3322" customFormat="false" ht="15" hidden="false" customHeight="false" outlineLevel="0" collapsed="false">
      <c r="A3322" s="12" t="s">
        <v>700</v>
      </c>
      <c r="B3322" s="12" t="n">
        <f aca="false">COUNTIFS(Cleaned!$C$2:$C$125,3,Cleaned!FE$2:FE$125,"&lt;&gt;")</f>
        <v>10</v>
      </c>
      <c r="C3322" s="15" t="n">
        <f aca="false">IF(B3322=0,"",AVERAGEIF(Cleaned!$C$2:$C$125,3,Cleaned!FE$2:FE$125))</f>
        <v>1856.2</v>
      </c>
    </row>
    <row r="3323" customFormat="false" ht="15" hidden="false" customHeight="false" outlineLevel="0" collapsed="false">
      <c r="A3323" s="12" t="s">
        <v>701</v>
      </c>
      <c r="B3323" s="12" t="n">
        <f aca="false">COUNTIFS(Cleaned!$C$2:$C$125,4,Cleaned!FE$2:FE$125,"&lt;&gt;")</f>
        <v>9</v>
      </c>
      <c r="C3323" s="15" t="n">
        <f aca="false">IF(B3323=0,"",AVERAGEIF(Cleaned!$C$2:$C$125,4,Cleaned!FE$2:FE$125))</f>
        <v>6966.22222222222</v>
      </c>
    </row>
    <row r="3324" customFormat="false" ht="15" hidden="false" customHeight="false" outlineLevel="0" collapsed="false">
      <c r="A3324" s="12" t="s">
        <v>702</v>
      </c>
      <c r="B3324" s="12" t="n">
        <f aca="false">COUNTIFS(Cleaned!$C$2:$C$125,5,Cleaned!FE$2:FE$125,"&lt;&gt;")</f>
        <v>15</v>
      </c>
      <c r="C3324" s="15" t="n">
        <f aca="false">IF(B3324=0,"",AVERAGEIF(Cleaned!$C$2:$C$125,5,Cleaned!FE$2:FE$125))</f>
        <v>98995.7333333333</v>
      </c>
    </row>
    <row r="3325" customFormat="false" ht="15" hidden="false" customHeight="false" outlineLevel="0" collapsed="false">
      <c r="A3325" s="11" t="s">
        <v>3</v>
      </c>
      <c r="B3325" s="9" t="s">
        <v>739</v>
      </c>
      <c r="C3325" s="9" t="s">
        <v>735</v>
      </c>
    </row>
    <row r="3326" customFormat="false" ht="15" hidden="false" customHeight="false" outlineLevel="0" collapsed="false">
      <c r="A3326" s="12" t="s">
        <v>704</v>
      </c>
      <c r="B3326" s="12" t="n">
        <f aca="false">COUNTIFS(Cleaned!$D$2:$D$125,1,Cleaned!FE$2:FE$125,"&lt;&gt;")</f>
        <v>6</v>
      </c>
      <c r="C3326" s="15" t="n">
        <f aca="false">IF(B3326=0,"",AVERAGEIF(Cleaned!$D$2:$D$125,1,Cleaned!FE$2:FE$125))</f>
        <v>2621</v>
      </c>
    </row>
    <row r="3327" customFormat="false" ht="15" hidden="false" customHeight="false" outlineLevel="0" collapsed="false">
      <c r="A3327" s="12" t="s">
        <v>705</v>
      </c>
      <c r="B3327" s="12" t="n">
        <f aca="false">COUNTIFS(Cleaned!$D$2:$D$125,2,Cleaned!FE$2:FE$125,"&lt;&gt;")</f>
        <v>10</v>
      </c>
      <c r="C3327" s="15" t="n">
        <f aca="false">IF(B3327=0,"",AVERAGEIF(Cleaned!$D$2:$D$125,2,Cleaned!FE$2:FE$125))</f>
        <v>104897.8</v>
      </c>
    </row>
    <row r="3328" customFormat="false" ht="15" hidden="false" customHeight="false" outlineLevel="0" collapsed="false">
      <c r="A3328" s="12" t="s">
        <v>706</v>
      </c>
      <c r="B3328" s="12" t="n">
        <f aca="false">COUNTIFS(Cleaned!$D$2:$D$125,3,Cleaned!FE$2:FE$125,"&lt;&gt;")</f>
        <v>5</v>
      </c>
      <c r="C3328" s="15" t="n">
        <f aca="false">IF(B3328=0,"",AVERAGEIF(Cleaned!$D$2:$D$125,3,Cleaned!FE$2:FE$125))</f>
        <v>76455</v>
      </c>
    </row>
    <row r="3329" customFormat="false" ht="15" hidden="false" customHeight="false" outlineLevel="0" collapsed="false">
      <c r="A3329" s="12" t="s">
        <v>707</v>
      </c>
      <c r="B3329" s="12" t="n">
        <f aca="false">COUNTIFS(Cleaned!$D$2:$D$125,4,Cleaned!FE$2:FE$125,"&lt;&gt;")</f>
        <v>4</v>
      </c>
      <c r="C3329" s="15" t="n">
        <f aca="false">IF(B3329=0,"",AVERAGEIF(Cleaned!$D$2:$D$125,4,Cleaned!FE$2:FE$125))</f>
        <v>4955.5</v>
      </c>
    </row>
    <row r="3330" customFormat="false" ht="15" hidden="false" customHeight="false" outlineLevel="0" collapsed="false">
      <c r="A3330" s="12" t="s">
        <v>708</v>
      </c>
      <c r="B3330" s="12" t="n">
        <f aca="false">COUNTIFS(Cleaned!$D$2:$D$125,5,Cleaned!FE$2:FE$125,"&lt;&gt;")</f>
        <v>1</v>
      </c>
      <c r="C3330" s="15" t="n">
        <f aca="false">IF(B3330=0,"",AVERAGEIF(Cleaned!$D$2:$D$125,5,Cleaned!FE$2:FE$125))</f>
        <v>9598</v>
      </c>
    </row>
    <row r="3331" customFormat="false" ht="15" hidden="false" customHeight="false" outlineLevel="0" collapsed="false">
      <c r="A3331" s="12" t="s">
        <v>709</v>
      </c>
      <c r="B3331" s="12" t="n">
        <f aca="false">COUNTIFS(Cleaned!$D$2:$D$125,6,Cleaned!FE$2:FE$125,"&lt;&gt;")</f>
        <v>2</v>
      </c>
      <c r="C3331" s="15" t="n">
        <f aca="false">IF(B3331=0,"",AVERAGEIF(Cleaned!$D$2:$D$125,6,Cleaned!FE$2:FE$125))</f>
        <v>3110.5</v>
      </c>
    </row>
    <row r="3332" customFormat="false" ht="15" hidden="false" customHeight="false" outlineLevel="0" collapsed="false">
      <c r="A3332" s="12" t="s">
        <v>710</v>
      </c>
      <c r="B3332" s="12" t="n">
        <f aca="false">COUNTIFS(Cleaned!$D$2:$D$125,7,Cleaned!FE$2:FE$125,"&lt;&gt;")</f>
        <v>5</v>
      </c>
      <c r="C3332" s="15" t="n">
        <f aca="false">IF(B3332=0,"",AVERAGEIF(Cleaned!$D$2:$D$125,7,Cleaned!FE$2:FE$125))</f>
        <v>13571.2</v>
      </c>
    </row>
    <row r="3333" customFormat="false" ht="15" hidden="false" customHeight="false" outlineLevel="0" collapsed="false">
      <c r="A3333" s="12" t="s">
        <v>711</v>
      </c>
      <c r="B3333" s="12" t="n">
        <f aca="false">COUNTIFS(Cleaned!$D$2:$D$125,8,Cleaned!FE$2:FE$125,"&lt;&gt;")</f>
        <v>2</v>
      </c>
      <c r="C3333" s="15" t="n">
        <f aca="false">IF(B3333=0,"",AVERAGEIF(Cleaned!$D$2:$D$125,8,Cleaned!FE$2:FE$125))</f>
        <v>4425.5</v>
      </c>
    </row>
    <row r="3334" customFormat="false" ht="15" hidden="false" customHeight="false" outlineLevel="0" collapsed="false">
      <c r="A3334" s="12" t="s">
        <v>712</v>
      </c>
      <c r="B3334" s="12" t="n">
        <f aca="false">COUNTIFS(Cleaned!$D$2:$D$125,9,Cleaned!FE$2:FE$125,"&lt;&gt;")</f>
        <v>1</v>
      </c>
      <c r="C3334" s="15" t="n">
        <f aca="false">IF(B3334=0,"",AVERAGEIF(Cleaned!$D$2:$D$125,9,Cleaned!FE$2:FE$125))</f>
        <v>114</v>
      </c>
    </row>
    <row r="3335" customFormat="false" ht="15" hidden="false" customHeight="false" outlineLevel="0" collapsed="false">
      <c r="A3335" s="12" t="s">
        <v>713</v>
      </c>
      <c r="B3335" s="12" t="n">
        <f aca="false">COUNTIFS(Cleaned!$D$2:$D$125,10,Cleaned!FE$2:FE$125,"&lt;&gt;")</f>
        <v>0</v>
      </c>
      <c r="C3335" s="15" t="str">
        <f aca="false">IF(B3335=0,"",AVERAGEIF(Cleaned!$D$2:$D$125,10,Cleaned!FE$2:FE$125))</f>
        <v/>
      </c>
    </row>
    <row r="3336" customFormat="false" ht="15" hidden="false" customHeight="false" outlineLevel="0" collapsed="false">
      <c r="A3336" s="12" t="s">
        <v>714</v>
      </c>
      <c r="B3336" s="12" t="n">
        <f aca="false">COUNTIFS(Cleaned!$D$2:$D$125,11,Cleaned!FE$2:FE$125,"&lt;&gt;")</f>
        <v>2</v>
      </c>
      <c r="C3336" s="15" t="n">
        <f aca="false">IF(B3336=0,"",AVERAGEIF(Cleaned!$D$2:$D$125,11,Cleaned!FE$2:FE$125))</f>
        <v>4644.5</v>
      </c>
    </row>
    <row r="3337" customFormat="false" ht="15" hidden="false" customHeight="false" outlineLevel="0" collapsed="false">
      <c r="A3337" s="12" t="s">
        <v>715</v>
      </c>
      <c r="B3337" s="12" t="n">
        <f aca="false">COUNTIFS(Cleaned!$D$2:$D$125,12,Cleaned!FE$2:FE$125,"&lt;&gt;")</f>
        <v>3</v>
      </c>
      <c r="C3337" s="15" t="n">
        <f aca="false">IF(B3337=0,"",AVERAGEIF(Cleaned!$D$2:$D$125,12,Cleaned!FE$2:FE$125))</f>
        <v>307.666666666667</v>
      </c>
    </row>
    <row r="3340" customFormat="false" ht="15" hidden="false" customHeight="false" outlineLevel="0" collapsed="false">
      <c r="A3340" s="6" t="s">
        <v>120</v>
      </c>
      <c r="B3340" s="7" t="s">
        <v>904</v>
      </c>
    </row>
    <row r="3341" customFormat="false" ht="15" hidden="false" customHeight="false" outlineLevel="0" collapsed="false">
      <c r="A3341" s="11" t="s">
        <v>734</v>
      </c>
      <c r="B3341" s="9" t="s">
        <v>694</v>
      </c>
      <c r="C3341" s="9" t="s">
        <v>735</v>
      </c>
      <c r="D3341" s="9" t="s">
        <v>736</v>
      </c>
      <c r="E3341" s="9" t="s">
        <v>737</v>
      </c>
      <c r="F3341" s="9" t="s">
        <v>738</v>
      </c>
    </row>
    <row r="3342" customFormat="false" ht="15" hidden="false" customHeight="false" outlineLevel="0" collapsed="false">
      <c r="B3342" s="12" t="n">
        <f aca="false">COUNT(Cleaned!$FF$2:$FF$125)</f>
        <v>22</v>
      </c>
      <c r="C3342" s="12" t="n">
        <f aca="false">IFERROR(AVERAGE(Cleaned!$FF$2:$FF$125),"")</f>
        <v>23072.1818181818</v>
      </c>
      <c r="D3342" s="12" t="n">
        <f aca="false">IFERROR(MEDIAN(Cleaned!$FF$2:$FF$125),"")</f>
        <v>7</v>
      </c>
      <c r="E3342" s="12" t="n">
        <f aca="false">IFERROR(MIN(Cleaned!$FF$2:$FF$125),"")</f>
        <v>0</v>
      </c>
      <c r="F3342" s="12" t="n">
        <f aca="false">IFERROR(MAX(Cleaned!$FF$2:$FF$125),"")</f>
        <v>351100</v>
      </c>
    </row>
    <row r="3343" customFormat="false" ht="15" hidden="false" customHeight="false" outlineLevel="0" collapsed="false">
      <c r="A3343" s="11" t="s">
        <v>697</v>
      </c>
      <c r="B3343" s="9" t="s">
        <v>739</v>
      </c>
      <c r="C3343" s="9" t="s">
        <v>735</v>
      </c>
    </row>
    <row r="3344" customFormat="false" ht="15" hidden="false" customHeight="false" outlineLevel="0" collapsed="false">
      <c r="A3344" s="12" t="s">
        <v>698</v>
      </c>
      <c r="B3344" s="12" t="n">
        <f aca="false">COUNTIFS(Cleaned!$C$2:$C$125,1,Cleaned!FF$2:FF$125,"&lt;&gt;")</f>
        <v>1</v>
      </c>
      <c r="C3344" s="15" t="n">
        <f aca="false">IF(B3344=0,"",AVERAGEIF(Cleaned!$C$2:$C$125,1,Cleaned!FF$2:FF$125))</f>
        <v>1</v>
      </c>
    </row>
    <row r="3345" customFormat="false" ht="15" hidden="false" customHeight="false" outlineLevel="0" collapsed="false">
      <c r="A3345" s="12" t="s">
        <v>699</v>
      </c>
      <c r="B3345" s="12" t="n">
        <f aca="false">COUNTIFS(Cleaned!$C$2:$C$125,2,Cleaned!FF$2:FF$125,"&lt;&gt;")</f>
        <v>2</v>
      </c>
      <c r="C3345" s="15" t="n">
        <f aca="false">IF(B3345=0,"",AVERAGEIF(Cleaned!$C$2:$C$125,2,Cleaned!FF$2:FF$125))</f>
        <v>3</v>
      </c>
    </row>
    <row r="3346" customFormat="false" ht="15" hidden="false" customHeight="false" outlineLevel="0" collapsed="false">
      <c r="A3346" s="12" t="s">
        <v>700</v>
      </c>
      <c r="B3346" s="12" t="n">
        <f aca="false">COUNTIFS(Cleaned!$C$2:$C$125,3,Cleaned!FF$2:FF$125,"&lt;&gt;")</f>
        <v>5</v>
      </c>
      <c r="C3346" s="15" t="n">
        <f aca="false">IF(B3346=0,"",AVERAGEIF(Cleaned!$C$2:$C$125,3,Cleaned!FF$2:FF$125))</f>
        <v>46.4</v>
      </c>
    </row>
    <row r="3347" customFormat="false" ht="15" hidden="false" customHeight="false" outlineLevel="0" collapsed="false">
      <c r="A3347" s="12" t="s">
        <v>701</v>
      </c>
      <c r="B3347" s="12" t="n">
        <f aca="false">COUNTIFS(Cleaned!$C$2:$C$125,4,Cleaned!FF$2:FF$125,"&lt;&gt;")</f>
        <v>7</v>
      </c>
      <c r="C3347" s="15" t="n">
        <f aca="false">IF(B3347=0,"",AVERAGEIF(Cleaned!$C$2:$C$125,4,Cleaned!FF$2:FF$125))</f>
        <v>259.857142857143</v>
      </c>
    </row>
    <row r="3348" customFormat="false" ht="15" hidden="false" customHeight="false" outlineLevel="0" collapsed="false">
      <c r="A3348" s="12" t="s">
        <v>702</v>
      </c>
      <c r="B3348" s="12" t="n">
        <f aca="false">COUNTIFS(Cleaned!$C$2:$C$125,5,Cleaned!FF$2:FF$125,"&lt;&gt;")</f>
        <v>7</v>
      </c>
      <c r="C3348" s="15" t="n">
        <f aca="false">IF(B3348=0,"",AVERAGEIF(Cleaned!$C$2:$C$125,5,Cleaned!FF$2:FF$125))</f>
        <v>72218.5714285714</v>
      </c>
    </row>
    <row r="3349" customFormat="false" ht="15" hidden="false" customHeight="false" outlineLevel="0" collapsed="false">
      <c r="A3349" s="11" t="s">
        <v>3</v>
      </c>
      <c r="B3349" s="9" t="s">
        <v>739</v>
      </c>
      <c r="C3349" s="9" t="s">
        <v>735</v>
      </c>
    </row>
    <row r="3350" customFormat="false" ht="15" hidden="false" customHeight="false" outlineLevel="0" collapsed="false">
      <c r="A3350" s="12" t="s">
        <v>704</v>
      </c>
      <c r="B3350" s="12" t="n">
        <f aca="false">COUNTIFS(Cleaned!$D$2:$D$125,1,Cleaned!FF$2:FF$125,"&lt;&gt;")</f>
        <v>3</v>
      </c>
      <c r="C3350" s="15" t="n">
        <f aca="false">IF(B3350=0,"",AVERAGEIF(Cleaned!$D$2:$D$125,1,Cleaned!FF$2:FF$125))</f>
        <v>397.333333333333</v>
      </c>
    </row>
    <row r="3351" customFormat="false" ht="15" hidden="false" customHeight="false" outlineLevel="0" collapsed="false">
      <c r="A3351" s="12" t="s">
        <v>705</v>
      </c>
      <c r="B3351" s="12" t="n">
        <f aca="false">COUNTIFS(Cleaned!$D$2:$D$125,2,Cleaned!FF$2:FF$125,"&lt;&gt;")</f>
        <v>5</v>
      </c>
      <c r="C3351" s="15" t="n">
        <f aca="false">IF(B3351=0,"",AVERAGEIF(Cleaned!$D$2:$D$125,2,Cleaned!FF$2:FF$125))</f>
        <v>70221.6</v>
      </c>
    </row>
    <row r="3352" customFormat="false" ht="15" hidden="false" customHeight="false" outlineLevel="0" collapsed="false">
      <c r="A3352" s="12" t="s">
        <v>706</v>
      </c>
      <c r="B3352" s="12" t="n">
        <f aca="false">COUNTIFS(Cleaned!$D$2:$D$125,3,Cleaned!FF$2:FF$125,"&lt;&gt;")</f>
        <v>4</v>
      </c>
      <c r="C3352" s="15" t="n">
        <f aca="false">IF(B3352=0,"",AVERAGEIF(Cleaned!$D$2:$D$125,3,Cleaned!FF$2:FF$125))</f>
        <v>38605.5</v>
      </c>
    </row>
    <row r="3353" customFormat="false" ht="15" hidden="false" customHeight="false" outlineLevel="0" collapsed="false">
      <c r="A3353" s="12" t="s">
        <v>707</v>
      </c>
      <c r="B3353" s="12" t="n">
        <f aca="false">COUNTIFS(Cleaned!$D$2:$D$125,4,Cleaned!FF$2:FF$125,"&lt;&gt;")</f>
        <v>3</v>
      </c>
      <c r="C3353" s="15" t="n">
        <f aca="false">IF(B3353=0,"",AVERAGEIF(Cleaned!$D$2:$D$125,4,Cleaned!FF$2:FF$125))</f>
        <v>0</v>
      </c>
    </row>
    <row r="3354" customFormat="false" ht="15" hidden="false" customHeight="false" outlineLevel="0" collapsed="false">
      <c r="A3354" s="12" t="s">
        <v>708</v>
      </c>
      <c r="B3354" s="12" t="n">
        <f aca="false">COUNTIFS(Cleaned!$D$2:$D$125,5,Cleaned!FF$2:FF$125,"&lt;&gt;")</f>
        <v>0</v>
      </c>
      <c r="C3354" s="15" t="str">
        <f aca="false">IF(B3354=0,"",AVERAGEIF(Cleaned!$D$2:$D$125,5,Cleaned!FF$2:FF$125))</f>
        <v/>
      </c>
    </row>
    <row r="3355" customFormat="false" ht="15" hidden="false" customHeight="false" outlineLevel="0" collapsed="false">
      <c r="A3355" s="12" t="s">
        <v>709</v>
      </c>
      <c r="B3355" s="12" t="n">
        <f aca="false">COUNTIFS(Cleaned!$D$2:$D$125,6,Cleaned!FF$2:FF$125,"&lt;&gt;")</f>
        <v>2</v>
      </c>
      <c r="C3355" s="15" t="n">
        <f aca="false">IF(B3355=0,"",AVERAGEIF(Cleaned!$D$2:$D$125,6,Cleaned!FF$2:FF$125))</f>
        <v>184.5</v>
      </c>
    </row>
    <row r="3356" customFormat="false" ht="15" hidden="false" customHeight="false" outlineLevel="0" collapsed="false">
      <c r="A3356" s="12" t="s">
        <v>710</v>
      </c>
      <c r="B3356" s="12" t="n">
        <f aca="false">COUNTIFS(Cleaned!$D$2:$D$125,7,Cleaned!FF$2:FF$125,"&lt;&gt;")</f>
        <v>0</v>
      </c>
      <c r="C3356" s="15" t="str">
        <f aca="false">IF(B3356=0,"",AVERAGEIF(Cleaned!$D$2:$D$125,7,Cleaned!FF$2:FF$125))</f>
        <v/>
      </c>
    </row>
    <row r="3357" customFormat="false" ht="15" hidden="false" customHeight="false" outlineLevel="0" collapsed="false">
      <c r="A3357" s="12" t="s">
        <v>711</v>
      </c>
      <c r="B3357" s="12" t="n">
        <f aca="false">COUNTIFS(Cleaned!$D$2:$D$125,8,Cleaned!FF$2:FF$125,"&lt;&gt;")</f>
        <v>2</v>
      </c>
      <c r="C3357" s="15" t="n">
        <f aca="false">IF(B3357=0,"",AVERAGEIF(Cleaned!$D$2:$D$125,8,Cleaned!FF$2:FF$125))</f>
        <v>225.5</v>
      </c>
    </row>
    <row r="3358" customFormat="false" ht="15" hidden="false" customHeight="false" outlineLevel="0" collapsed="false">
      <c r="A3358" s="12" t="s">
        <v>712</v>
      </c>
      <c r="B3358" s="12" t="n">
        <f aca="false">COUNTIFS(Cleaned!$D$2:$D$125,9,Cleaned!FF$2:FF$125,"&lt;&gt;")</f>
        <v>0</v>
      </c>
      <c r="C3358" s="15" t="str">
        <f aca="false">IF(B3358=0,"",AVERAGEIF(Cleaned!$D$2:$D$125,9,Cleaned!FF$2:FF$125))</f>
        <v/>
      </c>
    </row>
    <row r="3359" customFormat="false" ht="15" hidden="false" customHeight="false" outlineLevel="0" collapsed="false">
      <c r="A3359" s="12" t="s">
        <v>713</v>
      </c>
      <c r="B3359" s="12" t="n">
        <f aca="false">COUNTIFS(Cleaned!$D$2:$D$125,10,Cleaned!FF$2:FF$125,"&lt;&gt;")</f>
        <v>0</v>
      </c>
      <c r="C3359" s="15" t="str">
        <f aca="false">IF(B3359=0,"",AVERAGEIF(Cleaned!$D$2:$D$125,10,Cleaned!FF$2:FF$125))</f>
        <v/>
      </c>
    </row>
    <row r="3360" customFormat="false" ht="15" hidden="false" customHeight="false" outlineLevel="0" collapsed="false">
      <c r="A3360" s="12" t="s">
        <v>714</v>
      </c>
      <c r="B3360" s="12" t="n">
        <f aca="false">COUNTIFS(Cleaned!$D$2:$D$125,11,Cleaned!FF$2:FF$125,"&lt;&gt;")</f>
        <v>2</v>
      </c>
      <c r="C3360" s="15" t="n">
        <f aca="false">IF(B3360=0,"",AVERAGEIF(Cleaned!$D$2:$D$125,11,Cleaned!FF$2:FF$125))</f>
        <v>20</v>
      </c>
    </row>
    <row r="3361" customFormat="false" ht="15" hidden="false" customHeight="false" outlineLevel="0" collapsed="false">
      <c r="A3361" s="12" t="s">
        <v>715</v>
      </c>
      <c r="B3361" s="12" t="n">
        <f aca="false">COUNTIFS(Cleaned!$D$2:$D$125,12,Cleaned!FF$2:FF$125,"&lt;&gt;")</f>
        <v>1</v>
      </c>
      <c r="C3361" s="15" t="n">
        <f aca="false">IF(B3361=0,"",AVERAGEIF(Cleaned!$D$2:$D$125,12,Cleaned!FF$2:FF$125))</f>
        <v>6</v>
      </c>
    </row>
    <row r="3364" customFormat="false" ht="15" hidden="false" customHeight="false" outlineLevel="0" collapsed="false">
      <c r="A3364" s="6" t="s">
        <v>121</v>
      </c>
      <c r="B3364" s="7" t="s">
        <v>905</v>
      </c>
    </row>
    <row r="3365" customFormat="false" ht="15" hidden="false" customHeight="false" outlineLevel="0" collapsed="false">
      <c r="A3365" s="11" t="s">
        <v>734</v>
      </c>
      <c r="B3365" s="9" t="s">
        <v>694</v>
      </c>
      <c r="C3365" s="9" t="s">
        <v>735</v>
      </c>
      <c r="D3365" s="9" t="s">
        <v>736</v>
      </c>
      <c r="E3365" s="9" t="s">
        <v>737</v>
      </c>
      <c r="F3365" s="9" t="s">
        <v>738</v>
      </c>
    </row>
    <row r="3366" customFormat="false" ht="15" hidden="false" customHeight="false" outlineLevel="0" collapsed="false">
      <c r="B3366" s="12" t="n">
        <f aca="false">COUNT(Cleaned!$FG$2:$FG$125)</f>
        <v>22</v>
      </c>
      <c r="C3366" s="12" t="n">
        <f aca="false">IFERROR(AVERAGE(Cleaned!$FG$2:$FG$125),"")</f>
        <v>54603.2272727273</v>
      </c>
      <c r="D3366" s="12" t="n">
        <f aca="false">IFERROR(MEDIAN(Cleaned!$FG$2:$FG$125),"")</f>
        <v>6265</v>
      </c>
      <c r="E3366" s="12" t="n">
        <f aca="false">IFERROR(MIN(Cleaned!$FG$2:$FG$125),"")</f>
        <v>0</v>
      </c>
      <c r="F3366" s="12" t="n">
        <f aca="false">IFERROR(MAX(Cleaned!$FG$2:$FG$125),"")</f>
        <v>666200</v>
      </c>
    </row>
    <row r="3367" customFormat="false" ht="15" hidden="false" customHeight="false" outlineLevel="0" collapsed="false">
      <c r="A3367" s="11" t="s">
        <v>697</v>
      </c>
      <c r="B3367" s="9" t="s">
        <v>739</v>
      </c>
      <c r="C3367" s="9" t="s">
        <v>735</v>
      </c>
    </row>
    <row r="3368" customFormat="false" ht="15" hidden="false" customHeight="false" outlineLevel="0" collapsed="false">
      <c r="A3368" s="12" t="s">
        <v>698</v>
      </c>
      <c r="B3368" s="12" t="n">
        <f aca="false">COUNTIFS(Cleaned!$C$2:$C$125,1,Cleaned!FG$2:FG$125,"&lt;&gt;")</f>
        <v>2</v>
      </c>
      <c r="C3368" s="15" t="n">
        <f aca="false">IF(B3368=0,"",AVERAGEIF(Cleaned!$C$2:$C$125,1,Cleaned!FG$2:FG$125))</f>
        <v>122</v>
      </c>
    </row>
    <row r="3369" customFormat="false" ht="15" hidden="false" customHeight="false" outlineLevel="0" collapsed="false">
      <c r="A3369" s="12" t="s">
        <v>699</v>
      </c>
      <c r="B3369" s="12" t="n">
        <f aca="false">COUNTIFS(Cleaned!$C$2:$C$125,2,Cleaned!FG$2:FG$125,"&lt;&gt;")</f>
        <v>2</v>
      </c>
      <c r="C3369" s="15" t="n">
        <f aca="false">IF(B3369=0,"",AVERAGEIF(Cleaned!$C$2:$C$125,2,Cleaned!FG$2:FG$125))</f>
        <v>771.5</v>
      </c>
    </row>
    <row r="3370" customFormat="false" ht="15" hidden="false" customHeight="false" outlineLevel="0" collapsed="false">
      <c r="A3370" s="12" t="s">
        <v>700</v>
      </c>
      <c r="B3370" s="12" t="n">
        <f aca="false">COUNTIFS(Cleaned!$C$2:$C$125,3,Cleaned!FG$2:FG$125,"&lt;&gt;")</f>
        <v>5</v>
      </c>
      <c r="C3370" s="15" t="n">
        <f aca="false">IF(B3370=0,"",AVERAGEIF(Cleaned!$C$2:$C$125,3,Cleaned!FG$2:FG$125))</f>
        <v>1855.2</v>
      </c>
    </row>
    <row r="3371" customFormat="false" ht="15" hidden="false" customHeight="false" outlineLevel="0" collapsed="false">
      <c r="A3371" s="12" t="s">
        <v>701</v>
      </c>
      <c r="B3371" s="12" t="n">
        <f aca="false">COUNTIFS(Cleaned!$C$2:$C$125,4,Cleaned!FG$2:FG$125,"&lt;&gt;")</f>
        <v>6</v>
      </c>
      <c r="C3371" s="15" t="n">
        <f aca="false">IF(B3371=0,"",AVERAGEIF(Cleaned!$C$2:$C$125,4,Cleaned!FG$2:FG$125))</f>
        <v>14225.6666666667</v>
      </c>
    </row>
    <row r="3372" customFormat="false" ht="15" hidden="false" customHeight="false" outlineLevel="0" collapsed="false">
      <c r="A3372" s="12" t="s">
        <v>702</v>
      </c>
      <c r="B3372" s="12" t="n">
        <f aca="false">COUNTIFS(Cleaned!$C$2:$C$125,5,Cleaned!FG$2:FG$125,"&lt;&gt;")</f>
        <v>7</v>
      </c>
      <c r="C3372" s="15" t="n">
        <f aca="false">IF(B3372=0,"",AVERAGEIF(Cleaned!$C$2:$C$125,5,Cleaned!FG$2:FG$125))</f>
        <v>157836.285714286</v>
      </c>
    </row>
    <row r="3373" customFormat="false" ht="15" hidden="false" customHeight="false" outlineLevel="0" collapsed="false">
      <c r="A3373" s="11" t="s">
        <v>3</v>
      </c>
      <c r="B3373" s="9" t="s">
        <v>739</v>
      </c>
      <c r="C3373" s="9" t="s">
        <v>735</v>
      </c>
    </row>
    <row r="3374" customFormat="false" ht="15" hidden="false" customHeight="false" outlineLevel="0" collapsed="false">
      <c r="A3374" s="12" t="s">
        <v>704</v>
      </c>
      <c r="B3374" s="12" t="n">
        <f aca="false">COUNTIFS(Cleaned!$D$2:$D$125,1,Cleaned!FG$2:FG$125,"&lt;&gt;")</f>
        <v>2</v>
      </c>
      <c r="C3374" s="15" t="n">
        <f aca="false">IF(B3374=0,"",AVERAGEIF(Cleaned!$D$2:$D$125,1,Cleaned!FG$2:FG$125))</f>
        <v>18700</v>
      </c>
    </row>
    <row r="3375" customFormat="false" ht="15" hidden="false" customHeight="false" outlineLevel="0" collapsed="false">
      <c r="A3375" s="12" t="s">
        <v>705</v>
      </c>
      <c r="B3375" s="12" t="n">
        <f aca="false">COUNTIFS(Cleaned!$D$2:$D$125,2,Cleaned!FG$2:FG$125,"&lt;&gt;")</f>
        <v>5</v>
      </c>
      <c r="C3375" s="15" t="n">
        <f aca="false">IF(B3375=0,"",AVERAGEIF(Cleaned!$D$2:$D$125,2,Cleaned!FG$2:FG$125))</f>
        <v>149944</v>
      </c>
    </row>
    <row r="3376" customFormat="false" ht="15" hidden="false" customHeight="false" outlineLevel="0" collapsed="false">
      <c r="A3376" s="12" t="s">
        <v>706</v>
      </c>
      <c r="B3376" s="12" t="n">
        <f aca="false">COUNTIFS(Cleaned!$D$2:$D$125,3,Cleaned!FG$2:FG$125,"&lt;&gt;")</f>
        <v>4</v>
      </c>
      <c r="C3376" s="15" t="n">
        <f aca="false">IF(B3376=0,"",AVERAGEIF(Cleaned!$D$2:$D$125,3,Cleaned!FG$2:FG$125))</f>
        <v>90827.5</v>
      </c>
    </row>
    <row r="3377" customFormat="false" ht="15" hidden="false" customHeight="false" outlineLevel="0" collapsed="false">
      <c r="A3377" s="12" t="s">
        <v>707</v>
      </c>
      <c r="B3377" s="12" t="n">
        <f aca="false">COUNTIFS(Cleaned!$D$2:$D$125,4,Cleaned!FG$2:FG$125,"&lt;&gt;")</f>
        <v>2</v>
      </c>
      <c r="C3377" s="15" t="n">
        <f aca="false">IF(B3377=0,"",AVERAGEIF(Cleaned!$D$2:$D$125,4,Cleaned!FG$2:FG$125))</f>
        <v>4227.5</v>
      </c>
    </row>
    <row r="3378" customFormat="false" ht="15" hidden="false" customHeight="false" outlineLevel="0" collapsed="false">
      <c r="A3378" s="12" t="s">
        <v>708</v>
      </c>
      <c r="B3378" s="12" t="n">
        <f aca="false">COUNTIFS(Cleaned!$D$2:$D$125,5,Cleaned!FG$2:FG$125,"&lt;&gt;")</f>
        <v>1</v>
      </c>
      <c r="C3378" s="15" t="n">
        <f aca="false">IF(B3378=0,"",AVERAGEIF(Cleaned!$D$2:$D$125,5,Cleaned!FG$2:FG$125))</f>
        <v>12500</v>
      </c>
    </row>
    <row r="3379" customFormat="false" ht="15" hidden="false" customHeight="false" outlineLevel="0" collapsed="false">
      <c r="A3379" s="12" t="s">
        <v>709</v>
      </c>
      <c r="B3379" s="12" t="n">
        <f aca="false">COUNTIFS(Cleaned!$D$2:$D$125,6,Cleaned!FG$2:FG$125,"&lt;&gt;")</f>
        <v>0</v>
      </c>
      <c r="C3379" s="15" t="str">
        <f aca="false">IF(B3379=0,"",AVERAGEIF(Cleaned!$D$2:$D$125,6,Cleaned!FG$2:FG$125))</f>
        <v/>
      </c>
    </row>
    <row r="3380" customFormat="false" ht="15" hidden="false" customHeight="false" outlineLevel="0" collapsed="false">
      <c r="A3380" s="12" t="s">
        <v>710</v>
      </c>
      <c r="B3380" s="12" t="n">
        <f aca="false">COUNTIFS(Cleaned!$D$2:$D$125,7,Cleaned!FG$2:FG$125,"&lt;&gt;")</f>
        <v>2</v>
      </c>
      <c r="C3380" s="15" t="n">
        <f aca="false">IF(B3380=0,"",AVERAGEIF(Cleaned!$D$2:$D$125,7,Cleaned!FG$2:FG$125))</f>
        <v>1268.5</v>
      </c>
    </row>
    <row r="3381" customFormat="false" ht="15" hidden="false" customHeight="false" outlineLevel="0" collapsed="false">
      <c r="A3381" s="12" t="s">
        <v>711</v>
      </c>
      <c r="B3381" s="12" t="n">
        <f aca="false">COUNTIFS(Cleaned!$D$2:$D$125,8,Cleaned!FG$2:FG$125,"&lt;&gt;")</f>
        <v>1</v>
      </c>
      <c r="C3381" s="15" t="n">
        <f aca="false">IF(B3381=0,"",AVERAGEIF(Cleaned!$D$2:$D$125,8,Cleaned!FG$2:FG$125))</f>
        <v>17148</v>
      </c>
    </row>
    <row r="3382" customFormat="false" ht="15" hidden="false" customHeight="false" outlineLevel="0" collapsed="false">
      <c r="A3382" s="12" t="s">
        <v>712</v>
      </c>
      <c r="B3382" s="12" t="n">
        <f aca="false">COUNTIFS(Cleaned!$D$2:$D$125,9,Cleaned!FG$2:FG$125,"&lt;&gt;")</f>
        <v>1</v>
      </c>
      <c r="C3382" s="15" t="n">
        <f aca="false">IF(B3382=0,"",AVERAGEIF(Cleaned!$D$2:$D$125,9,Cleaned!FG$2:FG$125))</f>
        <v>124</v>
      </c>
    </row>
    <row r="3383" customFormat="false" ht="15" hidden="false" customHeight="false" outlineLevel="0" collapsed="false">
      <c r="A3383" s="12" t="s">
        <v>713</v>
      </c>
      <c r="B3383" s="12" t="n">
        <f aca="false">COUNTIFS(Cleaned!$D$2:$D$125,10,Cleaned!FG$2:FG$125,"&lt;&gt;")</f>
        <v>0</v>
      </c>
      <c r="C3383" s="15" t="str">
        <f aca="false">IF(B3383=0,"",AVERAGEIF(Cleaned!$D$2:$D$125,10,Cleaned!FG$2:FG$125))</f>
        <v/>
      </c>
    </row>
    <row r="3384" customFormat="false" ht="15" hidden="false" customHeight="false" outlineLevel="0" collapsed="false">
      <c r="A3384" s="12" t="s">
        <v>714</v>
      </c>
      <c r="B3384" s="12" t="n">
        <f aca="false">COUNTIFS(Cleaned!$D$2:$D$125,11,Cleaned!FG$2:FG$125,"&lt;&gt;")</f>
        <v>2</v>
      </c>
      <c r="C3384" s="15" t="n">
        <f aca="false">IF(B3384=0,"",AVERAGEIF(Cleaned!$D$2:$D$125,11,Cleaned!FG$2:FG$125))</f>
        <v>4644.5</v>
      </c>
    </row>
    <row r="3385" customFormat="false" ht="15" hidden="false" customHeight="false" outlineLevel="0" collapsed="false">
      <c r="A3385" s="12" t="s">
        <v>715</v>
      </c>
      <c r="B3385" s="12" t="n">
        <f aca="false">COUNTIFS(Cleaned!$D$2:$D$125,12,Cleaned!FG$2:FG$125,"&lt;&gt;")</f>
        <v>2</v>
      </c>
      <c r="C3385" s="15" t="n">
        <f aca="false">IF(B3385=0,"",AVERAGEIF(Cleaned!$D$2:$D$125,12,Cleaned!FG$2:FG$125))</f>
        <v>394</v>
      </c>
    </row>
    <row r="3388" customFormat="false" ht="15" hidden="false" customHeight="false" outlineLevel="0" collapsed="false">
      <c r="A3388" s="6" t="s">
        <v>122</v>
      </c>
      <c r="B3388" s="7" t="s">
        <v>906</v>
      </c>
    </row>
    <row r="3389" customFormat="false" ht="15" hidden="false" customHeight="false" outlineLevel="0" collapsed="false">
      <c r="A3389" s="11" t="s">
        <v>734</v>
      </c>
      <c r="B3389" s="9" t="s">
        <v>694</v>
      </c>
      <c r="C3389" s="9" t="s">
        <v>735</v>
      </c>
      <c r="D3389" s="9" t="s">
        <v>736</v>
      </c>
      <c r="E3389" s="9" t="s">
        <v>737</v>
      </c>
      <c r="F3389" s="9" t="s">
        <v>738</v>
      </c>
    </row>
    <row r="3390" customFormat="false" ht="15" hidden="false" customHeight="false" outlineLevel="0" collapsed="false">
      <c r="B3390" s="12" t="n">
        <f aca="false">COUNT(Cleaned!$FH$2:$FH$125)</f>
        <v>14</v>
      </c>
      <c r="C3390" s="12" t="n">
        <f aca="false">IFERROR(AVERAGE(Cleaned!$FH$2:$FH$125),"")</f>
        <v>36252.7142857143</v>
      </c>
      <c r="D3390" s="12" t="n">
        <f aca="false">IFERROR(MEDIAN(Cleaned!$FH$2:$FH$125),"")</f>
        <v>13</v>
      </c>
      <c r="E3390" s="12" t="n">
        <f aca="false">IFERROR(MIN(Cleaned!$FH$2:$FH$125),"")</f>
        <v>0</v>
      </c>
      <c r="F3390" s="12" t="n">
        <f aca="false">IFERROR(MAX(Cleaned!$FH$2:$FH$125),"")</f>
        <v>351100</v>
      </c>
    </row>
    <row r="3391" customFormat="false" ht="15" hidden="false" customHeight="false" outlineLevel="0" collapsed="false">
      <c r="A3391" s="11" t="s">
        <v>697</v>
      </c>
      <c r="B3391" s="9" t="s">
        <v>739</v>
      </c>
      <c r="C3391" s="9" t="s">
        <v>735</v>
      </c>
    </row>
    <row r="3392" customFormat="false" ht="15" hidden="false" customHeight="false" outlineLevel="0" collapsed="false">
      <c r="A3392" s="12" t="s">
        <v>698</v>
      </c>
      <c r="B3392" s="12" t="n">
        <f aca="false">COUNTIFS(Cleaned!$C$2:$C$125,1,Cleaned!FH$2:FH$125,"&lt;&gt;")</f>
        <v>0</v>
      </c>
      <c r="C3392" s="15" t="str">
        <f aca="false">IF(B3392=0,"",AVERAGEIF(Cleaned!$C$2:$C$125,1,Cleaned!FH$2:FH$125))</f>
        <v/>
      </c>
    </row>
    <row r="3393" customFormat="false" ht="15" hidden="false" customHeight="false" outlineLevel="0" collapsed="false">
      <c r="A3393" s="12" t="s">
        <v>699</v>
      </c>
      <c r="B3393" s="12" t="n">
        <f aca="false">COUNTIFS(Cleaned!$C$2:$C$125,2,Cleaned!FH$2:FH$125,"&lt;&gt;")</f>
        <v>1</v>
      </c>
      <c r="C3393" s="15" t="n">
        <f aca="false">IF(B3393=0,"",AVERAGEIF(Cleaned!$C$2:$C$125,2,Cleaned!FH$2:FH$125))</f>
        <v>6</v>
      </c>
    </row>
    <row r="3394" customFormat="false" ht="15" hidden="false" customHeight="false" outlineLevel="0" collapsed="false">
      <c r="A3394" s="12" t="s">
        <v>700</v>
      </c>
      <c r="B3394" s="12" t="n">
        <f aca="false">COUNTIFS(Cleaned!$C$2:$C$125,3,Cleaned!FH$2:FH$125,"&lt;&gt;")</f>
        <v>4</v>
      </c>
      <c r="C3394" s="15" t="n">
        <f aca="false">IF(B3394=0,"",AVERAGEIF(Cleaned!$C$2:$C$125,3,Cleaned!FH$2:FH$125))</f>
        <v>15</v>
      </c>
    </row>
    <row r="3395" customFormat="false" ht="15" hidden="false" customHeight="false" outlineLevel="0" collapsed="false">
      <c r="A3395" s="12" t="s">
        <v>701</v>
      </c>
      <c r="B3395" s="12" t="n">
        <f aca="false">COUNTIFS(Cleaned!$C$2:$C$125,4,Cleaned!FH$2:FH$125,"&lt;&gt;")</f>
        <v>5</v>
      </c>
      <c r="C3395" s="15" t="n">
        <f aca="false">IF(B3395=0,"",AVERAGEIF(Cleaned!$C$2:$C$125,4,Cleaned!FH$2:FH$125))</f>
        <v>390</v>
      </c>
    </row>
    <row r="3396" customFormat="false" ht="15" hidden="false" customHeight="false" outlineLevel="0" collapsed="false">
      <c r="A3396" s="12" t="s">
        <v>702</v>
      </c>
      <c r="B3396" s="12" t="n">
        <f aca="false">COUNTIFS(Cleaned!$C$2:$C$125,5,Cleaned!FH$2:FH$125,"&lt;&gt;")</f>
        <v>4</v>
      </c>
      <c r="C3396" s="15" t="n">
        <f aca="false">IF(B3396=0,"",AVERAGEIF(Cleaned!$C$2:$C$125,5,Cleaned!FH$2:FH$125))</f>
        <v>126380.5</v>
      </c>
    </row>
    <row r="3397" customFormat="false" ht="15" hidden="false" customHeight="false" outlineLevel="0" collapsed="false">
      <c r="A3397" s="11" t="s">
        <v>3</v>
      </c>
      <c r="B3397" s="9" t="s">
        <v>739</v>
      </c>
      <c r="C3397" s="9" t="s">
        <v>735</v>
      </c>
    </row>
    <row r="3398" customFormat="false" ht="15" hidden="false" customHeight="false" outlineLevel="0" collapsed="false">
      <c r="A3398" s="12" t="s">
        <v>704</v>
      </c>
      <c r="B3398" s="12" t="n">
        <f aca="false">COUNTIFS(Cleaned!$D$2:$D$125,1,Cleaned!FH$2:FH$125,"&lt;&gt;")</f>
        <v>2</v>
      </c>
      <c r="C3398" s="15" t="n">
        <f aca="false">IF(B3398=0,"",AVERAGEIF(Cleaned!$D$2:$D$125,1,Cleaned!FH$2:FH$125))</f>
        <v>760</v>
      </c>
    </row>
    <row r="3399" customFormat="false" ht="15" hidden="false" customHeight="false" outlineLevel="0" collapsed="false">
      <c r="A3399" s="12" t="s">
        <v>705</v>
      </c>
      <c r="B3399" s="12" t="n">
        <f aca="false">COUNTIFS(Cleaned!$D$2:$D$125,2,Cleaned!FH$2:FH$125,"&lt;&gt;")</f>
        <v>2</v>
      </c>
      <c r="C3399" s="15" t="n">
        <f aca="false">IF(B3399=0,"",AVERAGEIF(Cleaned!$D$2:$D$125,2,Cleaned!FH$2:FH$125))</f>
        <v>175550</v>
      </c>
    </row>
    <row r="3400" customFormat="false" ht="15" hidden="false" customHeight="false" outlineLevel="0" collapsed="false">
      <c r="A3400" s="12" t="s">
        <v>706</v>
      </c>
      <c r="B3400" s="12" t="n">
        <f aca="false">COUNTIFS(Cleaned!$D$2:$D$125,3,Cleaned!FH$2:FH$125,"&lt;&gt;")</f>
        <v>4</v>
      </c>
      <c r="C3400" s="15" t="n">
        <f aca="false">IF(B3400=0,"",AVERAGEIF(Cleaned!$D$2:$D$125,3,Cleaned!FH$2:FH$125))</f>
        <v>38605.5</v>
      </c>
    </row>
    <row r="3401" customFormat="false" ht="15" hidden="false" customHeight="false" outlineLevel="0" collapsed="false">
      <c r="A3401" s="12" t="s">
        <v>707</v>
      </c>
      <c r="B3401" s="12" t="n">
        <f aca="false">COUNTIFS(Cleaned!$D$2:$D$125,4,Cleaned!FH$2:FH$125,"&lt;&gt;")</f>
        <v>2</v>
      </c>
      <c r="C3401" s="15" t="n">
        <f aca="false">IF(B3401=0,"",AVERAGEIF(Cleaned!$D$2:$D$125,4,Cleaned!FH$2:FH$125))</f>
        <v>0</v>
      </c>
    </row>
    <row r="3402" customFormat="false" ht="15" hidden="false" customHeight="false" outlineLevel="0" collapsed="false">
      <c r="A3402" s="12" t="s">
        <v>708</v>
      </c>
      <c r="B3402" s="12" t="n">
        <f aca="false">COUNTIFS(Cleaned!$D$2:$D$125,5,Cleaned!FH$2:FH$125,"&lt;&gt;")</f>
        <v>0</v>
      </c>
      <c r="C3402" s="15" t="str">
        <f aca="false">IF(B3402=0,"",AVERAGEIF(Cleaned!$D$2:$D$125,5,Cleaned!FH$2:FH$125))</f>
        <v/>
      </c>
    </row>
    <row r="3403" customFormat="false" ht="15" hidden="false" customHeight="false" outlineLevel="0" collapsed="false">
      <c r="A3403" s="12" t="s">
        <v>709</v>
      </c>
      <c r="B3403" s="12" t="n">
        <f aca="false">COUNTIFS(Cleaned!$D$2:$D$125,6,Cleaned!FH$2:FH$125,"&lt;&gt;")</f>
        <v>0</v>
      </c>
      <c r="C3403" s="15" t="str">
        <f aca="false">IF(B3403=0,"",AVERAGEIF(Cleaned!$D$2:$D$125,6,Cleaned!FH$2:FH$125))</f>
        <v/>
      </c>
    </row>
    <row r="3404" customFormat="false" ht="15" hidden="false" customHeight="false" outlineLevel="0" collapsed="false">
      <c r="A3404" s="12" t="s">
        <v>710</v>
      </c>
      <c r="B3404" s="12" t="n">
        <f aca="false">COUNTIFS(Cleaned!$D$2:$D$125,7,Cleaned!FH$2:FH$125,"&lt;&gt;")</f>
        <v>0</v>
      </c>
      <c r="C3404" s="15" t="str">
        <f aca="false">IF(B3404=0,"",AVERAGEIF(Cleaned!$D$2:$D$125,7,Cleaned!FH$2:FH$125))</f>
        <v/>
      </c>
    </row>
    <row r="3405" customFormat="false" ht="15" hidden="false" customHeight="false" outlineLevel="0" collapsed="false">
      <c r="A3405" s="12" t="s">
        <v>711</v>
      </c>
      <c r="B3405" s="12" t="n">
        <f aca="false">COUNTIFS(Cleaned!$D$2:$D$125,8,Cleaned!FH$2:FH$125,"&lt;&gt;")</f>
        <v>1</v>
      </c>
      <c r="C3405" s="15" t="n">
        <f aca="false">IF(B3405=0,"",AVERAGEIF(Cleaned!$D$2:$D$125,8,Cleaned!FH$2:FH$125))</f>
        <v>450</v>
      </c>
    </row>
    <row r="3406" customFormat="false" ht="15" hidden="false" customHeight="false" outlineLevel="0" collapsed="false">
      <c r="A3406" s="12" t="s">
        <v>712</v>
      </c>
      <c r="B3406" s="12" t="n">
        <f aca="false">COUNTIFS(Cleaned!$D$2:$D$125,9,Cleaned!FH$2:FH$125,"&lt;&gt;")</f>
        <v>0</v>
      </c>
      <c r="C3406" s="15" t="str">
        <f aca="false">IF(B3406=0,"",AVERAGEIF(Cleaned!$D$2:$D$125,9,Cleaned!FH$2:FH$125))</f>
        <v/>
      </c>
    </row>
    <row r="3407" customFormat="false" ht="15" hidden="false" customHeight="false" outlineLevel="0" collapsed="false">
      <c r="A3407" s="12" t="s">
        <v>713</v>
      </c>
      <c r="B3407" s="12" t="n">
        <f aca="false">COUNTIFS(Cleaned!$D$2:$D$125,10,Cleaned!FH$2:FH$125,"&lt;&gt;")</f>
        <v>0</v>
      </c>
      <c r="C3407" s="15" t="str">
        <f aca="false">IF(B3407=0,"",AVERAGEIF(Cleaned!$D$2:$D$125,10,Cleaned!FH$2:FH$125))</f>
        <v/>
      </c>
    </row>
    <row r="3408" customFormat="false" ht="15" hidden="false" customHeight="false" outlineLevel="0" collapsed="false">
      <c r="A3408" s="12" t="s">
        <v>714</v>
      </c>
      <c r="B3408" s="12" t="n">
        <f aca="false">COUNTIFS(Cleaned!$D$2:$D$125,11,Cleaned!FH$2:FH$125,"&lt;&gt;")</f>
        <v>2</v>
      </c>
      <c r="C3408" s="15" t="n">
        <f aca="false">IF(B3408=0,"",AVERAGEIF(Cleaned!$D$2:$D$125,11,Cleaned!FH$2:FH$125))</f>
        <v>20</v>
      </c>
    </row>
    <row r="3409" customFormat="false" ht="15" hidden="false" customHeight="false" outlineLevel="0" collapsed="false">
      <c r="A3409" s="12" t="s">
        <v>715</v>
      </c>
      <c r="B3409" s="12" t="n">
        <f aca="false">COUNTIFS(Cleaned!$D$2:$D$125,12,Cleaned!FH$2:FH$125,"&lt;&gt;")</f>
        <v>1</v>
      </c>
      <c r="C3409" s="15" t="n">
        <f aca="false">IF(B3409=0,"",AVERAGEIF(Cleaned!$D$2:$D$125,12,Cleaned!FH$2:FH$125))</f>
        <v>6</v>
      </c>
    </row>
    <row r="3412" customFormat="false" ht="15" hidden="false" customHeight="false" outlineLevel="0" collapsed="false">
      <c r="A3412" s="6" t="s">
        <v>123</v>
      </c>
      <c r="B3412" s="7" t="s">
        <v>907</v>
      </c>
    </row>
    <row r="3413" customFormat="false" ht="15" hidden="false" customHeight="false" outlineLevel="0" collapsed="false">
      <c r="A3413" s="11" t="s">
        <v>734</v>
      </c>
      <c r="B3413" s="9" t="s">
        <v>694</v>
      </c>
      <c r="C3413" s="9" t="s">
        <v>735</v>
      </c>
      <c r="D3413" s="9" t="s">
        <v>736</v>
      </c>
      <c r="E3413" s="9" t="s">
        <v>737</v>
      </c>
      <c r="F3413" s="9" t="s">
        <v>738</v>
      </c>
    </row>
    <row r="3414" customFormat="false" ht="15" hidden="false" customHeight="false" outlineLevel="0" collapsed="false">
      <c r="B3414" s="12" t="n">
        <f aca="false">COUNT(Cleaned!$FI$2:$FI$125)</f>
        <v>37</v>
      </c>
      <c r="C3414" s="12" t="n">
        <f aca="false">IFERROR(AVERAGE(Cleaned!$FI$2:$FI$125),"")</f>
        <v>11148.2972972973</v>
      </c>
      <c r="D3414" s="12" t="n">
        <f aca="false">IFERROR(MEDIAN(Cleaned!$FI$2:$FI$125),"")</f>
        <v>2557</v>
      </c>
      <c r="E3414" s="12" t="n">
        <f aca="false">IFERROR(MIN(Cleaned!$FI$2:$FI$125),"")</f>
        <v>80</v>
      </c>
      <c r="F3414" s="12" t="n">
        <f aca="false">IFERROR(MAX(Cleaned!$FI$2:$FI$125),"")</f>
        <v>176200</v>
      </c>
    </row>
    <row r="3415" customFormat="false" ht="15" hidden="false" customHeight="false" outlineLevel="0" collapsed="false">
      <c r="A3415" s="11" t="s">
        <v>697</v>
      </c>
      <c r="B3415" s="9" t="s">
        <v>739</v>
      </c>
      <c r="C3415" s="9" t="s">
        <v>735</v>
      </c>
    </row>
    <row r="3416" customFormat="false" ht="15" hidden="false" customHeight="false" outlineLevel="0" collapsed="false">
      <c r="A3416" s="12" t="s">
        <v>698</v>
      </c>
      <c r="B3416" s="12" t="n">
        <f aca="false">COUNTIFS(Cleaned!$C$2:$C$125,1,Cleaned!FI$2:FI$125,"&lt;&gt;")</f>
        <v>3</v>
      </c>
      <c r="C3416" s="15" t="n">
        <f aca="false">IF(B3416=0,"",AVERAGEIF(Cleaned!$C$2:$C$125,1,Cleaned!FI$2:FI$125))</f>
        <v>111</v>
      </c>
    </row>
    <row r="3417" customFormat="false" ht="15" hidden="false" customHeight="false" outlineLevel="0" collapsed="false">
      <c r="A3417" s="12" t="s">
        <v>699</v>
      </c>
      <c r="B3417" s="12" t="n">
        <f aca="false">COUNTIFS(Cleaned!$C$2:$C$125,2,Cleaned!FI$2:FI$125,"&lt;&gt;")</f>
        <v>3</v>
      </c>
      <c r="C3417" s="15" t="n">
        <f aca="false">IF(B3417=0,"",AVERAGEIF(Cleaned!$C$2:$C$125,2,Cleaned!FI$2:FI$125))</f>
        <v>379.333333333333</v>
      </c>
    </row>
    <row r="3418" customFormat="false" ht="15" hidden="false" customHeight="false" outlineLevel="0" collapsed="false">
      <c r="A3418" s="12" t="s">
        <v>700</v>
      </c>
      <c r="B3418" s="12" t="n">
        <f aca="false">COUNTIFS(Cleaned!$C$2:$C$125,3,Cleaned!FI$2:FI$125,"&lt;&gt;")</f>
        <v>8</v>
      </c>
      <c r="C3418" s="15" t="n">
        <f aca="false">IF(B3418=0,"",AVERAGEIF(Cleaned!$C$2:$C$125,3,Cleaned!FI$2:FI$125))</f>
        <v>1048.625</v>
      </c>
    </row>
    <row r="3419" customFormat="false" ht="15" hidden="false" customHeight="false" outlineLevel="0" collapsed="false">
      <c r="A3419" s="12" t="s">
        <v>701</v>
      </c>
      <c r="B3419" s="12" t="n">
        <f aca="false">COUNTIFS(Cleaned!$C$2:$C$125,4,Cleaned!FI$2:FI$125,"&lt;&gt;")</f>
        <v>9</v>
      </c>
      <c r="C3419" s="15" t="n">
        <f aca="false">IF(B3419=0,"",AVERAGEIF(Cleaned!$C$2:$C$125,4,Cleaned!FI$2:FI$125))</f>
        <v>2497</v>
      </c>
    </row>
    <row r="3420" customFormat="false" ht="15" hidden="false" customHeight="false" outlineLevel="0" collapsed="false">
      <c r="A3420" s="12" t="s">
        <v>702</v>
      </c>
      <c r="B3420" s="12" t="n">
        <f aca="false">COUNTIFS(Cleaned!$C$2:$C$125,5,Cleaned!FI$2:FI$125,"&lt;&gt;")</f>
        <v>14</v>
      </c>
      <c r="C3420" s="15" t="n">
        <f aca="false">IF(B3420=0,"",AVERAGEIF(Cleaned!$C$2:$C$125,5,Cleaned!FI$2:FI$125))</f>
        <v>27153.8571428571</v>
      </c>
    </row>
    <row r="3421" customFormat="false" ht="15" hidden="false" customHeight="false" outlineLevel="0" collapsed="false">
      <c r="A3421" s="11" t="s">
        <v>3</v>
      </c>
      <c r="B3421" s="9" t="s">
        <v>739</v>
      </c>
      <c r="C3421" s="9" t="s">
        <v>735</v>
      </c>
    </row>
    <row r="3422" customFormat="false" ht="15" hidden="false" customHeight="false" outlineLevel="0" collapsed="false">
      <c r="A3422" s="12" t="s">
        <v>704</v>
      </c>
      <c r="B3422" s="12" t="n">
        <f aca="false">COUNTIFS(Cleaned!$D$2:$D$125,1,Cleaned!FI$2:FI$125,"&lt;&gt;")</f>
        <v>4</v>
      </c>
      <c r="C3422" s="15" t="n">
        <f aca="false">IF(B3422=0,"",AVERAGEIF(Cleaned!$D$2:$D$125,1,Cleaned!FI$2:FI$125))</f>
        <v>1821</v>
      </c>
    </row>
    <row r="3423" customFormat="false" ht="15" hidden="false" customHeight="false" outlineLevel="0" collapsed="false">
      <c r="A3423" s="12" t="s">
        <v>705</v>
      </c>
      <c r="B3423" s="12" t="n">
        <f aca="false">COUNTIFS(Cleaned!$D$2:$D$125,2,Cleaned!FI$2:FI$125,"&lt;&gt;")</f>
        <v>9</v>
      </c>
      <c r="C3423" s="15" t="n">
        <f aca="false">IF(B3423=0,"",AVERAGEIF(Cleaned!$D$2:$D$125,2,Cleaned!FI$2:FI$125))</f>
        <v>29879.5555555556</v>
      </c>
    </row>
    <row r="3424" customFormat="false" ht="15" hidden="false" customHeight="false" outlineLevel="0" collapsed="false">
      <c r="A3424" s="12" t="s">
        <v>706</v>
      </c>
      <c r="B3424" s="12" t="n">
        <f aca="false">COUNTIFS(Cleaned!$D$2:$D$125,3,Cleaned!FI$2:FI$125,"&lt;&gt;")</f>
        <v>5</v>
      </c>
      <c r="C3424" s="15" t="n">
        <f aca="false">IF(B3424=0,"",AVERAGEIF(Cleaned!$D$2:$D$125,3,Cleaned!FI$2:FI$125))</f>
        <v>18715</v>
      </c>
    </row>
    <row r="3425" customFormat="false" ht="15" hidden="false" customHeight="false" outlineLevel="0" collapsed="false">
      <c r="A3425" s="12" t="s">
        <v>707</v>
      </c>
      <c r="B3425" s="12" t="n">
        <f aca="false">COUNTIFS(Cleaned!$D$2:$D$125,4,Cleaned!FI$2:FI$125,"&lt;&gt;")</f>
        <v>4</v>
      </c>
      <c r="C3425" s="15" t="n">
        <f aca="false">IF(B3425=0,"",AVERAGEIF(Cleaned!$D$2:$D$125,4,Cleaned!FI$2:FI$125))</f>
        <v>1737.25</v>
      </c>
    </row>
    <row r="3426" customFormat="false" ht="15" hidden="false" customHeight="false" outlineLevel="0" collapsed="false">
      <c r="A3426" s="12" t="s">
        <v>708</v>
      </c>
      <c r="B3426" s="12" t="n">
        <f aca="false">COUNTIFS(Cleaned!$D$2:$D$125,5,Cleaned!FI$2:FI$125,"&lt;&gt;")</f>
        <v>1</v>
      </c>
      <c r="C3426" s="15" t="n">
        <f aca="false">IF(B3426=0,"",AVERAGEIF(Cleaned!$D$2:$D$125,5,Cleaned!FI$2:FI$125))</f>
        <v>3492</v>
      </c>
    </row>
    <row r="3427" customFormat="false" ht="15" hidden="false" customHeight="false" outlineLevel="0" collapsed="false">
      <c r="A3427" s="12" t="s">
        <v>709</v>
      </c>
      <c r="B3427" s="12" t="n">
        <f aca="false">COUNTIFS(Cleaned!$D$2:$D$125,6,Cleaned!FI$2:FI$125,"&lt;&gt;")</f>
        <v>2</v>
      </c>
      <c r="C3427" s="15" t="n">
        <f aca="false">IF(B3427=0,"",AVERAGEIF(Cleaned!$D$2:$D$125,6,Cleaned!FI$2:FI$125))</f>
        <v>1477.5</v>
      </c>
    </row>
    <row r="3428" customFormat="false" ht="15" hidden="false" customHeight="false" outlineLevel="0" collapsed="false">
      <c r="A3428" s="12" t="s">
        <v>710</v>
      </c>
      <c r="B3428" s="12" t="n">
        <f aca="false">COUNTIFS(Cleaned!$D$2:$D$125,7,Cleaned!FI$2:FI$125,"&lt;&gt;")</f>
        <v>5</v>
      </c>
      <c r="C3428" s="15" t="n">
        <f aca="false">IF(B3428=0,"",AVERAGEIF(Cleaned!$D$2:$D$125,7,Cleaned!FI$2:FI$125))</f>
        <v>4509.8</v>
      </c>
    </row>
    <row r="3429" customFormat="false" ht="15" hidden="false" customHeight="false" outlineLevel="0" collapsed="false">
      <c r="A3429" s="12" t="s">
        <v>711</v>
      </c>
      <c r="B3429" s="12" t="n">
        <f aca="false">COUNTIFS(Cleaned!$D$2:$D$125,8,Cleaned!FI$2:FI$125,"&lt;&gt;")</f>
        <v>2</v>
      </c>
      <c r="C3429" s="15" t="n">
        <f aca="false">IF(B3429=0,"",AVERAGEIF(Cleaned!$D$2:$D$125,8,Cleaned!FI$2:FI$125))</f>
        <v>1622</v>
      </c>
    </row>
    <row r="3430" customFormat="false" ht="15" hidden="false" customHeight="false" outlineLevel="0" collapsed="false">
      <c r="A3430" s="12" t="s">
        <v>712</v>
      </c>
      <c r="B3430" s="12" t="n">
        <f aca="false">COUNTIFS(Cleaned!$D$2:$D$125,9,Cleaned!FI$2:FI$125,"&lt;&gt;")</f>
        <v>1</v>
      </c>
      <c r="C3430" s="15" t="n">
        <f aca="false">IF(B3430=0,"",AVERAGEIF(Cleaned!$D$2:$D$125,9,Cleaned!FI$2:FI$125))</f>
        <v>114</v>
      </c>
    </row>
    <row r="3431" customFormat="false" ht="15" hidden="false" customHeight="false" outlineLevel="0" collapsed="false">
      <c r="A3431" s="12" t="s">
        <v>713</v>
      </c>
      <c r="B3431" s="12" t="n">
        <f aca="false">COUNTIFS(Cleaned!$D$2:$D$125,10,Cleaned!FI$2:FI$125,"&lt;&gt;")</f>
        <v>0</v>
      </c>
      <c r="C3431" s="15" t="str">
        <f aca="false">IF(B3431=0,"",AVERAGEIF(Cleaned!$D$2:$D$125,10,Cleaned!FI$2:FI$125))</f>
        <v/>
      </c>
    </row>
    <row r="3432" customFormat="false" ht="15" hidden="false" customHeight="false" outlineLevel="0" collapsed="false">
      <c r="A3432" s="12" t="s">
        <v>714</v>
      </c>
      <c r="B3432" s="12" t="n">
        <f aca="false">COUNTIFS(Cleaned!$D$2:$D$125,11,Cleaned!FI$2:FI$125,"&lt;&gt;")</f>
        <v>2</v>
      </c>
      <c r="C3432" s="15" t="n">
        <f aca="false">IF(B3432=0,"",AVERAGEIF(Cleaned!$D$2:$D$125,11,Cleaned!FI$2:FI$125))</f>
        <v>1508.5</v>
      </c>
    </row>
    <row r="3433" customFormat="false" ht="15" hidden="false" customHeight="false" outlineLevel="0" collapsed="false">
      <c r="A3433" s="12" t="s">
        <v>715</v>
      </c>
      <c r="B3433" s="12" t="n">
        <f aca="false">COUNTIFS(Cleaned!$D$2:$D$125,12,Cleaned!FI$2:FI$125,"&lt;&gt;")</f>
        <v>2</v>
      </c>
      <c r="C3433" s="15" t="n">
        <f aca="false">IF(B3433=0,"",AVERAGEIF(Cleaned!$D$2:$D$125,12,Cleaned!FI$2:FI$125))</f>
        <v>196</v>
      </c>
    </row>
    <row r="3436" customFormat="false" ht="15" hidden="false" customHeight="false" outlineLevel="0" collapsed="false">
      <c r="A3436" s="6" t="s">
        <v>124</v>
      </c>
      <c r="B3436" s="7" t="s">
        <v>908</v>
      </c>
    </row>
    <row r="3437" customFormat="false" ht="15" hidden="false" customHeight="false" outlineLevel="0" collapsed="false">
      <c r="A3437" s="8"/>
      <c r="B3437" s="9" t="s">
        <v>372</v>
      </c>
      <c r="C3437" s="8"/>
      <c r="D3437" s="9" t="s">
        <v>434</v>
      </c>
      <c r="E3437" s="8"/>
      <c r="F3437" s="9" t="s">
        <v>850</v>
      </c>
      <c r="G3437" s="8"/>
      <c r="H3437" s="9" t="s">
        <v>909</v>
      </c>
      <c r="I3437" s="8"/>
      <c r="J3437" s="9" t="s">
        <v>910</v>
      </c>
      <c r="K3437" s="8"/>
      <c r="L3437" s="9" t="s">
        <v>911</v>
      </c>
      <c r="M3437" s="8"/>
      <c r="N3437" s="9" t="s">
        <v>851</v>
      </c>
      <c r="O3437" s="8"/>
      <c r="P3437" s="9" t="s">
        <v>912</v>
      </c>
      <c r="Q3437" s="8"/>
      <c r="R3437" s="9" t="s">
        <v>913</v>
      </c>
      <c r="S3437" s="8"/>
      <c r="T3437" s="9" t="s">
        <v>914</v>
      </c>
      <c r="U3437" s="8"/>
      <c r="V3437" s="9" t="s">
        <v>465</v>
      </c>
      <c r="W3437" s="8"/>
      <c r="X3437" s="9" t="s">
        <v>250</v>
      </c>
      <c r="Y3437" s="8"/>
      <c r="Z3437" s="9" t="s">
        <v>694</v>
      </c>
    </row>
    <row r="3438" customFormat="false" ht="15" hidden="false" customHeight="false" outlineLevel="0" collapsed="false">
      <c r="B3438" s="10" t="s">
        <v>695</v>
      </c>
      <c r="C3438" s="10" t="s">
        <v>696</v>
      </c>
      <c r="D3438" s="10" t="s">
        <v>695</v>
      </c>
      <c r="E3438" s="10" t="s">
        <v>696</v>
      </c>
      <c r="F3438" s="10" t="s">
        <v>695</v>
      </c>
      <c r="G3438" s="10" t="s">
        <v>696</v>
      </c>
      <c r="H3438" s="10" t="s">
        <v>695</v>
      </c>
      <c r="I3438" s="10" t="s">
        <v>696</v>
      </c>
      <c r="J3438" s="10" t="s">
        <v>695</v>
      </c>
      <c r="K3438" s="10" t="s">
        <v>696</v>
      </c>
      <c r="L3438" s="10" t="s">
        <v>695</v>
      </c>
      <c r="M3438" s="10" t="s">
        <v>696</v>
      </c>
      <c r="N3438" s="10" t="s">
        <v>695</v>
      </c>
      <c r="O3438" s="10" t="s">
        <v>696</v>
      </c>
      <c r="P3438" s="10" t="s">
        <v>695</v>
      </c>
      <c r="Q3438" s="10" t="s">
        <v>696</v>
      </c>
      <c r="R3438" s="10" t="s">
        <v>695</v>
      </c>
      <c r="S3438" s="10" t="s">
        <v>696</v>
      </c>
      <c r="T3438" s="10" t="s">
        <v>695</v>
      </c>
      <c r="U3438" s="10" t="s">
        <v>696</v>
      </c>
      <c r="V3438" s="10" t="s">
        <v>695</v>
      </c>
      <c r="W3438" s="10" t="s">
        <v>696</v>
      </c>
      <c r="X3438" s="10" t="s">
        <v>695</v>
      </c>
      <c r="Y3438" s="10" t="s">
        <v>696</v>
      </c>
    </row>
    <row r="3439" customFormat="false" ht="15" hidden="false" customHeight="false" outlineLevel="0" collapsed="false">
      <c r="A3439" s="11" t="s">
        <v>697</v>
      </c>
    </row>
    <row r="3440" customFormat="false" ht="15" hidden="false" customHeight="false" outlineLevel="0" collapsed="false">
      <c r="A3440" s="12" t="s">
        <v>698</v>
      </c>
      <c r="B3440" s="12" t="n">
        <f aca="false">COUNTIFS(Cleaned!$C$2:$C$125,1,Cleaned!FJ$2:FJ$125,1)</f>
        <v>0</v>
      </c>
      <c r="C3440" s="13" t="str">
        <f aca="false">IFERROR(B3440/$Z3440,"")</f>
        <v/>
      </c>
      <c r="D3440" s="12" t="n">
        <f aca="false">COUNTIFS(Cleaned!$C$2:$C$125,1,Cleaned!FJ$2:FJ$125,2)</f>
        <v>0</v>
      </c>
      <c r="E3440" s="13" t="str">
        <f aca="false">IFERROR(D3440/$Z3440,"")</f>
        <v/>
      </c>
      <c r="F3440" s="12" t="n">
        <f aca="false">COUNTIFS(Cleaned!$C$2:$C$125,1,Cleaned!FJ$2:FJ$125,3)</f>
        <v>0</v>
      </c>
      <c r="G3440" s="13" t="str">
        <f aca="false">IFERROR(F3440/$Z3440,"")</f>
        <v/>
      </c>
      <c r="H3440" s="12" t="n">
        <f aca="false">COUNTIFS(Cleaned!$C$2:$C$125,1,Cleaned!FJ$2:FJ$125,4)</f>
        <v>0</v>
      </c>
      <c r="I3440" s="13" t="str">
        <f aca="false">IFERROR(H3440/$Z3440,"")</f>
        <v/>
      </c>
      <c r="J3440" s="12" t="n">
        <f aca="false">COUNTIFS(Cleaned!$C$2:$C$125,1,Cleaned!FJ$2:FJ$125,5)</f>
        <v>0</v>
      </c>
      <c r="K3440" s="13" t="str">
        <f aca="false">IFERROR(J3440/$Z3440,"")</f>
        <v/>
      </c>
      <c r="L3440" s="12" t="n">
        <f aca="false">COUNTIFS(Cleaned!$C$2:$C$125,1,Cleaned!FJ$2:FJ$125,6)</f>
        <v>0</v>
      </c>
      <c r="M3440" s="13" t="str">
        <f aca="false">IFERROR(L3440/$Z3440,"")</f>
        <v/>
      </c>
      <c r="N3440" s="12" t="n">
        <f aca="false">COUNTIFS(Cleaned!$C$2:$C$125,1,Cleaned!FJ$2:FJ$125,7)</f>
        <v>0</v>
      </c>
      <c r="O3440" s="13" t="str">
        <f aca="false">IFERROR(N3440/$Z3440,"")</f>
        <v/>
      </c>
      <c r="P3440" s="12" t="n">
        <f aca="false">COUNTIFS(Cleaned!$C$2:$C$125,1,Cleaned!FJ$2:FJ$125,8)</f>
        <v>0</v>
      </c>
      <c r="Q3440" s="13" t="str">
        <f aca="false">IFERROR(P3440/$Z3440,"")</f>
        <v/>
      </c>
      <c r="R3440" s="12" t="n">
        <f aca="false">COUNTIFS(Cleaned!$C$2:$C$125,1,Cleaned!FJ$2:FJ$125,9)</f>
        <v>0</v>
      </c>
      <c r="S3440" s="13" t="str">
        <f aca="false">IFERROR(R3440/$Z3440,"")</f>
        <v/>
      </c>
      <c r="T3440" s="12" t="n">
        <f aca="false">COUNTIFS(Cleaned!$C$2:$C$125,1,Cleaned!FJ$2:FJ$125,10)</f>
        <v>0</v>
      </c>
      <c r="U3440" s="13" t="str">
        <f aca="false">IFERROR(T3440/$Z3440,"")</f>
        <v/>
      </c>
      <c r="V3440" s="12" t="n">
        <f aca="false">COUNTIFS(Cleaned!$C$2:$C$125,1,Cleaned!FJ$2:FJ$125,11)</f>
        <v>0</v>
      </c>
      <c r="W3440" s="13" t="str">
        <f aca="false">IFERROR(V3440/$Z3440,"")</f>
        <v/>
      </c>
      <c r="X3440" s="12" t="n">
        <f aca="false">COUNTIFS(Cleaned!$C$2:$C$125,1,Cleaned!FJ$2:FJ$125,12)</f>
        <v>0</v>
      </c>
      <c r="Y3440" s="13" t="str">
        <f aca="false">IFERROR(X3440/$Z3440,"")</f>
        <v/>
      </c>
      <c r="Z3440" s="12" t="n">
        <f aca="false">B3440+D3440+F3440+H3440+J3440+L3440+N3440+P3440+R3440+T3440+V3440+X3440</f>
        <v>0</v>
      </c>
    </row>
    <row r="3441" customFormat="false" ht="15" hidden="false" customHeight="false" outlineLevel="0" collapsed="false">
      <c r="A3441" s="12" t="s">
        <v>699</v>
      </c>
      <c r="B3441" s="12" t="n">
        <f aca="false">COUNTIFS(Cleaned!$C$2:$C$125,2,Cleaned!FJ$2:FJ$125,1)</f>
        <v>1</v>
      </c>
      <c r="C3441" s="13" t="n">
        <f aca="false">IFERROR(B3441/$Z3441,"")</f>
        <v>0.5</v>
      </c>
      <c r="D3441" s="12" t="n">
        <f aca="false">COUNTIFS(Cleaned!$C$2:$C$125,2,Cleaned!FJ$2:FJ$125,2)</f>
        <v>0</v>
      </c>
      <c r="E3441" s="13" t="n">
        <f aca="false">IFERROR(D3441/$Z3441,"")</f>
        <v>0</v>
      </c>
      <c r="F3441" s="12" t="n">
        <f aca="false">COUNTIFS(Cleaned!$C$2:$C$125,2,Cleaned!FJ$2:FJ$125,3)</f>
        <v>0</v>
      </c>
      <c r="G3441" s="13" t="n">
        <f aca="false">IFERROR(F3441/$Z3441,"")</f>
        <v>0</v>
      </c>
      <c r="H3441" s="12" t="n">
        <f aca="false">COUNTIFS(Cleaned!$C$2:$C$125,2,Cleaned!FJ$2:FJ$125,4)</f>
        <v>0</v>
      </c>
      <c r="I3441" s="13" t="n">
        <f aca="false">IFERROR(H3441/$Z3441,"")</f>
        <v>0</v>
      </c>
      <c r="J3441" s="12" t="n">
        <f aca="false">COUNTIFS(Cleaned!$C$2:$C$125,2,Cleaned!FJ$2:FJ$125,5)</f>
        <v>0</v>
      </c>
      <c r="K3441" s="13" t="n">
        <f aca="false">IFERROR(J3441/$Z3441,"")</f>
        <v>0</v>
      </c>
      <c r="L3441" s="12" t="n">
        <f aca="false">COUNTIFS(Cleaned!$C$2:$C$125,2,Cleaned!FJ$2:FJ$125,6)</f>
        <v>0</v>
      </c>
      <c r="M3441" s="13" t="n">
        <f aca="false">IFERROR(L3441/$Z3441,"")</f>
        <v>0</v>
      </c>
      <c r="N3441" s="12" t="n">
        <f aca="false">COUNTIFS(Cleaned!$C$2:$C$125,2,Cleaned!FJ$2:FJ$125,7)</f>
        <v>1</v>
      </c>
      <c r="O3441" s="13" t="n">
        <f aca="false">IFERROR(N3441/$Z3441,"")</f>
        <v>0.5</v>
      </c>
      <c r="P3441" s="12" t="n">
        <f aca="false">COUNTIFS(Cleaned!$C$2:$C$125,2,Cleaned!FJ$2:FJ$125,8)</f>
        <v>0</v>
      </c>
      <c r="Q3441" s="13" t="n">
        <f aca="false">IFERROR(P3441/$Z3441,"")</f>
        <v>0</v>
      </c>
      <c r="R3441" s="12" t="n">
        <f aca="false">COUNTIFS(Cleaned!$C$2:$C$125,2,Cleaned!FJ$2:FJ$125,9)</f>
        <v>0</v>
      </c>
      <c r="S3441" s="13" t="n">
        <f aca="false">IFERROR(R3441/$Z3441,"")</f>
        <v>0</v>
      </c>
      <c r="T3441" s="12" t="n">
        <f aca="false">COUNTIFS(Cleaned!$C$2:$C$125,2,Cleaned!FJ$2:FJ$125,10)</f>
        <v>0</v>
      </c>
      <c r="U3441" s="13" t="n">
        <f aca="false">IFERROR(T3441/$Z3441,"")</f>
        <v>0</v>
      </c>
      <c r="V3441" s="12" t="n">
        <f aca="false">COUNTIFS(Cleaned!$C$2:$C$125,2,Cleaned!FJ$2:FJ$125,11)</f>
        <v>0</v>
      </c>
      <c r="W3441" s="13" t="n">
        <f aca="false">IFERROR(V3441/$Z3441,"")</f>
        <v>0</v>
      </c>
      <c r="X3441" s="12" t="n">
        <f aca="false">COUNTIFS(Cleaned!$C$2:$C$125,2,Cleaned!FJ$2:FJ$125,12)</f>
        <v>0</v>
      </c>
      <c r="Y3441" s="13" t="n">
        <f aca="false">IFERROR(X3441/$Z3441,"")</f>
        <v>0</v>
      </c>
      <c r="Z3441" s="12" t="n">
        <f aca="false">B3441+D3441+F3441+H3441+J3441+L3441+N3441+P3441+R3441+T3441+V3441+X3441</f>
        <v>2</v>
      </c>
    </row>
    <row r="3442" customFormat="false" ht="15" hidden="false" customHeight="false" outlineLevel="0" collapsed="false">
      <c r="A3442" s="12" t="s">
        <v>700</v>
      </c>
      <c r="B3442" s="12" t="n">
        <f aca="false">COUNTIFS(Cleaned!$C$2:$C$125,3,Cleaned!FJ$2:FJ$125,1)</f>
        <v>2</v>
      </c>
      <c r="C3442" s="13" t="n">
        <f aca="false">IFERROR(B3442/$Z3442,"")</f>
        <v>0.4</v>
      </c>
      <c r="D3442" s="12" t="n">
        <f aca="false">COUNTIFS(Cleaned!$C$2:$C$125,3,Cleaned!FJ$2:FJ$125,2)</f>
        <v>0</v>
      </c>
      <c r="E3442" s="13" t="n">
        <f aca="false">IFERROR(D3442/$Z3442,"")</f>
        <v>0</v>
      </c>
      <c r="F3442" s="12" t="n">
        <f aca="false">COUNTIFS(Cleaned!$C$2:$C$125,3,Cleaned!FJ$2:FJ$125,3)</f>
        <v>2</v>
      </c>
      <c r="G3442" s="13" t="n">
        <f aca="false">IFERROR(F3442/$Z3442,"")</f>
        <v>0.4</v>
      </c>
      <c r="H3442" s="12" t="n">
        <f aca="false">COUNTIFS(Cleaned!$C$2:$C$125,3,Cleaned!FJ$2:FJ$125,4)</f>
        <v>0</v>
      </c>
      <c r="I3442" s="13" t="n">
        <f aca="false">IFERROR(H3442/$Z3442,"")</f>
        <v>0</v>
      </c>
      <c r="J3442" s="12" t="n">
        <f aca="false">COUNTIFS(Cleaned!$C$2:$C$125,3,Cleaned!FJ$2:FJ$125,5)</f>
        <v>0</v>
      </c>
      <c r="K3442" s="13" t="n">
        <f aca="false">IFERROR(J3442/$Z3442,"")</f>
        <v>0</v>
      </c>
      <c r="L3442" s="12" t="n">
        <f aca="false">COUNTIFS(Cleaned!$C$2:$C$125,3,Cleaned!FJ$2:FJ$125,6)</f>
        <v>0</v>
      </c>
      <c r="M3442" s="13" t="n">
        <f aca="false">IFERROR(L3442/$Z3442,"")</f>
        <v>0</v>
      </c>
      <c r="N3442" s="12" t="n">
        <f aca="false">COUNTIFS(Cleaned!$C$2:$C$125,3,Cleaned!FJ$2:FJ$125,7)</f>
        <v>0</v>
      </c>
      <c r="O3442" s="13" t="n">
        <f aca="false">IFERROR(N3442/$Z3442,"")</f>
        <v>0</v>
      </c>
      <c r="P3442" s="12" t="n">
        <f aca="false">COUNTIFS(Cleaned!$C$2:$C$125,3,Cleaned!FJ$2:FJ$125,8)</f>
        <v>0</v>
      </c>
      <c r="Q3442" s="13" t="n">
        <f aca="false">IFERROR(P3442/$Z3442,"")</f>
        <v>0</v>
      </c>
      <c r="R3442" s="12" t="n">
        <f aca="false">COUNTIFS(Cleaned!$C$2:$C$125,3,Cleaned!FJ$2:FJ$125,9)</f>
        <v>1</v>
      </c>
      <c r="S3442" s="13" t="n">
        <f aca="false">IFERROR(R3442/$Z3442,"")</f>
        <v>0.2</v>
      </c>
      <c r="T3442" s="12" t="n">
        <f aca="false">COUNTIFS(Cleaned!$C$2:$C$125,3,Cleaned!FJ$2:FJ$125,10)</f>
        <v>0</v>
      </c>
      <c r="U3442" s="13" t="n">
        <f aca="false">IFERROR(T3442/$Z3442,"")</f>
        <v>0</v>
      </c>
      <c r="V3442" s="12" t="n">
        <f aca="false">COUNTIFS(Cleaned!$C$2:$C$125,3,Cleaned!FJ$2:FJ$125,11)</f>
        <v>0</v>
      </c>
      <c r="W3442" s="13" t="n">
        <f aca="false">IFERROR(V3442/$Z3442,"")</f>
        <v>0</v>
      </c>
      <c r="X3442" s="12" t="n">
        <f aca="false">COUNTIFS(Cleaned!$C$2:$C$125,3,Cleaned!FJ$2:FJ$125,12)</f>
        <v>0</v>
      </c>
      <c r="Y3442" s="13" t="n">
        <f aca="false">IFERROR(X3442/$Z3442,"")</f>
        <v>0</v>
      </c>
      <c r="Z3442" s="12" t="n">
        <f aca="false">B3442+D3442+F3442+H3442+J3442+L3442+N3442+P3442+R3442+T3442+V3442+X3442</f>
        <v>5</v>
      </c>
    </row>
    <row r="3443" customFormat="false" ht="15" hidden="false" customHeight="false" outlineLevel="0" collapsed="false">
      <c r="A3443" s="12" t="s">
        <v>701</v>
      </c>
      <c r="B3443" s="12" t="n">
        <f aca="false">COUNTIFS(Cleaned!$C$2:$C$125,4,Cleaned!FJ$2:FJ$125,1)</f>
        <v>3</v>
      </c>
      <c r="C3443" s="13" t="n">
        <f aca="false">IFERROR(B3443/$Z3443,"")</f>
        <v>0.5</v>
      </c>
      <c r="D3443" s="12" t="n">
        <f aca="false">COUNTIFS(Cleaned!$C$2:$C$125,4,Cleaned!FJ$2:FJ$125,2)</f>
        <v>1</v>
      </c>
      <c r="E3443" s="13" t="n">
        <f aca="false">IFERROR(D3443/$Z3443,"")</f>
        <v>0.166666666666667</v>
      </c>
      <c r="F3443" s="12" t="n">
        <f aca="false">COUNTIFS(Cleaned!$C$2:$C$125,4,Cleaned!FJ$2:FJ$125,3)</f>
        <v>0</v>
      </c>
      <c r="G3443" s="13" t="n">
        <f aca="false">IFERROR(F3443/$Z3443,"")</f>
        <v>0</v>
      </c>
      <c r="H3443" s="12" t="n">
        <f aca="false">COUNTIFS(Cleaned!$C$2:$C$125,4,Cleaned!FJ$2:FJ$125,4)</f>
        <v>1</v>
      </c>
      <c r="I3443" s="13" t="n">
        <f aca="false">IFERROR(H3443/$Z3443,"")</f>
        <v>0.166666666666667</v>
      </c>
      <c r="J3443" s="12" t="n">
        <f aca="false">COUNTIFS(Cleaned!$C$2:$C$125,4,Cleaned!FJ$2:FJ$125,5)</f>
        <v>0</v>
      </c>
      <c r="K3443" s="13" t="n">
        <f aca="false">IFERROR(J3443/$Z3443,"")</f>
        <v>0</v>
      </c>
      <c r="L3443" s="12" t="n">
        <f aca="false">COUNTIFS(Cleaned!$C$2:$C$125,4,Cleaned!FJ$2:FJ$125,6)</f>
        <v>0</v>
      </c>
      <c r="M3443" s="13" t="n">
        <f aca="false">IFERROR(L3443/$Z3443,"")</f>
        <v>0</v>
      </c>
      <c r="N3443" s="12" t="n">
        <f aca="false">COUNTIFS(Cleaned!$C$2:$C$125,4,Cleaned!FJ$2:FJ$125,7)</f>
        <v>0</v>
      </c>
      <c r="O3443" s="13" t="n">
        <f aca="false">IFERROR(N3443/$Z3443,"")</f>
        <v>0</v>
      </c>
      <c r="P3443" s="12" t="n">
        <f aca="false">COUNTIFS(Cleaned!$C$2:$C$125,4,Cleaned!FJ$2:FJ$125,8)</f>
        <v>1</v>
      </c>
      <c r="Q3443" s="13" t="n">
        <f aca="false">IFERROR(P3443/$Z3443,"")</f>
        <v>0.166666666666667</v>
      </c>
      <c r="R3443" s="12" t="n">
        <f aca="false">COUNTIFS(Cleaned!$C$2:$C$125,4,Cleaned!FJ$2:FJ$125,9)</f>
        <v>0</v>
      </c>
      <c r="S3443" s="13" t="n">
        <f aca="false">IFERROR(R3443/$Z3443,"")</f>
        <v>0</v>
      </c>
      <c r="T3443" s="12" t="n">
        <f aca="false">COUNTIFS(Cleaned!$C$2:$C$125,4,Cleaned!FJ$2:FJ$125,10)</f>
        <v>0</v>
      </c>
      <c r="U3443" s="13" t="n">
        <f aca="false">IFERROR(T3443/$Z3443,"")</f>
        <v>0</v>
      </c>
      <c r="V3443" s="12" t="n">
        <f aca="false">COUNTIFS(Cleaned!$C$2:$C$125,4,Cleaned!FJ$2:FJ$125,11)</f>
        <v>0</v>
      </c>
      <c r="W3443" s="13" t="n">
        <f aca="false">IFERROR(V3443/$Z3443,"")</f>
        <v>0</v>
      </c>
      <c r="X3443" s="12" t="n">
        <f aca="false">COUNTIFS(Cleaned!$C$2:$C$125,4,Cleaned!FJ$2:FJ$125,12)</f>
        <v>0</v>
      </c>
      <c r="Y3443" s="13" t="n">
        <f aca="false">IFERROR(X3443/$Z3443,"")</f>
        <v>0</v>
      </c>
      <c r="Z3443" s="12" t="n">
        <f aca="false">B3443+D3443+F3443+H3443+J3443+L3443+N3443+P3443+R3443+T3443+V3443+X3443</f>
        <v>6</v>
      </c>
    </row>
    <row r="3444" customFormat="false" ht="15" hidden="false" customHeight="false" outlineLevel="0" collapsed="false">
      <c r="A3444" s="12" t="s">
        <v>702</v>
      </c>
      <c r="B3444" s="12" t="n">
        <f aca="false">COUNTIFS(Cleaned!$C$2:$C$125,5,Cleaned!FJ$2:FJ$125,1)</f>
        <v>2</v>
      </c>
      <c r="C3444" s="13" t="n">
        <f aca="false">IFERROR(B3444/$Z3444,"")</f>
        <v>0.25</v>
      </c>
      <c r="D3444" s="12" t="n">
        <f aca="false">COUNTIFS(Cleaned!$C$2:$C$125,5,Cleaned!FJ$2:FJ$125,2)</f>
        <v>1</v>
      </c>
      <c r="E3444" s="13" t="n">
        <f aca="false">IFERROR(D3444/$Z3444,"")</f>
        <v>0.125</v>
      </c>
      <c r="F3444" s="12" t="n">
        <f aca="false">COUNTIFS(Cleaned!$C$2:$C$125,5,Cleaned!FJ$2:FJ$125,3)</f>
        <v>0</v>
      </c>
      <c r="G3444" s="13" t="n">
        <f aca="false">IFERROR(F3444/$Z3444,"")</f>
        <v>0</v>
      </c>
      <c r="H3444" s="12" t="n">
        <f aca="false">COUNTIFS(Cleaned!$C$2:$C$125,5,Cleaned!FJ$2:FJ$125,4)</f>
        <v>0</v>
      </c>
      <c r="I3444" s="13" t="n">
        <f aca="false">IFERROR(H3444/$Z3444,"")</f>
        <v>0</v>
      </c>
      <c r="J3444" s="12" t="n">
        <f aca="false">COUNTIFS(Cleaned!$C$2:$C$125,5,Cleaned!FJ$2:FJ$125,5)</f>
        <v>1</v>
      </c>
      <c r="K3444" s="13" t="n">
        <f aca="false">IFERROR(J3444/$Z3444,"")</f>
        <v>0.125</v>
      </c>
      <c r="L3444" s="12" t="n">
        <f aca="false">COUNTIFS(Cleaned!$C$2:$C$125,5,Cleaned!FJ$2:FJ$125,6)</f>
        <v>1</v>
      </c>
      <c r="M3444" s="13" t="n">
        <f aca="false">IFERROR(L3444/$Z3444,"")</f>
        <v>0.125</v>
      </c>
      <c r="N3444" s="12" t="n">
        <f aca="false">COUNTIFS(Cleaned!$C$2:$C$125,5,Cleaned!FJ$2:FJ$125,7)</f>
        <v>0</v>
      </c>
      <c r="O3444" s="13" t="n">
        <f aca="false">IFERROR(N3444/$Z3444,"")</f>
        <v>0</v>
      </c>
      <c r="P3444" s="12" t="n">
        <f aca="false">COUNTIFS(Cleaned!$C$2:$C$125,5,Cleaned!FJ$2:FJ$125,8)</f>
        <v>0</v>
      </c>
      <c r="Q3444" s="13" t="n">
        <f aca="false">IFERROR(P3444/$Z3444,"")</f>
        <v>0</v>
      </c>
      <c r="R3444" s="12" t="n">
        <f aca="false">COUNTIFS(Cleaned!$C$2:$C$125,5,Cleaned!FJ$2:FJ$125,9)</f>
        <v>0</v>
      </c>
      <c r="S3444" s="13" t="n">
        <f aca="false">IFERROR(R3444/$Z3444,"")</f>
        <v>0</v>
      </c>
      <c r="T3444" s="12" t="n">
        <f aca="false">COUNTIFS(Cleaned!$C$2:$C$125,5,Cleaned!FJ$2:FJ$125,10)</f>
        <v>1</v>
      </c>
      <c r="U3444" s="13" t="n">
        <f aca="false">IFERROR(T3444/$Z3444,"")</f>
        <v>0.125</v>
      </c>
      <c r="V3444" s="12" t="n">
        <f aca="false">COUNTIFS(Cleaned!$C$2:$C$125,5,Cleaned!FJ$2:FJ$125,11)</f>
        <v>1</v>
      </c>
      <c r="W3444" s="13" t="n">
        <f aca="false">IFERROR(V3444/$Z3444,"")</f>
        <v>0.125</v>
      </c>
      <c r="X3444" s="12" t="n">
        <f aca="false">COUNTIFS(Cleaned!$C$2:$C$125,5,Cleaned!FJ$2:FJ$125,12)</f>
        <v>1</v>
      </c>
      <c r="Y3444" s="13" t="n">
        <f aca="false">IFERROR(X3444/$Z3444,"")</f>
        <v>0.125</v>
      </c>
      <c r="Z3444" s="12" t="n">
        <f aca="false">B3444+D3444+F3444+H3444+J3444+L3444+N3444+P3444+R3444+T3444+V3444+X3444</f>
        <v>8</v>
      </c>
    </row>
    <row r="3445" customFormat="false" ht="15" hidden="false" customHeight="false" outlineLevel="0" collapsed="false">
      <c r="A3445" s="11" t="s">
        <v>703</v>
      </c>
      <c r="B3445" s="11" t="n">
        <f aca="false">SUM(B3440:B3444)</f>
        <v>8</v>
      </c>
      <c r="C3445" s="14" t="n">
        <f aca="false">IFERROR(B3445/$Z3445,"")</f>
        <v>0.380952380952381</v>
      </c>
      <c r="D3445" s="11" t="n">
        <f aca="false">SUM(D3440:D3444)</f>
        <v>2</v>
      </c>
      <c r="E3445" s="14" t="n">
        <f aca="false">IFERROR(D3445/$Z3445,"")</f>
        <v>0.0952380952380952</v>
      </c>
      <c r="F3445" s="11" t="n">
        <f aca="false">SUM(F3440:F3444)</f>
        <v>2</v>
      </c>
      <c r="G3445" s="14" t="n">
        <f aca="false">IFERROR(F3445/$Z3445,"")</f>
        <v>0.0952380952380952</v>
      </c>
      <c r="H3445" s="11" t="n">
        <f aca="false">SUM(H3440:H3444)</f>
        <v>1</v>
      </c>
      <c r="I3445" s="14" t="n">
        <f aca="false">IFERROR(H3445/$Z3445,"")</f>
        <v>0.0476190476190476</v>
      </c>
      <c r="J3445" s="11" t="n">
        <f aca="false">SUM(J3440:J3444)</f>
        <v>1</v>
      </c>
      <c r="K3445" s="14" t="n">
        <f aca="false">IFERROR(J3445/$Z3445,"")</f>
        <v>0.0476190476190476</v>
      </c>
      <c r="L3445" s="11" t="n">
        <f aca="false">SUM(L3440:L3444)</f>
        <v>1</v>
      </c>
      <c r="M3445" s="14" t="n">
        <f aca="false">IFERROR(L3445/$Z3445,"")</f>
        <v>0.0476190476190476</v>
      </c>
      <c r="N3445" s="11" t="n">
        <f aca="false">SUM(N3440:N3444)</f>
        <v>1</v>
      </c>
      <c r="O3445" s="14" t="n">
        <f aca="false">IFERROR(N3445/$Z3445,"")</f>
        <v>0.0476190476190476</v>
      </c>
      <c r="P3445" s="11" t="n">
        <f aca="false">SUM(P3440:P3444)</f>
        <v>1</v>
      </c>
      <c r="Q3445" s="14" t="n">
        <f aca="false">IFERROR(P3445/$Z3445,"")</f>
        <v>0.0476190476190476</v>
      </c>
      <c r="R3445" s="11" t="n">
        <f aca="false">SUM(R3440:R3444)</f>
        <v>1</v>
      </c>
      <c r="S3445" s="14" t="n">
        <f aca="false">IFERROR(R3445/$Z3445,"")</f>
        <v>0.0476190476190476</v>
      </c>
      <c r="T3445" s="11" t="n">
        <f aca="false">SUM(T3440:T3444)</f>
        <v>1</v>
      </c>
      <c r="U3445" s="14" t="n">
        <f aca="false">IFERROR(T3445/$Z3445,"")</f>
        <v>0.0476190476190476</v>
      </c>
      <c r="V3445" s="11" t="n">
        <f aca="false">SUM(V3440:V3444)</f>
        <v>1</v>
      </c>
      <c r="W3445" s="14" t="n">
        <f aca="false">IFERROR(V3445/$Z3445,"")</f>
        <v>0.0476190476190476</v>
      </c>
      <c r="X3445" s="11" t="n">
        <f aca="false">SUM(X3440:X3444)</f>
        <v>1</v>
      </c>
      <c r="Y3445" s="14" t="n">
        <f aca="false">IFERROR(X3445/$Z3445,"")</f>
        <v>0.0476190476190476</v>
      </c>
      <c r="Z3445" s="11" t="n">
        <f aca="false">SUM(Z3440:Z3444)</f>
        <v>21</v>
      </c>
    </row>
    <row r="3446" customFormat="false" ht="15" hidden="false" customHeight="false" outlineLevel="0" collapsed="false">
      <c r="A3446" s="11" t="s">
        <v>3</v>
      </c>
    </row>
    <row r="3447" customFormat="false" ht="15" hidden="false" customHeight="false" outlineLevel="0" collapsed="false">
      <c r="A3447" s="12" t="s">
        <v>704</v>
      </c>
      <c r="B3447" s="12" t="n">
        <f aca="false">COUNTIFS(Cleaned!$D$2:$D$125,1,Cleaned!FJ$2:FJ$125,1)</f>
        <v>0</v>
      </c>
      <c r="C3447" s="13" t="n">
        <f aca="false">IFERROR(B3447/$Z3447,"")</f>
        <v>0</v>
      </c>
      <c r="D3447" s="12" t="n">
        <f aca="false">COUNTIFS(Cleaned!$D$2:$D$125,1,Cleaned!FJ$2:FJ$125,2)</f>
        <v>0</v>
      </c>
      <c r="E3447" s="13" t="n">
        <f aca="false">IFERROR(D3447/$Z3447,"")</f>
        <v>0</v>
      </c>
      <c r="F3447" s="12" t="n">
        <f aca="false">COUNTIFS(Cleaned!$D$2:$D$125,1,Cleaned!FJ$2:FJ$125,3)</f>
        <v>1</v>
      </c>
      <c r="G3447" s="13" t="n">
        <f aca="false">IFERROR(F3447/$Z3447,"")</f>
        <v>0.5</v>
      </c>
      <c r="H3447" s="12" t="n">
        <f aca="false">COUNTIFS(Cleaned!$D$2:$D$125,1,Cleaned!FJ$2:FJ$125,4)</f>
        <v>0</v>
      </c>
      <c r="I3447" s="13" t="n">
        <f aca="false">IFERROR(H3447/$Z3447,"")</f>
        <v>0</v>
      </c>
      <c r="J3447" s="12" t="n">
        <f aca="false">COUNTIFS(Cleaned!$D$2:$D$125,1,Cleaned!FJ$2:FJ$125,5)</f>
        <v>0</v>
      </c>
      <c r="K3447" s="13" t="n">
        <f aca="false">IFERROR(J3447/$Z3447,"")</f>
        <v>0</v>
      </c>
      <c r="L3447" s="12" t="n">
        <f aca="false">COUNTIFS(Cleaned!$D$2:$D$125,1,Cleaned!FJ$2:FJ$125,6)</f>
        <v>0</v>
      </c>
      <c r="M3447" s="13" t="n">
        <f aca="false">IFERROR(L3447/$Z3447,"")</f>
        <v>0</v>
      </c>
      <c r="N3447" s="12" t="n">
        <f aca="false">COUNTIFS(Cleaned!$D$2:$D$125,1,Cleaned!FJ$2:FJ$125,7)</f>
        <v>0</v>
      </c>
      <c r="O3447" s="13" t="n">
        <f aca="false">IFERROR(N3447/$Z3447,"")</f>
        <v>0</v>
      </c>
      <c r="P3447" s="12" t="n">
        <f aca="false">COUNTIFS(Cleaned!$D$2:$D$125,1,Cleaned!FJ$2:FJ$125,8)</f>
        <v>1</v>
      </c>
      <c r="Q3447" s="13" t="n">
        <f aca="false">IFERROR(P3447/$Z3447,"")</f>
        <v>0.5</v>
      </c>
      <c r="R3447" s="12" t="n">
        <f aca="false">COUNTIFS(Cleaned!$D$2:$D$125,1,Cleaned!FJ$2:FJ$125,9)</f>
        <v>0</v>
      </c>
      <c r="S3447" s="13" t="n">
        <f aca="false">IFERROR(R3447/$Z3447,"")</f>
        <v>0</v>
      </c>
      <c r="T3447" s="12" t="n">
        <f aca="false">COUNTIFS(Cleaned!$D$2:$D$125,1,Cleaned!FJ$2:FJ$125,10)</f>
        <v>0</v>
      </c>
      <c r="U3447" s="13" t="n">
        <f aca="false">IFERROR(T3447/$Z3447,"")</f>
        <v>0</v>
      </c>
      <c r="V3447" s="12" t="n">
        <f aca="false">COUNTIFS(Cleaned!$D$2:$D$125,1,Cleaned!FJ$2:FJ$125,11)</f>
        <v>0</v>
      </c>
      <c r="W3447" s="13" t="n">
        <f aca="false">IFERROR(V3447/$Z3447,"")</f>
        <v>0</v>
      </c>
      <c r="X3447" s="12" t="n">
        <f aca="false">COUNTIFS(Cleaned!$D$2:$D$125,1,Cleaned!FJ$2:FJ$125,12)</f>
        <v>0</v>
      </c>
      <c r="Y3447" s="13" t="n">
        <f aca="false">IFERROR(X3447/$Z3447,"")</f>
        <v>0</v>
      </c>
      <c r="Z3447" s="12" t="n">
        <f aca="false">B3447+D3447+F3447+H3447+J3447+L3447+N3447+P3447+R3447+T3447+V3447+X3447</f>
        <v>2</v>
      </c>
    </row>
    <row r="3448" customFormat="false" ht="15" hidden="false" customHeight="false" outlineLevel="0" collapsed="false">
      <c r="A3448" s="12" t="s">
        <v>705</v>
      </c>
      <c r="B3448" s="12" t="n">
        <f aca="false">COUNTIFS(Cleaned!$D$2:$D$125,2,Cleaned!FJ$2:FJ$125,1)</f>
        <v>2</v>
      </c>
      <c r="C3448" s="13" t="n">
        <f aca="false">IFERROR(B3448/$Z3448,"")</f>
        <v>0.4</v>
      </c>
      <c r="D3448" s="12" t="n">
        <f aca="false">COUNTIFS(Cleaned!$D$2:$D$125,2,Cleaned!FJ$2:FJ$125,2)</f>
        <v>1</v>
      </c>
      <c r="E3448" s="13" t="n">
        <f aca="false">IFERROR(D3448/$Z3448,"")</f>
        <v>0.2</v>
      </c>
      <c r="F3448" s="12" t="n">
        <f aca="false">COUNTIFS(Cleaned!$D$2:$D$125,2,Cleaned!FJ$2:FJ$125,3)</f>
        <v>0</v>
      </c>
      <c r="G3448" s="13" t="n">
        <f aca="false">IFERROR(F3448/$Z3448,"")</f>
        <v>0</v>
      </c>
      <c r="H3448" s="12" t="n">
        <f aca="false">COUNTIFS(Cleaned!$D$2:$D$125,2,Cleaned!FJ$2:FJ$125,4)</f>
        <v>0</v>
      </c>
      <c r="I3448" s="13" t="n">
        <f aca="false">IFERROR(H3448/$Z3448,"")</f>
        <v>0</v>
      </c>
      <c r="J3448" s="12" t="n">
        <f aca="false">COUNTIFS(Cleaned!$D$2:$D$125,2,Cleaned!FJ$2:FJ$125,5)</f>
        <v>0</v>
      </c>
      <c r="K3448" s="13" t="n">
        <f aca="false">IFERROR(J3448/$Z3448,"")</f>
        <v>0</v>
      </c>
      <c r="L3448" s="12" t="n">
        <f aca="false">COUNTIFS(Cleaned!$D$2:$D$125,2,Cleaned!FJ$2:FJ$125,6)</f>
        <v>0</v>
      </c>
      <c r="M3448" s="13" t="n">
        <f aca="false">IFERROR(L3448/$Z3448,"")</f>
        <v>0</v>
      </c>
      <c r="N3448" s="12" t="n">
        <f aca="false">COUNTIFS(Cleaned!$D$2:$D$125,2,Cleaned!FJ$2:FJ$125,7)</f>
        <v>0</v>
      </c>
      <c r="O3448" s="13" t="n">
        <f aca="false">IFERROR(N3448/$Z3448,"")</f>
        <v>0</v>
      </c>
      <c r="P3448" s="12" t="n">
        <f aca="false">COUNTIFS(Cleaned!$D$2:$D$125,2,Cleaned!FJ$2:FJ$125,8)</f>
        <v>0</v>
      </c>
      <c r="Q3448" s="13" t="n">
        <f aca="false">IFERROR(P3448/$Z3448,"")</f>
        <v>0</v>
      </c>
      <c r="R3448" s="12" t="n">
        <f aca="false">COUNTIFS(Cleaned!$D$2:$D$125,2,Cleaned!FJ$2:FJ$125,9)</f>
        <v>0</v>
      </c>
      <c r="S3448" s="13" t="n">
        <f aca="false">IFERROR(R3448/$Z3448,"")</f>
        <v>0</v>
      </c>
      <c r="T3448" s="12" t="n">
        <f aca="false">COUNTIFS(Cleaned!$D$2:$D$125,2,Cleaned!FJ$2:FJ$125,10)</f>
        <v>0</v>
      </c>
      <c r="U3448" s="13" t="n">
        <f aca="false">IFERROR(T3448/$Z3448,"")</f>
        <v>0</v>
      </c>
      <c r="V3448" s="12" t="n">
        <f aca="false">COUNTIFS(Cleaned!$D$2:$D$125,2,Cleaned!FJ$2:FJ$125,11)</f>
        <v>1</v>
      </c>
      <c r="W3448" s="13" t="n">
        <f aca="false">IFERROR(V3448/$Z3448,"")</f>
        <v>0.2</v>
      </c>
      <c r="X3448" s="12" t="n">
        <f aca="false">COUNTIFS(Cleaned!$D$2:$D$125,2,Cleaned!FJ$2:FJ$125,12)</f>
        <v>1</v>
      </c>
      <c r="Y3448" s="13" t="n">
        <f aca="false">IFERROR(X3448/$Z3448,"")</f>
        <v>0.2</v>
      </c>
      <c r="Z3448" s="12" t="n">
        <f aca="false">B3448+D3448+F3448+H3448+J3448+L3448+N3448+P3448+R3448+T3448+V3448+X3448</f>
        <v>5</v>
      </c>
    </row>
    <row r="3449" customFormat="false" ht="15" hidden="false" customHeight="false" outlineLevel="0" collapsed="false">
      <c r="A3449" s="12" t="s">
        <v>706</v>
      </c>
      <c r="B3449" s="12" t="n">
        <f aca="false">COUNTIFS(Cleaned!$D$2:$D$125,3,Cleaned!FJ$2:FJ$125,1)</f>
        <v>2</v>
      </c>
      <c r="C3449" s="13" t="n">
        <f aca="false">IFERROR(B3449/$Z3449,"")</f>
        <v>0.5</v>
      </c>
      <c r="D3449" s="12" t="n">
        <f aca="false">COUNTIFS(Cleaned!$D$2:$D$125,3,Cleaned!FJ$2:FJ$125,2)</f>
        <v>0</v>
      </c>
      <c r="E3449" s="13" t="n">
        <f aca="false">IFERROR(D3449/$Z3449,"")</f>
        <v>0</v>
      </c>
      <c r="F3449" s="12" t="n">
        <f aca="false">COUNTIFS(Cleaned!$D$2:$D$125,3,Cleaned!FJ$2:FJ$125,3)</f>
        <v>0</v>
      </c>
      <c r="G3449" s="13" t="n">
        <f aca="false">IFERROR(F3449/$Z3449,"")</f>
        <v>0</v>
      </c>
      <c r="H3449" s="12" t="n">
        <f aca="false">COUNTIFS(Cleaned!$D$2:$D$125,3,Cleaned!FJ$2:FJ$125,4)</f>
        <v>0</v>
      </c>
      <c r="I3449" s="13" t="n">
        <f aca="false">IFERROR(H3449/$Z3449,"")</f>
        <v>0</v>
      </c>
      <c r="J3449" s="12" t="n">
        <f aca="false">COUNTIFS(Cleaned!$D$2:$D$125,3,Cleaned!FJ$2:FJ$125,5)</f>
        <v>1</v>
      </c>
      <c r="K3449" s="13" t="n">
        <f aca="false">IFERROR(J3449/$Z3449,"")</f>
        <v>0.25</v>
      </c>
      <c r="L3449" s="12" t="n">
        <f aca="false">COUNTIFS(Cleaned!$D$2:$D$125,3,Cleaned!FJ$2:FJ$125,6)</f>
        <v>1</v>
      </c>
      <c r="M3449" s="13" t="n">
        <f aca="false">IFERROR(L3449/$Z3449,"")</f>
        <v>0.25</v>
      </c>
      <c r="N3449" s="12" t="n">
        <f aca="false">COUNTIFS(Cleaned!$D$2:$D$125,3,Cleaned!FJ$2:FJ$125,7)</f>
        <v>0</v>
      </c>
      <c r="O3449" s="13" t="n">
        <f aca="false">IFERROR(N3449/$Z3449,"")</f>
        <v>0</v>
      </c>
      <c r="P3449" s="12" t="n">
        <f aca="false">COUNTIFS(Cleaned!$D$2:$D$125,3,Cleaned!FJ$2:FJ$125,8)</f>
        <v>0</v>
      </c>
      <c r="Q3449" s="13" t="n">
        <f aca="false">IFERROR(P3449/$Z3449,"")</f>
        <v>0</v>
      </c>
      <c r="R3449" s="12" t="n">
        <f aca="false">COUNTIFS(Cleaned!$D$2:$D$125,3,Cleaned!FJ$2:FJ$125,9)</f>
        <v>0</v>
      </c>
      <c r="S3449" s="13" t="n">
        <f aca="false">IFERROR(R3449/$Z3449,"")</f>
        <v>0</v>
      </c>
      <c r="T3449" s="12" t="n">
        <f aca="false">COUNTIFS(Cleaned!$D$2:$D$125,3,Cleaned!FJ$2:FJ$125,10)</f>
        <v>0</v>
      </c>
      <c r="U3449" s="13" t="n">
        <f aca="false">IFERROR(T3449/$Z3449,"")</f>
        <v>0</v>
      </c>
      <c r="V3449" s="12" t="n">
        <f aca="false">COUNTIFS(Cleaned!$D$2:$D$125,3,Cleaned!FJ$2:FJ$125,11)</f>
        <v>0</v>
      </c>
      <c r="W3449" s="13" t="n">
        <f aca="false">IFERROR(V3449/$Z3449,"")</f>
        <v>0</v>
      </c>
      <c r="X3449" s="12" t="n">
        <f aca="false">COUNTIFS(Cleaned!$D$2:$D$125,3,Cleaned!FJ$2:FJ$125,12)</f>
        <v>0</v>
      </c>
      <c r="Y3449" s="13" t="n">
        <f aca="false">IFERROR(X3449/$Z3449,"")</f>
        <v>0</v>
      </c>
      <c r="Z3449" s="12" t="n">
        <f aca="false">B3449+D3449+F3449+H3449+J3449+L3449+N3449+P3449+R3449+T3449+V3449+X3449</f>
        <v>4</v>
      </c>
    </row>
    <row r="3450" customFormat="false" ht="15" hidden="false" customHeight="false" outlineLevel="0" collapsed="false">
      <c r="A3450" s="12" t="s">
        <v>707</v>
      </c>
      <c r="B3450" s="12" t="n">
        <f aca="false">COUNTIFS(Cleaned!$D$2:$D$125,4,Cleaned!FJ$2:FJ$125,1)</f>
        <v>2</v>
      </c>
      <c r="C3450" s="13" t="n">
        <f aca="false">IFERROR(B3450/$Z3450,"")</f>
        <v>1</v>
      </c>
      <c r="D3450" s="12" t="n">
        <f aca="false">COUNTIFS(Cleaned!$D$2:$D$125,4,Cleaned!FJ$2:FJ$125,2)</f>
        <v>0</v>
      </c>
      <c r="E3450" s="13" t="n">
        <f aca="false">IFERROR(D3450/$Z3450,"")</f>
        <v>0</v>
      </c>
      <c r="F3450" s="12" t="n">
        <f aca="false">COUNTIFS(Cleaned!$D$2:$D$125,4,Cleaned!FJ$2:FJ$125,3)</f>
        <v>0</v>
      </c>
      <c r="G3450" s="13" t="n">
        <f aca="false">IFERROR(F3450/$Z3450,"")</f>
        <v>0</v>
      </c>
      <c r="H3450" s="12" t="n">
        <f aca="false">COUNTIFS(Cleaned!$D$2:$D$125,4,Cleaned!FJ$2:FJ$125,4)</f>
        <v>0</v>
      </c>
      <c r="I3450" s="13" t="n">
        <f aca="false">IFERROR(H3450/$Z3450,"")</f>
        <v>0</v>
      </c>
      <c r="J3450" s="12" t="n">
        <f aca="false">COUNTIFS(Cleaned!$D$2:$D$125,4,Cleaned!FJ$2:FJ$125,5)</f>
        <v>0</v>
      </c>
      <c r="K3450" s="13" t="n">
        <f aca="false">IFERROR(J3450/$Z3450,"")</f>
        <v>0</v>
      </c>
      <c r="L3450" s="12" t="n">
        <f aca="false">COUNTIFS(Cleaned!$D$2:$D$125,4,Cleaned!FJ$2:FJ$125,6)</f>
        <v>0</v>
      </c>
      <c r="M3450" s="13" t="n">
        <f aca="false">IFERROR(L3450/$Z3450,"")</f>
        <v>0</v>
      </c>
      <c r="N3450" s="12" t="n">
        <f aca="false">COUNTIFS(Cleaned!$D$2:$D$125,4,Cleaned!FJ$2:FJ$125,7)</f>
        <v>0</v>
      </c>
      <c r="O3450" s="13" t="n">
        <f aca="false">IFERROR(N3450/$Z3450,"")</f>
        <v>0</v>
      </c>
      <c r="P3450" s="12" t="n">
        <f aca="false">COUNTIFS(Cleaned!$D$2:$D$125,4,Cleaned!FJ$2:FJ$125,8)</f>
        <v>0</v>
      </c>
      <c r="Q3450" s="13" t="n">
        <f aca="false">IFERROR(P3450/$Z3450,"")</f>
        <v>0</v>
      </c>
      <c r="R3450" s="12" t="n">
        <f aca="false">COUNTIFS(Cleaned!$D$2:$D$125,4,Cleaned!FJ$2:FJ$125,9)</f>
        <v>0</v>
      </c>
      <c r="S3450" s="13" t="n">
        <f aca="false">IFERROR(R3450/$Z3450,"")</f>
        <v>0</v>
      </c>
      <c r="T3450" s="12" t="n">
        <f aca="false">COUNTIFS(Cleaned!$D$2:$D$125,4,Cleaned!FJ$2:FJ$125,10)</f>
        <v>0</v>
      </c>
      <c r="U3450" s="13" t="n">
        <f aca="false">IFERROR(T3450/$Z3450,"")</f>
        <v>0</v>
      </c>
      <c r="V3450" s="12" t="n">
        <f aca="false">COUNTIFS(Cleaned!$D$2:$D$125,4,Cleaned!FJ$2:FJ$125,11)</f>
        <v>0</v>
      </c>
      <c r="W3450" s="13" t="n">
        <f aca="false">IFERROR(V3450/$Z3450,"")</f>
        <v>0</v>
      </c>
      <c r="X3450" s="12" t="n">
        <f aca="false">COUNTIFS(Cleaned!$D$2:$D$125,4,Cleaned!FJ$2:FJ$125,12)</f>
        <v>0</v>
      </c>
      <c r="Y3450" s="13" t="n">
        <f aca="false">IFERROR(X3450/$Z3450,"")</f>
        <v>0</v>
      </c>
      <c r="Z3450" s="12" t="n">
        <f aca="false">B3450+D3450+F3450+H3450+J3450+L3450+N3450+P3450+R3450+T3450+V3450+X3450</f>
        <v>2</v>
      </c>
    </row>
    <row r="3451" customFormat="false" ht="15" hidden="false" customHeight="false" outlineLevel="0" collapsed="false">
      <c r="A3451" s="12" t="s">
        <v>708</v>
      </c>
      <c r="B3451" s="12" t="n">
        <f aca="false">COUNTIFS(Cleaned!$D$2:$D$125,5,Cleaned!FJ$2:FJ$125,1)</f>
        <v>0</v>
      </c>
      <c r="C3451" s="13" t="str">
        <f aca="false">IFERROR(B3451/$Z3451,"")</f>
        <v/>
      </c>
      <c r="D3451" s="12" t="n">
        <f aca="false">COUNTIFS(Cleaned!$D$2:$D$125,5,Cleaned!FJ$2:FJ$125,2)</f>
        <v>0</v>
      </c>
      <c r="E3451" s="13" t="str">
        <f aca="false">IFERROR(D3451/$Z3451,"")</f>
        <v/>
      </c>
      <c r="F3451" s="12" t="n">
        <f aca="false">COUNTIFS(Cleaned!$D$2:$D$125,5,Cleaned!FJ$2:FJ$125,3)</f>
        <v>0</v>
      </c>
      <c r="G3451" s="13" t="str">
        <f aca="false">IFERROR(F3451/$Z3451,"")</f>
        <v/>
      </c>
      <c r="H3451" s="12" t="n">
        <f aca="false">COUNTIFS(Cleaned!$D$2:$D$125,5,Cleaned!FJ$2:FJ$125,4)</f>
        <v>0</v>
      </c>
      <c r="I3451" s="13" t="str">
        <f aca="false">IFERROR(H3451/$Z3451,"")</f>
        <v/>
      </c>
      <c r="J3451" s="12" t="n">
        <f aca="false">COUNTIFS(Cleaned!$D$2:$D$125,5,Cleaned!FJ$2:FJ$125,5)</f>
        <v>0</v>
      </c>
      <c r="K3451" s="13" t="str">
        <f aca="false">IFERROR(J3451/$Z3451,"")</f>
        <v/>
      </c>
      <c r="L3451" s="12" t="n">
        <f aca="false">COUNTIFS(Cleaned!$D$2:$D$125,5,Cleaned!FJ$2:FJ$125,6)</f>
        <v>0</v>
      </c>
      <c r="M3451" s="13" t="str">
        <f aca="false">IFERROR(L3451/$Z3451,"")</f>
        <v/>
      </c>
      <c r="N3451" s="12" t="n">
        <f aca="false">COUNTIFS(Cleaned!$D$2:$D$125,5,Cleaned!FJ$2:FJ$125,7)</f>
        <v>0</v>
      </c>
      <c r="O3451" s="13" t="str">
        <f aca="false">IFERROR(N3451/$Z3451,"")</f>
        <v/>
      </c>
      <c r="P3451" s="12" t="n">
        <f aca="false">COUNTIFS(Cleaned!$D$2:$D$125,5,Cleaned!FJ$2:FJ$125,8)</f>
        <v>0</v>
      </c>
      <c r="Q3451" s="13" t="str">
        <f aca="false">IFERROR(P3451/$Z3451,"")</f>
        <v/>
      </c>
      <c r="R3451" s="12" t="n">
        <f aca="false">COUNTIFS(Cleaned!$D$2:$D$125,5,Cleaned!FJ$2:FJ$125,9)</f>
        <v>0</v>
      </c>
      <c r="S3451" s="13" t="str">
        <f aca="false">IFERROR(R3451/$Z3451,"")</f>
        <v/>
      </c>
      <c r="T3451" s="12" t="n">
        <f aca="false">COUNTIFS(Cleaned!$D$2:$D$125,5,Cleaned!FJ$2:FJ$125,10)</f>
        <v>0</v>
      </c>
      <c r="U3451" s="13" t="str">
        <f aca="false">IFERROR(T3451/$Z3451,"")</f>
        <v/>
      </c>
      <c r="V3451" s="12" t="n">
        <f aca="false">COUNTIFS(Cleaned!$D$2:$D$125,5,Cleaned!FJ$2:FJ$125,11)</f>
        <v>0</v>
      </c>
      <c r="W3451" s="13" t="str">
        <f aca="false">IFERROR(V3451/$Z3451,"")</f>
        <v/>
      </c>
      <c r="X3451" s="12" t="n">
        <f aca="false">COUNTIFS(Cleaned!$D$2:$D$125,5,Cleaned!FJ$2:FJ$125,12)</f>
        <v>0</v>
      </c>
      <c r="Y3451" s="13" t="str">
        <f aca="false">IFERROR(X3451/$Z3451,"")</f>
        <v/>
      </c>
      <c r="Z3451" s="12" t="n">
        <f aca="false">B3451+D3451+F3451+H3451+J3451+L3451+N3451+P3451+R3451+T3451+V3451+X3451</f>
        <v>0</v>
      </c>
    </row>
    <row r="3452" customFormat="false" ht="15" hidden="false" customHeight="false" outlineLevel="0" collapsed="false">
      <c r="A3452" s="12" t="s">
        <v>709</v>
      </c>
      <c r="B3452" s="12" t="n">
        <f aca="false">COUNTIFS(Cleaned!$D$2:$D$125,6,Cleaned!FJ$2:FJ$125,1)</f>
        <v>1</v>
      </c>
      <c r="C3452" s="13" t="n">
        <f aca="false">IFERROR(B3452/$Z3452,"")</f>
        <v>0.5</v>
      </c>
      <c r="D3452" s="12" t="n">
        <f aca="false">COUNTIFS(Cleaned!$D$2:$D$125,6,Cleaned!FJ$2:FJ$125,2)</f>
        <v>1</v>
      </c>
      <c r="E3452" s="13" t="n">
        <f aca="false">IFERROR(D3452/$Z3452,"")</f>
        <v>0.5</v>
      </c>
      <c r="F3452" s="12" t="n">
        <f aca="false">COUNTIFS(Cleaned!$D$2:$D$125,6,Cleaned!FJ$2:FJ$125,3)</f>
        <v>0</v>
      </c>
      <c r="G3452" s="13" t="n">
        <f aca="false">IFERROR(F3452/$Z3452,"")</f>
        <v>0</v>
      </c>
      <c r="H3452" s="12" t="n">
        <f aca="false">COUNTIFS(Cleaned!$D$2:$D$125,6,Cleaned!FJ$2:FJ$125,4)</f>
        <v>0</v>
      </c>
      <c r="I3452" s="13" t="n">
        <f aca="false">IFERROR(H3452/$Z3452,"")</f>
        <v>0</v>
      </c>
      <c r="J3452" s="12" t="n">
        <f aca="false">COUNTIFS(Cleaned!$D$2:$D$125,6,Cleaned!FJ$2:FJ$125,5)</f>
        <v>0</v>
      </c>
      <c r="K3452" s="13" t="n">
        <f aca="false">IFERROR(J3452/$Z3452,"")</f>
        <v>0</v>
      </c>
      <c r="L3452" s="12" t="n">
        <f aca="false">COUNTIFS(Cleaned!$D$2:$D$125,6,Cleaned!FJ$2:FJ$125,6)</f>
        <v>0</v>
      </c>
      <c r="M3452" s="13" t="n">
        <f aca="false">IFERROR(L3452/$Z3452,"")</f>
        <v>0</v>
      </c>
      <c r="N3452" s="12" t="n">
        <f aca="false">COUNTIFS(Cleaned!$D$2:$D$125,6,Cleaned!FJ$2:FJ$125,7)</f>
        <v>0</v>
      </c>
      <c r="O3452" s="13" t="n">
        <f aca="false">IFERROR(N3452/$Z3452,"")</f>
        <v>0</v>
      </c>
      <c r="P3452" s="12" t="n">
        <f aca="false">COUNTIFS(Cleaned!$D$2:$D$125,6,Cleaned!FJ$2:FJ$125,8)</f>
        <v>0</v>
      </c>
      <c r="Q3452" s="13" t="n">
        <f aca="false">IFERROR(P3452/$Z3452,"")</f>
        <v>0</v>
      </c>
      <c r="R3452" s="12" t="n">
        <f aca="false">COUNTIFS(Cleaned!$D$2:$D$125,6,Cleaned!FJ$2:FJ$125,9)</f>
        <v>0</v>
      </c>
      <c r="S3452" s="13" t="n">
        <f aca="false">IFERROR(R3452/$Z3452,"")</f>
        <v>0</v>
      </c>
      <c r="T3452" s="12" t="n">
        <f aca="false">COUNTIFS(Cleaned!$D$2:$D$125,6,Cleaned!FJ$2:FJ$125,10)</f>
        <v>0</v>
      </c>
      <c r="U3452" s="13" t="n">
        <f aca="false">IFERROR(T3452/$Z3452,"")</f>
        <v>0</v>
      </c>
      <c r="V3452" s="12" t="n">
        <f aca="false">COUNTIFS(Cleaned!$D$2:$D$125,6,Cleaned!FJ$2:FJ$125,11)</f>
        <v>0</v>
      </c>
      <c r="W3452" s="13" t="n">
        <f aca="false">IFERROR(V3452/$Z3452,"")</f>
        <v>0</v>
      </c>
      <c r="X3452" s="12" t="n">
        <f aca="false">COUNTIFS(Cleaned!$D$2:$D$125,6,Cleaned!FJ$2:FJ$125,12)</f>
        <v>0</v>
      </c>
      <c r="Y3452" s="13" t="n">
        <f aca="false">IFERROR(X3452/$Z3452,"")</f>
        <v>0</v>
      </c>
      <c r="Z3452" s="12" t="n">
        <f aca="false">B3452+D3452+F3452+H3452+J3452+L3452+N3452+P3452+R3452+T3452+V3452+X3452</f>
        <v>2</v>
      </c>
    </row>
    <row r="3453" customFormat="false" ht="15" hidden="false" customHeight="false" outlineLevel="0" collapsed="false">
      <c r="A3453" s="12" t="s">
        <v>710</v>
      </c>
      <c r="B3453" s="12" t="n">
        <f aca="false">COUNTIFS(Cleaned!$D$2:$D$125,7,Cleaned!FJ$2:FJ$125,1)</f>
        <v>0</v>
      </c>
      <c r="C3453" s="13" t="n">
        <f aca="false">IFERROR(B3453/$Z3453,"")</f>
        <v>0</v>
      </c>
      <c r="D3453" s="12" t="n">
        <f aca="false">COUNTIFS(Cleaned!$D$2:$D$125,7,Cleaned!FJ$2:FJ$125,2)</f>
        <v>0</v>
      </c>
      <c r="E3453" s="13" t="n">
        <f aca="false">IFERROR(D3453/$Z3453,"")</f>
        <v>0</v>
      </c>
      <c r="F3453" s="12" t="n">
        <f aca="false">COUNTIFS(Cleaned!$D$2:$D$125,7,Cleaned!FJ$2:FJ$125,3)</f>
        <v>1</v>
      </c>
      <c r="G3453" s="13" t="n">
        <f aca="false">IFERROR(F3453/$Z3453,"")</f>
        <v>0.333333333333333</v>
      </c>
      <c r="H3453" s="12" t="n">
        <f aca="false">COUNTIFS(Cleaned!$D$2:$D$125,7,Cleaned!FJ$2:FJ$125,4)</f>
        <v>0</v>
      </c>
      <c r="I3453" s="13" t="n">
        <f aca="false">IFERROR(H3453/$Z3453,"")</f>
        <v>0</v>
      </c>
      <c r="J3453" s="12" t="n">
        <f aca="false">COUNTIFS(Cleaned!$D$2:$D$125,7,Cleaned!FJ$2:FJ$125,5)</f>
        <v>0</v>
      </c>
      <c r="K3453" s="13" t="n">
        <f aca="false">IFERROR(J3453/$Z3453,"")</f>
        <v>0</v>
      </c>
      <c r="L3453" s="12" t="n">
        <f aca="false">COUNTIFS(Cleaned!$D$2:$D$125,7,Cleaned!FJ$2:FJ$125,6)</f>
        <v>0</v>
      </c>
      <c r="M3453" s="13" t="n">
        <f aca="false">IFERROR(L3453/$Z3453,"")</f>
        <v>0</v>
      </c>
      <c r="N3453" s="12" t="n">
        <f aca="false">COUNTIFS(Cleaned!$D$2:$D$125,7,Cleaned!FJ$2:FJ$125,7)</f>
        <v>1</v>
      </c>
      <c r="O3453" s="13" t="n">
        <f aca="false">IFERROR(N3453/$Z3453,"")</f>
        <v>0.333333333333333</v>
      </c>
      <c r="P3453" s="12" t="n">
        <f aca="false">COUNTIFS(Cleaned!$D$2:$D$125,7,Cleaned!FJ$2:FJ$125,8)</f>
        <v>0</v>
      </c>
      <c r="Q3453" s="13" t="n">
        <f aca="false">IFERROR(P3453/$Z3453,"")</f>
        <v>0</v>
      </c>
      <c r="R3453" s="12" t="n">
        <f aca="false">COUNTIFS(Cleaned!$D$2:$D$125,7,Cleaned!FJ$2:FJ$125,9)</f>
        <v>0</v>
      </c>
      <c r="S3453" s="13" t="n">
        <f aca="false">IFERROR(R3453/$Z3453,"")</f>
        <v>0</v>
      </c>
      <c r="T3453" s="12" t="n">
        <f aca="false">COUNTIFS(Cleaned!$D$2:$D$125,7,Cleaned!FJ$2:FJ$125,10)</f>
        <v>1</v>
      </c>
      <c r="U3453" s="13" t="n">
        <f aca="false">IFERROR(T3453/$Z3453,"")</f>
        <v>0.333333333333333</v>
      </c>
      <c r="V3453" s="12" t="n">
        <f aca="false">COUNTIFS(Cleaned!$D$2:$D$125,7,Cleaned!FJ$2:FJ$125,11)</f>
        <v>0</v>
      </c>
      <c r="W3453" s="13" t="n">
        <f aca="false">IFERROR(V3453/$Z3453,"")</f>
        <v>0</v>
      </c>
      <c r="X3453" s="12" t="n">
        <f aca="false">COUNTIFS(Cleaned!$D$2:$D$125,7,Cleaned!FJ$2:FJ$125,12)</f>
        <v>0</v>
      </c>
      <c r="Y3453" s="13" t="n">
        <f aca="false">IFERROR(X3453/$Z3453,"")</f>
        <v>0</v>
      </c>
      <c r="Z3453" s="12" t="n">
        <f aca="false">B3453+D3453+F3453+H3453+J3453+L3453+N3453+P3453+R3453+T3453+V3453+X3453</f>
        <v>3</v>
      </c>
    </row>
    <row r="3454" customFormat="false" ht="15" hidden="false" customHeight="false" outlineLevel="0" collapsed="false">
      <c r="A3454" s="12" t="s">
        <v>711</v>
      </c>
      <c r="B3454" s="12" t="n">
        <f aca="false">COUNTIFS(Cleaned!$D$2:$D$125,8,Cleaned!FJ$2:FJ$125,1)</f>
        <v>0</v>
      </c>
      <c r="C3454" s="13" t="n">
        <f aca="false">IFERROR(B3454/$Z3454,"")</f>
        <v>0</v>
      </c>
      <c r="D3454" s="12" t="n">
        <f aca="false">COUNTIFS(Cleaned!$D$2:$D$125,8,Cleaned!FJ$2:FJ$125,2)</f>
        <v>0</v>
      </c>
      <c r="E3454" s="13" t="n">
        <f aca="false">IFERROR(D3454/$Z3454,"")</f>
        <v>0</v>
      </c>
      <c r="F3454" s="12" t="n">
        <f aca="false">COUNTIFS(Cleaned!$D$2:$D$125,8,Cleaned!FJ$2:FJ$125,3)</f>
        <v>0</v>
      </c>
      <c r="G3454" s="13" t="n">
        <f aca="false">IFERROR(F3454/$Z3454,"")</f>
        <v>0</v>
      </c>
      <c r="H3454" s="12" t="n">
        <f aca="false">COUNTIFS(Cleaned!$D$2:$D$125,8,Cleaned!FJ$2:FJ$125,4)</f>
        <v>1</v>
      </c>
      <c r="I3454" s="13" t="n">
        <f aca="false">IFERROR(H3454/$Z3454,"")</f>
        <v>1</v>
      </c>
      <c r="J3454" s="12" t="n">
        <f aca="false">COUNTIFS(Cleaned!$D$2:$D$125,8,Cleaned!FJ$2:FJ$125,5)</f>
        <v>0</v>
      </c>
      <c r="K3454" s="13" t="n">
        <f aca="false">IFERROR(J3454/$Z3454,"")</f>
        <v>0</v>
      </c>
      <c r="L3454" s="12" t="n">
        <f aca="false">COUNTIFS(Cleaned!$D$2:$D$125,8,Cleaned!FJ$2:FJ$125,6)</f>
        <v>0</v>
      </c>
      <c r="M3454" s="13" t="n">
        <f aca="false">IFERROR(L3454/$Z3454,"")</f>
        <v>0</v>
      </c>
      <c r="N3454" s="12" t="n">
        <f aca="false">COUNTIFS(Cleaned!$D$2:$D$125,8,Cleaned!FJ$2:FJ$125,7)</f>
        <v>0</v>
      </c>
      <c r="O3454" s="13" t="n">
        <f aca="false">IFERROR(N3454/$Z3454,"")</f>
        <v>0</v>
      </c>
      <c r="P3454" s="12" t="n">
        <f aca="false">COUNTIFS(Cleaned!$D$2:$D$125,8,Cleaned!FJ$2:FJ$125,8)</f>
        <v>0</v>
      </c>
      <c r="Q3454" s="13" t="n">
        <f aca="false">IFERROR(P3454/$Z3454,"")</f>
        <v>0</v>
      </c>
      <c r="R3454" s="12" t="n">
        <f aca="false">COUNTIFS(Cleaned!$D$2:$D$125,8,Cleaned!FJ$2:FJ$125,9)</f>
        <v>0</v>
      </c>
      <c r="S3454" s="13" t="n">
        <f aca="false">IFERROR(R3454/$Z3454,"")</f>
        <v>0</v>
      </c>
      <c r="T3454" s="12" t="n">
        <f aca="false">COUNTIFS(Cleaned!$D$2:$D$125,8,Cleaned!FJ$2:FJ$125,10)</f>
        <v>0</v>
      </c>
      <c r="U3454" s="13" t="n">
        <f aca="false">IFERROR(T3454/$Z3454,"")</f>
        <v>0</v>
      </c>
      <c r="V3454" s="12" t="n">
        <f aca="false">COUNTIFS(Cleaned!$D$2:$D$125,8,Cleaned!FJ$2:FJ$125,11)</f>
        <v>0</v>
      </c>
      <c r="W3454" s="13" t="n">
        <f aca="false">IFERROR(V3454/$Z3454,"")</f>
        <v>0</v>
      </c>
      <c r="X3454" s="12" t="n">
        <f aca="false">COUNTIFS(Cleaned!$D$2:$D$125,8,Cleaned!FJ$2:FJ$125,12)</f>
        <v>0</v>
      </c>
      <c r="Y3454" s="13" t="n">
        <f aca="false">IFERROR(X3454/$Z3454,"")</f>
        <v>0</v>
      </c>
      <c r="Z3454" s="12" t="n">
        <f aca="false">B3454+D3454+F3454+H3454+J3454+L3454+N3454+P3454+R3454+T3454+V3454+X3454</f>
        <v>1</v>
      </c>
    </row>
    <row r="3455" customFormat="false" ht="15" hidden="false" customHeight="false" outlineLevel="0" collapsed="false">
      <c r="A3455" s="12" t="s">
        <v>712</v>
      </c>
      <c r="B3455" s="12" t="n">
        <f aca="false">COUNTIFS(Cleaned!$D$2:$D$125,9,Cleaned!FJ$2:FJ$125,1)</f>
        <v>0</v>
      </c>
      <c r="C3455" s="13" t="str">
        <f aca="false">IFERROR(B3455/$Z3455,"")</f>
        <v/>
      </c>
      <c r="D3455" s="12" t="n">
        <f aca="false">COUNTIFS(Cleaned!$D$2:$D$125,9,Cleaned!FJ$2:FJ$125,2)</f>
        <v>0</v>
      </c>
      <c r="E3455" s="13" t="str">
        <f aca="false">IFERROR(D3455/$Z3455,"")</f>
        <v/>
      </c>
      <c r="F3455" s="12" t="n">
        <f aca="false">COUNTIFS(Cleaned!$D$2:$D$125,9,Cleaned!FJ$2:FJ$125,3)</f>
        <v>0</v>
      </c>
      <c r="G3455" s="13" t="str">
        <f aca="false">IFERROR(F3455/$Z3455,"")</f>
        <v/>
      </c>
      <c r="H3455" s="12" t="n">
        <f aca="false">COUNTIFS(Cleaned!$D$2:$D$125,9,Cleaned!FJ$2:FJ$125,4)</f>
        <v>0</v>
      </c>
      <c r="I3455" s="13" t="str">
        <f aca="false">IFERROR(H3455/$Z3455,"")</f>
        <v/>
      </c>
      <c r="J3455" s="12" t="n">
        <f aca="false">COUNTIFS(Cleaned!$D$2:$D$125,9,Cleaned!FJ$2:FJ$125,5)</f>
        <v>0</v>
      </c>
      <c r="K3455" s="13" t="str">
        <f aca="false">IFERROR(J3455/$Z3455,"")</f>
        <v/>
      </c>
      <c r="L3455" s="12" t="n">
        <f aca="false">COUNTIFS(Cleaned!$D$2:$D$125,9,Cleaned!FJ$2:FJ$125,6)</f>
        <v>0</v>
      </c>
      <c r="M3455" s="13" t="str">
        <f aca="false">IFERROR(L3455/$Z3455,"")</f>
        <v/>
      </c>
      <c r="N3455" s="12" t="n">
        <f aca="false">COUNTIFS(Cleaned!$D$2:$D$125,9,Cleaned!FJ$2:FJ$125,7)</f>
        <v>0</v>
      </c>
      <c r="O3455" s="13" t="str">
        <f aca="false">IFERROR(N3455/$Z3455,"")</f>
        <v/>
      </c>
      <c r="P3455" s="12" t="n">
        <f aca="false">COUNTIFS(Cleaned!$D$2:$D$125,9,Cleaned!FJ$2:FJ$125,8)</f>
        <v>0</v>
      </c>
      <c r="Q3455" s="13" t="str">
        <f aca="false">IFERROR(P3455/$Z3455,"")</f>
        <v/>
      </c>
      <c r="R3455" s="12" t="n">
        <f aca="false">COUNTIFS(Cleaned!$D$2:$D$125,9,Cleaned!FJ$2:FJ$125,9)</f>
        <v>0</v>
      </c>
      <c r="S3455" s="13" t="str">
        <f aca="false">IFERROR(R3455/$Z3455,"")</f>
        <v/>
      </c>
      <c r="T3455" s="12" t="n">
        <f aca="false">COUNTIFS(Cleaned!$D$2:$D$125,9,Cleaned!FJ$2:FJ$125,10)</f>
        <v>0</v>
      </c>
      <c r="U3455" s="13" t="str">
        <f aca="false">IFERROR(T3455/$Z3455,"")</f>
        <v/>
      </c>
      <c r="V3455" s="12" t="n">
        <f aca="false">COUNTIFS(Cleaned!$D$2:$D$125,9,Cleaned!FJ$2:FJ$125,11)</f>
        <v>0</v>
      </c>
      <c r="W3455" s="13" t="str">
        <f aca="false">IFERROR(V3455/$Z3455,"")</f>
        <v/>
      </c>
      <c r="X3455" s="12" t="n">
        <f aca="false">COUNTIFS(Cleaned!$D$2:$D$125,9,Cleaned!FJ$2:FJ$125,12)</f>
        <v>0</v>
      </c>
      <c r="Y3455" s="13" t="str">
        <f aca="false">IFERROR(X3455/$Z3455,"")</f>
        <v/>
      </c>
      <c r="Z3455" s="12" t="n">
        <f aca="false">B3455+D3455+F3455+H3455+J3455+L3455+N3455+P3455+R3455+T3455+V3455+X3455</f>
        <v>0</v>
      </c>
    </row>
    <row r="3456" customFormat="false" ht="15" hidden="false" customHeight="false" outlineLevel="0" collapsed="false">
      <c r="A3456" s="12" t="s">
        <v>713</v>
      </c>
      <c r="B3456" s="12" t="n">
        <f aca="false">COUNTIFS(Cleaned!$D$2:$D$125,10,Cleaned!FJ$2:FJ$125,1)</f>
        <v>0</v>
      </c>
      <c r="C3456" s="13" t="str">
        <f aca="false">IFERROR(B3456/$Z3456,"")</f>
        <v/>
      </c>
      <c r="D3456" s="12" t="n">
        <f aca="false">COUNTIFS(Cleaned!$D$2:$D$125,10,Cleaned!FJ$2:FJ$125,2)</f>
        <v>0</v>
      </c>
      <c r="E3456" s="13" t="str">
        <f aca="false">IFERROR(D3456/$Z3456,"")</f>
        <v/>
      </c>
      <c r="F3456" s="12" t="n">
        <f aca="false">COUNTIFS(Cleaned!$D$2:$D$125,10,Cleaned!FJ$2:FJ$125,3)</f>
        <v>0</v>
      </c>
      <c r="G3456" s="13" t="str">
        <f aca="false">IFERROR(F3456/$Z3456,"")</f>
        <v/>
      </c>
      <c r="H3456" s="12" t="n">
        <f aca="false">COUNTIFS(Cleaned!$D$2:$D$125,10,Cleaned!FJ$2:FJ$125,4)</f>
        <v>0</v>
      </c>
      <c r="I3456" s="13" t="str">
        <f aca="false">IFERROR(H3456/$Z3456,"")</f>
        <v/>
      </c>
      <c r="J3456" s="12" t="n">
        <f aca="false">COUNTIFS(Cleaned!$D$2:$D$125,10,Cleaned!FJ$2:FJ$125,5)</f>
        <v>0</v>
      </c>
      <c r="K3456" s="13" t="str">
        <f aca="false">IFERROR(J3456/$Z3456,"")</f>
        <v/>
      </c>
      <c r="L3456" s="12" t="n">
        <f aca="false">COUNTIFS(Cleaned!$D$2:$D$125,10,Cleaned!FJ$2:FJ$125,6)</f>
        <v>0</v>
      </c>
      <c r="M3456" s="13" t="str">
        <f aca="false">IFERROR(L3456/$Z3456,"")</f>
        <v/>
      </c>
      <c r="N3456" s="12" t="n">
        <f aca="false">COUNTIFS(Cleaned!$D$2:$D$125,10,Cleaned!FJ$2:FJ$125,7)</f>
        <v>0</v>
      </c>
      <c r="O3456" s="13" t="str">
        <f aca="false">IFERROR(N3456/$Z3456,"")</f>
        <v/>
      </c>
      <c r="P3456" s="12" t="n">
        <f aca="false">COUNTIFS(Cleaned!$D$2:$D$125,10,Cleaned!FJ$2:FJ$125,8)</f>
        <v>0</v>
      </c>
      <c r="Q3456" s="13" t="str">
        <f aca="false">IFERROR(P3456/$Z3456,"")</f>
        <v/>
      </c>
      <c r="R3456" s="12" t="n">
        <f aca="false">COUNTIFS(Cleaned!$D$2:$D$125,10,Cleaned!FJ$2:FJ$125,9)</f>
        <v>0</v>
      </c>
      <c r="S3456" s="13" t="str">
        <f aca="false">IFERROR(R3456/$Z3456,"")</f>
        <v/>
      </c>
      <c r="T3456" s="12" t="n">
        <f aca="false">COUNTIFS(Cleaned!$D$2:$D$125,10,Cleaned!FJ$2:FJ$125,10)</f>
        <v>0</v>
      </c>
      <c r="U3456" s="13" t="str">
        <f aca="false">IFERROR(T3456/$Z3456,"")</f>
        <v/>
      </c>
      <c r="V3456" s="12" t="n">
        <f aca="false">COUNTIFS(Cleaned!$D$2:$D$125,10,Cleaned!FJ$2:FJ$125,11)</f>
        <v>0</v>
      </c>
      <c r="W3456" s="13" t="str">
        <f aca="false">IFERROR(V3456/$Z3456,"")</f>
        <v/>
      </c>
      <c r="X3456" s="12" t="n">
        <f aca="false">COUNTIFS(Cleaned!$D$2:$D$125,10,Cleaned!FJ$2:FJ$125,12)</f>
        <v>0</v>
      </c>
      <c r="Y3456" s="13" t="str">
        <f aca="false">IFERROR(X3456/$Z3456,"")</f>
        <v/>
      </c>
      <c r="Z3456" s="12" t="n">
        <f aca="false">B3456+D3456+F3456+H3456+J3456+L3456+N3456+P3456+R3456+T3456+V3456+X3456</f>
        <v>0</v>
      </c>
    </row>
    <row r="3457" customFormat="false" ht="15" hidden="false" customHeight="false" outlineLevel="0" collapsed="false">
      <c r="A3457" s="12" t="s">
        <v>714</v>
      </c>
      <c r="B3457" s="12" t="n">
        <f aca="false">COUNTIFS(Cleaned!$D$2:$D$125,11,Cleaned!FJ$2:FJ$125,1)</f>
        <v>1</v>
      </c>
      <c r="C3457" s="13" t="n">
        <f aca="false">IFERROR(B3457/$Z3457,"")</f>
        <v>0.5</v>
      </c>
      <c r="D3457" s="12" t="n">
        <f aca="false">COUNTIFS(Cleaned!$D$2:$D$125,11,Cleaned!FJ$2:FJ$125,2)</f>
        <v>0</v>
      </c>
      <c r="E3457" s="13" t="n">
        <f aca="false">IFERROR(D3457/$Z3457,"")</f>
        <v>0</v>
      </c>
      <c r="F3457" s="12" t="n">
        <f aca="false">COUNTIFS(Cleaned!$D$2:$D$125,11,Cleaned!FJ$2:FJ$125,3)</f>
        <v>0</v>
      </c>
      <c r="G3457" s="13" t="n">
        <f aca="false">IFERROR(F3457/$Z3457,"")</f>
        <v>0</v>
      </c>
      <c r="H3457" s="12" t="n">
        <f aca="false">COUNTIFS(Cleaned!$D$2:$D$125,11,Cleaned!FJ$2:FJ$125,4)</f>
        <v>0</v>
      </c>
      <c r="I3457" s="13" t="n">
        <f aca="false">IFERROR(H3457/$Z3457,"")</f>
        <v>0</v>
      </c>
      <c r="J3457" s="12" t="n">
        <f aca="false">COUNTIFS(Cleaned!$D$2:$D$125,11,Cleaned!FJ$2:FJ$125,5)</f>
        <v>0</v>
      </c>
      <c r="K3457" s="13" t="n">
        <f aca="false">IFERROR(J3457/$Z3457,"")</f>
        <v>0</v>
      </c>
      <c r="L3457" s="12" t="n">
        <f aca="false">COUNTIFS(Cleaned!$D$2:$D$125,11,Cleaned!FJ$2:FJ$125,6)</f>
        <v>0</v>
      </c>
      <c r="M3457" s="13" t="n">
        <f aca="false">IFERROR(L3457/$Z3457,"")</f>
        <v>0</v>
      </c>
      <c r="N3457" s="12" t="n">
        <f aca="false">COUNTIFS(Cleaned!$D$2:$D$125,11,Cleaned!FJ$2:FJ$125,7)</f>
        <v>0</v>
      </c>
      <c r="O3457" s="13" t="n">
        <f aca="false">IFERROR(N3457/$Z3457,"")</f>
        <v>0</v>
      </c>
      <c r="P3457" s="12" t="n">
        <f aca="false">COUNTIFS(Cleaned!$D$2:$D$125,11,Cleaned!FJ$2:FJ$125,8)</f>
        <v>0</v>
      </c>
      <c r="Q3457" s="13" t="n">
        <f aca="false">IFERROR(P3457/$Z3457,"")</f>
        <v>0</v>
      </c>
      <c r="R3457" s="12" t="n">
        <f aca="false">COUNTIFS(Cleaned!$D$2:$D$125,11,Cleaned!FJ$2:FJ$125,9)</f>
        <v>1</v>
      </c>
      <c r="S3457" s="13" t="n">
        <f aca="false">IFERROR(R3457/$Z3457,"")</f>
        <v>0.5</v>
      </c>
      <c r="T3457" s="12" t="n">
        <f aca="false">COUNTIFS(Cleaned!$D$2:$D$125,11,Cleaned!FJ$2:FJ$125,10)</f>
        <v>0</v>
      </c>
      <c r="U3457" s="13" t="n">
        <f aca="false">IFERROR(T3457/$Z3457,"")</f>
        <v>0</v>
      </c>
      <c r="V3457" s="12" t="n">
        <f aca="false">COUNTIFS(Cleaned!$D$2:$D$125,11,Cleaned!FJ$2:FJ$125,11)</f>
        <v>0</v>
      </c>
      <c r="W3457" s="13" t="n">
        <f aca="false">IFERROR(V3457/$Z3457,"")</f>
        <v>0</v>
      </c>
      <c r="X3457" s="12" t="n">
        <f aca="false">COUNTIFS(Cleaned!$D$2:$D$125,11,Cleaned!FJ$2:FJ$125,12)</f>
        <v>0</v>
      </c>
      <c r="Y3457" s="13" t="n">
        <f aca="false">IFERROR(X3457/$Z3457,"")</f>
        <v>0</v>
      </c>
      <c r="Z3457" s="12" t="n">
        <f aca="false">B3457+D3457+F3457+H3457+J3457+L3457+N3457+P3457+R3457+T3457+V3457+X3457</f>
        <v>2</v>
      </c>
    </row>
    <row r="3458" customFormat="false" ht="15" hidden="false" customHeight="false" outlineLevel="0" collapsed="false">
      <c r="A3458" s="12" t="s">
        <v>715</v>
      </c>
      <c r="B3458" s="12" t="n">
        <f aca="false">COUNTIFS(Cleaned!$D$2:$D$125,12,Cleaned!FJ$2:FJ$125,1)</f>
        <v>0</v>
      </c>
      <c r="C3458" s="13" t="str">
        <f aca="false">IFERROR(B3458/$Z3458,"")</f>
        <v/>
      </c>
      <c r="D3458" s="12" t="n">
        <f aca="false">COUNTIFS(Cleaned!$D$2:$D$125,12,Cleaned!FJ$2:FJ$125,2)</f>
        <v>0</v>
      </c>
      <c r="E3458" s="13" t="str">
        <f aca="false">IFERROR(D3458/$Z3458,"")</f>
        <v/>
      </c>
      <c r="F3458" s="12" t="n">
        <f aca="false">COUNTIFS(Cleaned!$D$2:$D$125,12,Cleaned!FJ$2:FJ$125,3)</f>
        <v>0</v>
      </c>
      <c r="G3458" s="13" t="str">
        <f aca="false">IFERROR(F3458/$Z3458,"")</f>
        <v/>
      </c>
      <c r="H3458" s="12" t="n">
        <f aca="false">COUNTIFS(Cleaned!$D$2:$D$125,12,Cleaned!FJ$2:FJ$125,4)</f>
        <v>0</v>
      </c>
      <c r="I3458" s="13" t="str">
        <f aca="false">IFERROR(H3458/$Z3458,"")</f>
        <v/>
      </c>
      <c r="J3458" s="12" t="n">
        <f aca="false">COUNTIFS(Cleaned!$D$2:$D$125,12,Cleaned!FJ$2:FJ$125,5)</f>
        <v>0</v>
      </c>
      <c r="K3458" s="13" t="str">
        <f aca="false">IFERROR(J3458/$Z3458,"")</f>
        <v/>
      </c>
      <c r="L3458" s="12" t="n">
        <f aca="false">COUNTIFS(Cleaned!$D$2:$D$125,12,Cleaned!FJ$2:FJ$125,6)</f>
        <v>0</v>
      </c>
      <c r="M3458" s="13" t="str">
        <f aca="false">IFERROR(L3458/$Z3458,"")</f>
        <v/>
      </c>
      <c r="N3458" s="12" t="n">
        <f aca="false">COUNTIFS(Cleaned!$D$2:$D$125,12,Cleaned!FJ$2:FJ$125,7)</f>
        <v>0</v>
      </c>
      <c r="O3458" s="13" t="str">
        <f aca="false">IFERROR(N3458/$Z3458,"")</f>
        <v/>
      </c>
      <c r="P3458" s="12" t="n">
        <f aca="false">COUNTIFS(Cleaned!$D$2:$D$125,12,Cleaned!FJ$2:FJ$125,8)</f>
        <v>0</v>
      </c>
      <c r="Q3458" s="13" t="str">
        <f aca="false">IFERROR(P3458/$Z3458,"")</f>
        <v/>
      </c>
      <c r="R3458" s="12" t="n">
        <f aca="false">COUNTIFS(Cleaned!$D$2:$D$125,12,Cleaned!FJ$2:FJ$125,9)</f>
        <v>0</v>
      </c>
      <c r="S3458" s="13" t="str">
        <f aca="false">IFERROR(R3458/$Z3458,"")</f>
        <v/>
      </c>
      <c r="T3458" s="12" t="n">
        <f aca="false">COUNTIFS(Cleaned!$D$2:$D$125,12,Cleaned!FJ$2:FJ$125,10)</f>
        <v>0</v>
      </c>
      <c r="U3458" s="13" t="str">
        <f aca="false">IFERROR(T3458/$Z3458,"")</f>
        <v/>
      </c>
      <c r="V3458" s="12" t="n">
        <f aca="false">COUNTIFS(Cleaned!$D$2:$D$125,12,Cleaned!FJ$2:FJ$125,11)</f>
        <v>0</v>
      </c>
      <c r="W3458" s="13" t="str">
        <f aca="false">IFERROR(V3458/$Z3458,"")</f>
        <v/>
      </c>
      <c r="X3458" s="12" t="n">
        <f aca="false">COUNTIFS(Cleaned!$D$2:$D$125,12,Cleaned!FJ$2:FJ$125,12)</f>
        <v>0</v>
      </c>
      <c r="Y3458" s="13" t="str">
        <f aca="false">IFERROR(X3458/$Z3458,"")</f>
        <v/>
      </c>
      <c r="Z3458" s="12" t="n">
        <f aca="false">B3458+D3458+F3458+H3458+J3458+L3458+N3458+P3458+R3458+T3458+V3458+X3458</f>
        <v>0</v>
      </c>
    </row>
    <row r="3459" customFormat="false" ht="15" hidden="false" customHeight="false" outlineLevel="0" collapsed="false">
      <c r="A3459" s="11" t="s">
        <v>716</v>
      </c>
      <c r="B3459" s="11" t="n">
        <f aca="false">SUM(B3447:B3458)</f>
        <v>8</v>
      </c>
      <c r="C3459" s="14" t="n">
        <f aca="false">IFERROR(B3459/$Z3459,"")</f>
        <v>0.380952380952381</v>
      </c>
      <c r="D3459" s="11" t="n">
        <f aca="false">SUM(D3447:D3458)</f>
        <v>2</v>
      </c>
      <c r="E3459" s="14" t="n">
        <f aca="false">IFERROR(D3459/$Z3459,"")</f>
        <v>0.0952380952380952</v>
      </c>
      <c r="F3459" s="11" t="n">
        <f aca="false">SUM(F3447:F3458)</f>
        <v>2</v>
      </c>
      <c r="G3459" s="14" t="n">
        <f aca="false">IFERROR(F3459/$Z3459,"")</f>
        <v>0.0952380952380952</v>
      </c>
      <c r="H3459" s="11" t="n">
        <f aca="false">SUM(H3447:H3458)</f>
        <v>1</v>
      </c>
      <c r="I3459" s="14" t="n">
        <f aca="false">IFERROR(H3459/$Z3459,"")</f>
        <v>0.0476190476190476</v>
      </c>
      <c r="J3459" s="11" t="n">
        <f aca="false">SUM(J3447:J3458)</f>
        <v>1</v>
      </c>
      <c r="K3459" s="14" t="n">
        <f aca="false">IFERROR(J3459/$Z3459,"")</f>
        <v>0.0476190476190476</v>
      </c>
      <c r="L3459" s="11" t="n">
        <f aca="false">SUM(L3447:L3458)</f>
        <v>1</v>
      </c>
      <c r="M3459" s="14" t="n">
        <f aca="false">IFERROR(L3459/$Z3459,"")</f>
        <v>0.0476190476190476</v>
      </c>
      <c r="N3459" s="11" t="n">
        <f aca="false">SUM(N3447:N3458)</f>
        <v>1</v>
      </c>
      <c r="O3459" s="14" t="n">
        <f aca="false">IFERROR(N3459/$Z3459,"")</f>
        <v>0.0476190476190476</v>
      </c>
      <c r="P3459" s="11" t="n">
        <f aca="false">SUM(P3447:P3458)</f>
        <v>1</v>
      </c>
      <c r="Q3459" s="14" t="n">
        <f aca="false">IFERROR(P3459/$Z3459,"")</f>
        <v>0.0476190476190476</v>
      </c>
      <c r="R3459" s="11" t="n">
        <f aca="false">SUM(R3447:R3458)</f>
        <v>1</v>
      </c>
      <c r="S3459" s="14" t="n">
        <f aca="false">IFERROR(R3459/$Z3459,"")</f>
        <v>0.0476190476190476</v>
      </c>
      <c r="T3459" s="11" t="n">
        <f aca="false">SUM(T3447:T3458)</f>
        <v>1</v>
      </c>
      <c r="U3459" s="14" t="n">
        <f aca="false">IFERROR(T3459/$Z3459,"")</f>
        <v>0.0476190476190476</v>
      </c>
      <c r="V3459" s="11" t="n">
        <f aca="false">SUM(V3447:V3458)</f>
        <v>1</v>
      </c>
      <c r="W3459" s="14" t="n">
        <f aca="false">IFERROR(V3459/$Z3459,"")</f>
        <v>0.0476190476190476</v>
      </c>
      <c r="X3459" s="11" t="n">
        <f aca="false">SUM(X3447:X3458)</f>
        <v>1</v>
      </c>
      <c r="Y3459" s="14" t="n">
        <f aca="false">IFERROR(X3459/$Z3459,"")</f>
        <v>0.0476190476190476</v>
      </c>
      <c r="Z3459" s="11" t="n">
        <f aca="false">SUM(Z3447:Z3458)</f>
        <v>21</v>
      </c>
    </row>
    <row r="3462" customFormat="false" ht="15" hidden="false" customHeight="false" outlineLevel="0" collapsed="false">
      <c r="A3462" s="6" t="s">
        <v>125</v>
      </c>
      <c r="B3462" s="7" t="s">
        <v>915</v>
      </c>
    </row>
    <row r="3463" customFormat="false" ht="15" hidden="false" customHeight="false" outlineLevel="0" collapsed="false">
      <c r="A3463" s="11" t="s">
        <v>734</v>
      </c>
      <c r="B3463" s="9" t="s">
        <v>694</v>
      </c>
      <c r="C3463" s="9" t="s">
        <v>735</v>
      </c>
      <c r="D3463" s="9" t="s">
        <v>736</v>
      </c>
      <c r="E3463" s="9" t="s">
        <v>737</v>
      </c>
      <c r="F3463" s="9" t="s">
        <v>738</v>
      </c>
    </row>
    <row r="3464" customFormat="false" ht="15" hidden="false" customHeight="false" outlineLevel="0" collapsed="false">
      <c r="B3464" s="12" t="n">
        <f aca="false">COUNT(Cleaned!$FK$2:$FK$125)</f>
        <v>37</v>
      </c>
      <c r="C3464" s="12" t="n">
        <f aca="false">IFERROR(AVERAGE(Cleaned!$FK$2:$FK$125),"")</f>
        <v>970.675675675676</v>
      </c>
      <c r="D3464" s="12" t="n">
        <f aca="false">IFERROR(MEDIAN(Cleaned!$FK$2:$FK$125),"")</f>
        <v>223</v>
      </c>
      <c r="E3464" s="12" t="n">
        <f aca="false">IFERROR(MIN(Cleaned!$FK$2:$FK$125),"")</f>
        <v>0</v>
      </c>
      <c r="F3464" s="12" t="n">
        <f aca="false">IFERROR(MAX(Cleaned!$FK$2:$FK$125),"")</f>
        <v>20100</v>
      </c>
    </row>
    <row r="3465" customFormat="false" ht="15" hidden="false" customHeight="false" outlineLevel="0" collapsed="false">
      <c r="A3465" s="11" t="s">
        <v>697</v>
      </c>
      <c r="B3465" s="9" t="s">
        <v>739</v>
      </c>
      <c r="C3465" s="9" t="s">
        <v>735</v>
      </c>
    </row>
    <row r="3466" customFormat="false" ht="15" hidden="false" customHeight="false" outlineLevel="0" collapsed="false">
      <c r="A3466" s="12" t="s">
        <v>698</v>
      </c>
      <c r="B3466" s="12" t="n">
        <f aca="false">COUNTIFS(Cleaned!$C$2:$C$125,1,Cleaned!FK$2:FK$125,"&lt;&gt;")</f>
        <v>3</v>
      </c>
      <c r="C3466" s="15" t="n">
        <f aca="false">IF(B3466=0,"",AVERAGEIF(Cleaned!$C$2:$C$125,1,Cleaned!FK$2:FK$125))</f>
        <v>15.6666666666667</v>
      </c>
    </row>
    <row r="3467" customFormat="false" ht="15" hidden="false" customHeight="false" outlineLevel="0" collapsed="false">
      <c r="A3467" s="12" t="s">
        <v>699</v>
      </c>
      <c r="B3467" s="12" t="n">
        <f aca="false">COUNTIFS(Cleaned!$C$2:$C$125,2,Cleaned!FK$2:FK$125,"&lt;&gt;")</f>
        <v>3</v>
      </c>
      <c r="C3467" s="15" t="n">
        <f aca="false">IF(B3467=0,"",AVERAGEIF(Cleaned!$C$2:$C$125,2,Cleaned!FK$2:FK$125))</f>
        <v>31.6666666666667</v>
      </c>
    </row>
    <row r="3468" customFormat="false" ht="15" hidden="false" customHeight="false" outlineLevel="0" collapsed="false">
      <c r="A3468" s="12" t="s">
        <v>700</v>
      </c>
      <c r="B3468" s="12" t="n">
        <f aca="false">COUNTIFS(Cleaned!$C$2:$C$125,3,Cleaned!FK$2:FK$125,"&lt;&gt;")</f>
        <v>8</v>
      </c>
      <c r="C3468" s="15" t="n">
        <f aca="false">IF(B3468=0,"",AVERAGEIF(Cleaned!$C$2:$C$125,3,Cleaned!FK$2:FK$125))</f>
        <v>58.875</v>
      </c>
    </row>
    <row r="3469" customFormat="false" ht="15" hidden="false" customHeight="false" outlineLevel="0" collapsed="false">
      <c r="A3469" s="12" t="s">
        <v>701</v>
      </c>
      <c r="B3469" s="12" t="n">
        <f aca="false">COUNTIFS(Cleaned!$C$2:$C$125,4,Cleaned!FK$2:FK$125,"&lt;&gt;")</f>
        <v>9</v>
      </c>
      <c r="C3469" s="15" t="n">
        <f aca="false">IF(B3469=0,"",AVERAGEIF(Cleaned!$C$2:$C$125,4,Cleaned!FK$2:FK$125))</f>
        <v>300.222222222222</v>
      </c>
    </row>
    <row r="3470" customFormat="false" ht="15" hidden="false" customHeight="false" outlineLevel="0" collapsed="false">
      <c r="A3470" s="12" t="s">
        <v>702</v>
      </c>
      <c r="B3470" s="12" t="n">
        <f aca="false">COUNTIFS(Cleaned!$C$2:$C$125,5,Cleaned!FK$2:FK$125,"&lt;&gt;")</f>
        <v>14</v>
      </c>
      <c r="C3470" s="15" t="n">
        <f aca="false">IF(B3470=0,"",AVERAGEIF(Cleaned!$C$2:$C$125,5,Cleaned!FK$2:FK$125))</f>
        <v>2328.57142857143</v>
      </c>
    </row>
    <row r="3471" customFormat="false" ht="15" hidden="false" customHeight="false" outlineLevel="0" collapsed="false">
      <c r="A3471" s="11" t="s">
        <v>3</v>
      </c>
      <c r="B3471" s="9" t="s">
        <v>739</v>
      </c>
      <c r="C3471" s="9" t="s">
        <v>735</v>
      </c>
    </row>
    <row r="3472" customFormat="false" ht="15" hidden="false" customHeight="false" outlineLevel="0" collapsed="false">
      <c r="A3472" s="12" t="s">
        <v>704</v>
      </c>
      <c r="B3472" s="12" t="n">
        <f aca="false">COUNTIFS(Cleaned!$D$2:$D$125,1,Cleaned!FK$2:FK$125,"&lt;&gt;")</f>
        <v>4</v>
      </c>
      <c r="C3472" s="15" t="n">
        <f aca="false">IF(B3472=0,"",AVERAGEIF(Cleaned!$D$2:$D$125,1,Cleaned!FK$2:FK$125))</f>
        <v>215.25</v>
      </c>
    </row>
    <row r="3473" customFormat="false" ht="15" hidden="false" customHeight="false" outlineLevel="0" collapsed="false">
      <c r="A3473" s="12" t="s">
        <v>705</v>
      </c>
      <c r="B3473" s="12" t="n">
        <f aca="false">COUNTIFS(Cleaned!$D$2:$D$125,2,Cleaned!FK$2:FK$125,"&lt;&gt;")</f>
        <v>9</v>
      </c>
      <c r="C3473" s="15" t="n">
        <f aca="false">IF(B3473=0,"",AVERAGEIF(Cleaned!$D$2:$D$125,2,Cleaned!FK$2:FK$125))</f>
        <v>2710.88888888889</v>
      </c>
    </row>
    <row r="3474" customFormat="false" ht="15" hidden="false" customHeight="false" outlineLevel="0" collapsed="false">
      <c r="A3474" s="12" t="s">
        <v>706</v>
      </c>
      <c r="B3474" s="12" t="n">
        <f aca="false">COUNTIFS(Cleaned!$D$2:$D$125,3,Cleaned!FK$2:FK$125,"&lt;&gt;")</f>
        <v>5</v>
      </c>
      <c r="C3474" s="15" t="n">
        <f aca="false">IF(B3474=0,"",AVERAGEIF(Cleaned!$D$2:$D$125,3,Cleaned!FK$2:FK$125))</f>
        <v>1289</v>
      </c>
    </row>
    <row r="3475" customFormat="false" ht="15" hidden="false" customHeight="false" outlineLevel="0" collapsed="false">
      <c r="A3475" s="12" t="s">
        <v>707</v>
      </c>
      <c r="B3475" s="12" t="n">
        <f aca="false">COUNTIFS(Cleaned!$D$2:$D$125,4,Cleaned!FK$2:FK$125,"&lt;&gt;")</f>
        <v>4</v>
      </c>
      <c r="C3475" s="15" t="n">
        <f aca="false">IF(B3475=0,"",AVERAGEIF(Cleaned!$D$2:$D$125,4,Cleaned!FK$2:FK$125))</f>
        <v>60</v>
      </c>
    </row>
    <row r="3476" customFormat="false" ht="15" hidden="false" customHeight="false" outlineLevel="0" collapsed="false">
      <c r="A3476" s="12" t="s">
        <v>708</v>
      </c>
      <c r="B3476" s="12" t="n">
        <f aca="false">COUNTIFS(Cleaned!$D$2:$D$125,5,Cleaned!FK$2:FK$125,"&lt;&gt;")</f>
        <v>1</v>
      </c>
      <c r="C3476" s="15" t="n">
        <f aca="false">IF(B3476=0,"",AVERAGEIF(Cleaned!$D$2:$D$125,5,Cleaned!FK$2:FK$125))</f>
        <v>456</v>
      </c>
    </row>
    <row r="3477" customFormat="false" ht="15" hidden="false" customHeight="false" outlineLevel="0" collapsed="false">
      <c r="A3477" s="12" t="s">
        <v>709</v>
      </c>
      <c r="B3477" s="12" t="n">
        <f aca="false">COUNTIFS(Cleaned!$D$2:$D$125,6,Cleaned!FK$2:FK$125,"&lt;&gt;")</f>
        <v>2</v>
      </c>
      <c r="C3477" s="15" t="n">
        <f aca="false">IF(B3477=0,"",AVERAGEIF(Cleaned!$D$2:$D$125,6,Cleaned!FK$2:FK$125))</f>
        <v>276.5</v>
      </c>
    </row>
    <row r="3478" customFormat="false" ht="15" hidden="false" customHeight="false" outlineLevel="0" collapsed="false">
      <c r="A3478" s="12" t="s">
        <v>710</v>
      </c>
      <c r="B3478" s="12" t="n">
        <f aca="false">COUNTIFS(Cleaned!$D$2:$D$125,7,Cleaned!FK$2:FK$125,"&lt;&gt;")</f>
        <v>5</v>
      </c>
      <c r="C3478" s="15" t="n">
        <f aca="false">IF(B3478=0,"",AVERAGEIF(Cleaned!$D$2:$D$125,7,Cleaned!FK$2:FK$125))</f>
        <v>434.8</v>
      </c>
    </row>
    <row r="3479" customFormat="false" ht="15" hidden="false" customHeight="false" outlineLevel="0" collapsed="false">
      <c r="A3479" s="12" t="s">
        <v>711</v>
      </c>
      <c r="B3479" s="12" t="n">
        <f aca="false">COUNTIFS(Cleaned!$D$2:$D$125,8,Cleaned!FK$2:FK$125,"&lt;&gt;")</f>
        <v>2</v>
      </c>
      <c r="C3479" s="15" t="n">
        <f aca="false">IF(B3479=0,"",AVERAGEIF(Cleaned!$D$2:$D$125,8,Cleaned!FK$2:FK$125))</f>
        <v>229</v>
      </c>
    </row>
    <row r="3480" customFormat="false" ht="15" hidden="false" customHeight="false" outlineLevel="0" collapsed="false">
      <c r="A3480" s="12" t="s">
        <v>712</v>
      </c>
      <c r="B3480" s="12" t="n">
        <f aca="false">COUNTIFS(Cleaned!$D$2:$D$125,9,Cleaned!FK$2:FK$125,"&lt;&gt;")</f>
        <v>1</v>
      </c>
      <c r="C3480" s="15" t="n">
        <f aca="false">IF(B3480=0,"",AVERAGEIF(Cleaned!$D$2:$D$125,9,Cleaned!FK$2:FK$125))</f>
        <v>10</v>
      </c>
    </row>
    <row r="3481" customFormat="false" ht="15" hidden="false" customHeight="false" outlineLevel="0" collapsed="false">
      <c r="A3481" s="12" t="s">
        <v>713</v>
      </c>
      <c r="B3481" s="12" t="n">
        <f aca="false">COUNTIFS(Cleaned!$D$2:$D$125,10,Cleaned!FK$2:FK$125,"&lt;&gt;")</f>
        <v>0</v>
      </c>
      <c r="C3481" s="15" t="str">
        <f aca="false">IF(B3481=0,"",AVERAGEIF(Cleaned!$D$2:$D$125,10,Cleaned!FK$2:FK$125))</f>
        <v/>
      </c>
    </row>
    <row r="3482" customFormat="false" ht="15" hidden="false" customHeight="false" outlineLevel="0" collapsed="false">
      <c r="A3482" s="12" t="s">
        <v>714</v>
      </c>
      <c r="B3482" s="12" t="n">
        <f aca="false">COUNTIFS(Cleaned!$D$2:$D$125,11,Cleaned!FK$2:FK$125,"&lt;&gt;")</f>
        <v>2</v>
      </c>
      <c r="C3482" s="15" t="n">
        <f aca="false">IF(B3482=0,"",AVERAGEIF(Cleaned!$D$2:$D$125,11,Cleaned!FK$2:FK$125))</f>
        <v>134</v>
      </c>
    </row>
    <row r="3483" customFormat="false" ht="15" hidden="false" customHeight="false" outlineLevel="0" collapsed="false">
      <c r="A3483" s="12" t="s">
        <v>715</v>
      </c>
      <c r="B3483" s="12" t="n">
        <f aca="false">COUNTIFS(Cleaned!$D$2:$D$125,12,Cleaned!FK$2:FK$125,"&lt;&gt;")</f>
        <v>2</v>
      </c>
      <c r="C3483" s="15" t="n">
        <f aca="false">IF(B3483=0,"",AVERAGEIF(Cleaned!$D$2:$D$125,12,Cleaned!FK$2:FK$125))</f>
        <v>26</v>
      </c>
    </row>
    <row r="3486" customFormat="false" ht="15" hidden="false" customHeight="false" outlineLevel="0" collapsed="false">
      <c r="A3486" s="6" t="s">
        <v>126</v>
      </c>
      <c r="B3486" s="7" t="s">
        <v>916</v>
      </c>
    </row>
    <row r="3487" customFormat="false" ht="15" hidden="false" customHeight="false" outlineLevel="0" collapsed="false">
      <c r="A3487" s="8"/>
      <c r="B3487" s="9" t="s">
        <v>372</v>
      </c>
      <c r="C3487" s="8"/>
      <c r="D3487" s="9" t="s">
        <v>539</v>
      </c>
      <c r="E3487" s="8"/>
      <c r="F3487" s="9" t="s">
        <v>917</v>
      </c>
      <c r="G3487" s="8"/>
      <c r="H3487" s="9" t="s">
        <v>853</v>
      </c>
      <c r="I3487" s="8"/>
      <c r="J3487" s="9" t="s">
        <v>589</v>
      </c>
      <c r="K3487" s="8"/>
      <c r="L3487" s="9" t="s">
        <v>918</v>
      </c>
      <c r="M3487" s="8"/>
      <c r="N3487" s="9" t="s">
        <v>465</v>
      </c>
      <c r="O3487" s="8"/>
      <c r="P3487" s="9" t="s">
        <v>919</v>
      </c>
      <c r="Q3487" s="8"/>
      <c r="R3487" s="9" t="s">
        <v>250</v>
      </c>
      <c r="S3487" s="8"/>
      <c r="T3487" s="9" t="s">
        <v>694</v>
      </c>
    </row>
    <row r="3488" customFormat="false" ht="15" hidden="false" customHeight="false" outlineLevel="0" collapsed="false">
      <c r="B3488" s="10" t="s">
        <v>695</v>
      </c>
      <c r="C3488" s="10" t="s">
        <v>696</v>
      </c>
      <c r="D3488" s="10" t="s">
        <v>695</v>
      </c>
      <c r="E3488" s="10" t="s">
        <v>696</v>
      </c>
      <c r="F3488" s="10" t="s">
        <v>695</v>
      </c>
      <c r="G3488" s="10" t="s">
        <v>696</v>
      </c>
      <c r="H3488" s="10" t="s">
        <v>695</v>
      </c>
      <c r="I3488" s="10" t="s">
        <v>696</v>
      </c>
      <c r="J3488" s="10" t="s">
        <v>695</v>
      </c>
      <c r="K3488" s="10" t="s">
        <v>696</v>
      </c>
      <c r="L3488" s="10" t="s">
        <v>695</v>
      </c>
      <c r="M3488" s="10" t="s">
        <v>696</v>
      </c>
      <c r="N3488" s="10" t="s">
        <v>695</v>
      </c>
      <c r="O3488" s="10" t="s">
        <v>696</v>
      </c>
      <c r="P3488" s="10" t="s">
        <v>695</v>
      </c>
      <c r="Q3488" s="10" t="s">
        <v>696</v>
      </c>
      <c r="R3488" s="10" t="s">
        <v>695</v>
      </c>
      <c r="S3488" s="10" t="s">
        <v>696</v>
      </c>
    </row>
    <row r="3489" customFormat="false" ht="15" hidden="false" customHeight="false" outlineLevel="0" collapsed="false">
      <c r="A3489" s="11" t="s">
        <v>697</v>
      </c>
    </row>
    <row r="3490" customFormat="false" ht="15" hidden="false" customHeight="false" outlineLevel="0" collapsed="false">
      <c r="A3490" s="12" t="s">
        <v>698</v>
      </c>
      <c r="B3490" s="12" t="n">
        <f aca="false">COUNTIFS(Cleaned!$C$2:$C$125,1,Cleaned!FL$2:FL$125,1)</f>
        <v>0</v>
      </c>
      <c r="C3490" s="13" t="n">
        <f aca="false">IFERROR(B3490/$T3490,"")</f>
        <v>0</v>
      </c>
      <c r="D3490" s="12" t="n">
        <f aca="false">COUNTIFS(Cleaned!$C$2:$C$125,1,Cleaned!FL$2:FL$125,2)</f>
        <v>1</v>
      </c>
      <c r="E3490" s="13" t="n">
        <f aca="false">IFERROR(D3490/$T3490,"")</f>
        <v>1</v>
      </c>
      <c r="F3490" s="12" t="n">
        <f aca="false">COUNTIFS(Cleaned!$C$2:$C$125,1,Cleaned!FL$2:FL$125,3)</f>
        <v>0</v>
      </c>
      <c r="G3490" s="13" t="n">
        <f aca="false">IFERROR(F3490/$T3490,"")</f>
        <v>0</v>
      </c>
      <c r="H3490" s="12" t="n">
        <f aca="false">COUNTIFS(Cleaned!$C$2:$C$125,1,Cleaned!FL$2:FL$125,4)</f>
        <v>0</v>
      </c>
      <c r="I3490" s="13" t="n">
        <f aca="false">IFERROR(H3490/$T3490,"")</f>
        <v>0</v>
      </c>
      <c r="J3490" s="12" t="n">
        <f aca="false">COUNTIFS(Cleaned!$C$2:$C$125,1,Cleaned!FL$2:FL$125,5)</f>
        <v>0</v>
      </c>
      <c r="K3490" s="13" t="n">
        <f aca="false">IFERROR(J3490/$T3490,"")</f>
        <v>0</v>
      </c>
      <c r="L3490" s="12" t="n">
        <f aca="false">COUNTIFS(Cleaned!$C$2:$C$125,1,Cleaned!FL$2:FL$125,6)</f>
        <v>0</v>
      </c>
      <c r="M3490" s="13" t="n">
        <f aca="false">IFERROR(L3490/$T3490,"")</f>
        <v>0</v>
      </c>
      <c r="N3490" s="12" t="n">
        <f aca="false">COUNTIFS(Cleaned!$C$2:$C$125,1,Cleaned!FL$2:FL$125,7)</f>
        <v>0</v>
      </c>
      <c r="O3490" s="13" t="n">
        <f aca="false">IFERROR(N3490/$T3490,"")</f>
        <v>0</v>
      </c>
      <c r="P3490" s="12" t="n">
        <f aca="false">COUNTIFS(Cleaned!$C$2:$C$125,1,Cleaned!FL$2:FL$125,8)</f>
        <v>0</v>
      </c>
      <c r="Q3490" s="13" t="n">
        <f aca="false">IFERROR(P3490/$T3490,"")</f>
        <v>0</v>
      </c>
      <c r="R3490" s="12" t="n">
        <f aca="false">COUNTIFS(Cleaned!$C$2:$C$125,1,Cleaned!FL$2:FL$125,9)</f>
        <v>0</v>
      </c>
      <c r="S3490" s="13" t="n">
        <f aca="false">IFERROR(R3490/$T3490,"")</f>
        <v>0</v>
      </c>
      <c r="T3490" s="12" t="n">
        <f aca="false">B3490+D3490+F3490+H3490+J3490+L3490+N3490+P3490+R3490</f>
        <v>1</v>
      </c>
    </row>
    <row r="3491" customFormat="false" ht="15" hidden="false" customHeight="false" outlineLevel="0" collapsed="false">
      <c r="A3491" s="12" t="s">
        <v>699</v>
      </c>
      <c r="B3491" s="12" t="n">
        <f aca="false">COUNTIFS(Cleaned!$C$2:$C$125,2,Cleaned!FL$2:FL$125,1)</f>
        <v>1</v>
      </c>
      <c r="C3491" s="13" t="n">
        <f aca="false">IFERROR(B3491/$T3491,"")</f>
        <v>0.5</v>
      </c>
      <c r="D3491" s="12" t="n">
        <f aca="false">COUNTIFS(Cleaned!$C$2:$C$125,2,Cleaned!FL$2:FL$125,2)</f>
        <v>0</v>
      </c>
      <c r="E3491" s="13" t="n">
        <f aca="false">IFERROR(D3491/$T3491,"")</f>
        <v>0</v>
      </c>
      <c r="F3491" s="12" t="n">
        <f aca="false">COUNTIFS(Cleaned!$C$2:$C$125,2,Cleaned!FL$2:FL$125,3)</f>
        <v>0</v>
      </c>
      <c r="G3491" s="13" t="n">
        <f aca="false">IFERROR(F3491/$T3491,"")</f>
        <v>0</v>
      </c>
      <c r="H3491" s="12" t="n">
        <f aca="false">COUNTIFS(Cleaned!$C$2:$C$125,2,Cleaned!FL$2:FL$125,4)</f>
        <v>1</v>
      </c>
      <c r="I3491" s="13" t="n">
        <f aca="false">IFERROR(H3491/$T3491,"")</f>
        <v>0.5</v>
      </c>
      <c r="J3491" s="12" t="n">
        <f aca="false">COUNTIFS(Cleaned!$C$2:$C$125,2,Cleaned!FL$2:FL$125,5)</f>
        <v>0</v>
      </c>
      <c r="K3491" s="13" t="n">
        <f aca="false">IFERROR(J3491/$T3491,"")</f>
        <v>0</v>
      </c>
      <c r="L3491" s="12" t="n">
        <f aca="false">COUNTIFS(Cleaned!$C$2:$C$125,2,Cleaned!FL$2:FL$125,6)</f>
        <v>0</v>
      </c>
      <c r="M3491" s="13" t="n">
        <f aca="false">IFERROR(L3491/$T3491,"")</f>
        <v>0</v>
      </c>
      <c r="N3491" s="12" t="n">
        <f aca="false">COUNTIFS(Cleaned!$C$2:$C$125,2,Cleaned!FL$2:FL$125,7)</f>
        <v>0</v>
      </c>
      <c r="O3491" s="13" t="n">
        <f aca="false">IFERROR(N3491/$T3491,"")</f>
        <v>0</v>
      </c>
      <c r="P3491" s="12" t="n">
        <f aca="false">COUNTIFS(Cleaned!$C$2:$C$125,2,Cleaned!FL$2:FL$125,8)</f>
        <v>0</v>
      </c>
      <c r="Q3491" s="13" t="n">
        <f aca="false">IFERROR(P3491/$T3491,"")</f>
        <v>0</v>
      </c>
      <c r="R3491" s="12" t="n">
        <f aca="false">COUNTIFS(Cleaned!$C$2:$C$125,2,Cleaned!FL$2:FL$125,9)</f>
        <v>0</v>
      </c>
      <c r="S3491" s="13" t="n">
        <f aca="false">IFERROR(R3491/$T3491,"")</f>
        <v>0</v>
      </c>
      <c r="T3491" s="12" t="n">
        <f aca="false">B3491+D3491+F3491+H3491+J3491+L3491+N3491+P3491+R3491</f>
        <v>2</v>
      </c>
    </row>
    <row r="3492" customFormat="false" ht="15" hidden="false" customHeight="false" outlineLevel="0" collapsed="false">
      <c r="A3492" s="12" t="s">
        <v>700</v>
      </c>
      <c r="B3492" s="12" t="n">
        <f aca="false">COUNTIFS(Cleaned!$C$2:$C$125,3,Cleaned!FL$2:FL$125,1)</f>
        <v>3</v>
      </c>
      <c r="C3492" s="13" t="n">
        <f aca="false">IFERROR(B3492/$T3492,"")</f>
        <v>0.6</v>
      </c>
      <c r="D3492" s="12" t="n">
        <f aca="false">COUNTIFS(Cleaned!$C$2:$C$125,3,Cleaned!FL$2:FL$125,2)</f>
        <v>0</v>
      </c>
      <c r="E3492" s="13" t="n">
        <f aca="false">IFERROR(D3492/$T3492,"")</f>
        <v>0</v>
      </c>
      <c r="F3492" s="12" t="n">
        <f aca="false">COUNTIFS(Cleaned!$C$2:$C$125,3,Cleaned!FL$2:FL$125,3)</f>
        <v>0</v>
      </c>
      <c r="G3492" s="13" t="n">
        <f aca="false">IFERROR(F3492/$T3492,"")</f>
        <v>0</v>
      </c>
      <c r="H3492" s="12" t="n">
        <f aca="false">COUNTIFS(Cleaned!$C$2:$C$125,3,Cleaned!FL$2:FL$125,4)</f>
        <v>0</v>
      </c>
      <c r="I3492" s="13" t="n">
        <f aca="false">IFERROR(H3492/$T3492,"")</f>
        <v>0</v>
      </c>
      <c r="J3492" s="12" t="n">
        <f aca="false">COUNTIFS(Cleaned!$C$2:$C$125,3,Cleaned!FL$2:FL$125,5)</f>
        <v>1</v>
      </c>
      <c r="K3492" s="13" t="n">
        <f aca="false">IFERROR(J3492/$T3492,"")</f>
        <v>0.2</v>
      </c>
      <c r="L3492" s="12" t="n">
        <f aca="false">COUNTIFS(Cleaned!$C$2:$C$125,3,Cleaned!FL$2:FL$125,6)</f>
        <v>1</v>
      </c>
      <c r="M3492" s="13" t="n">
        <f aca="false">IFERROR(L3492/$T3492,"")</f>
        <v>0.2</v>
      </c>
      <c r="N3492" s="12" t="n">
        <f aca="false">COUNTIFS(Cleaned!$C$2:$C$125,3,Cleaned!FL$2:FL$125,7)</f>
        <v>0</v>
      </c>
      <c r="O3492" s="13" t="n">
        <f aca="false">IFERROR(N3492/$T3492,"")</f>
        <v>0</v>
      </c>
      <c r="P3492" s="12" t="n">
        <f aca="false">COUNTIFS(Cleaned!$C$2:$C$125,3,Cleaned!FL$2:FL$125,8)</f>
        <v>0</v>
      </c>
      <c r="Q3492" s="13" t="n">
        <f aca="false">IFERROR(P3492/$T3492,"")</f>
        <v>0</v>
      </c>
      <c r="R3492" s="12" t="n">
        <f aca="false">COUNTIFS(Cleaned!$C$2:$C$125,3,Cleaned!FL$2:FL$125,9)</f>
        <v>0</v>
      </c>
      <c r="S3492" s="13" t="n">
        <f aca="false">IFERROR(R3492/$T3492,"")</f>
        <v>0</v>
      </c>
      <c r="T3492" s="12" t="n">
        <f aca="false">B3492+D3492+F3492+H3492+J3492+L3492+N3492+P3492+R3492</f>
        <v>5</v>
      </c>
    </row>
    <row r="3493" customFormat="false" ht="15" hidden="false" customHeight="false" outlineLevel="0" collapsed="false">
      <c r="A3493" s="12" t="s">
        <v>701</v>
      </c>
      <c r="B3493" s="12" t="n">
        <f aca="false">COUNTIFS(Cleaned!$C$2:$C$125,4,Cleaned!FL$2:FL$125,1)</f>
        <v>3</v>
      </c>
      <c r="C3493" s="13" t="n">
        <f aca="false">IFERROR(B3493/$T3493,"")</f>
        <v>0.6</v>
      </c>
      <c r="D3493" s="12" t="n">
        <f aca="false">COUNTIFS(Cleaned!$C$2:$C$125,4,Cleaned!FL$2:FL$125,2)</f>
        <v>0</v>
      </c>
      <c r="E3493" s="13" t="n">
        <f aca="false">IFERROR(D3493/$T3493,"")</f>
        <v>0</v>
      </c>
      <c r="F3493" s="12" t="n">
        <f aca="false">COUNTIFS(Cleaned!$C$2:$C$125,4,Cleaned!FL$2:FL$125,3)</f>
        <v>1</v>
      </c>
      <c r="G3493" s="13" t="n">
        <f aca="false">IFERROR(F3493/$T3493,"")</f>
        <v>0.2</v>
      </c>
      <c r="H3493" s="12" t="n">
        <f aca="false">COUNTIFS(Cleaned!$C$2:$C$125,4,Cleaned!FL$2:FL$125,4)</f>
        <v>0</v>
      </c>
      <c r="I3493" s="13" t="n">
        <f aca="false">IFERROR(H3493/$T3493,"")</f>
        <v>0</v>
      </c>
      <c r="J3493" s="12" t="n">
        <f aca="false">COUNTIFS(Cleaned!$C$2:$C$125,4,Cleaned!FL$2:FL$125,5)</f>
        <v>0</v>
      </c>
      <c r="K3493" s="13" t="n">
        <f aca="false">IFERROR(J3493/$T3493,"")</f>
        <v>0</v>
      </c>
      <c r="L3493" s="12" t="n">
        <f aca="false">COUNTIFS(Cleaned!$C$2:$C$125,4,Cleaned!FL$2:FL$125,6)</f>
        <v>0</v>
      </c>
      <c r="M3493" s="13" t="n">
        <f aca="false">IFERROR(L3493/$T3493,"")</f>
        <v>0</v>
      </c>
      <c r="N3493" s="12" t="n">
        <f aca="false">COUNTIFS(Cleaned!$C$2:$C$125,4,Cleaned!FL$2:FL$125,7)</f>
        <v>1</v>
      </c>
      <c r="O3493" s="13" t="n">
        <f aca="false">IFERROR(N3493/$T3493,"")</f>
        <v>0.2</v>
      </c>
      <c r="P3493" s="12" t="n">
        <f aca="false">COUNTIFS(Cleaned!$C$2:$C$125,4,Cleaned!FL$2:FL$125,8)</f>
        <v>0</v>
      </c>
      <c r="Q3493" s="13" t="n">
        <f aca="false">IFERROR(P3493/$T3493,"")</f>
        <v>0</v>
      </c>
      <c r="R3493" s="12" t="n">
        <f aca="false">COUNTIFS(Cleaned!$C$2:$C$125,4,Cleaned!FL$2:FL$125,9)</f>
        <v>0</v>
      </c>
      <c r="S3493" s="13" t="n">
        <f aca="false">IFERROR(R3493/$T3493,"")</f>
        <v>0</v>
      </c>
      <c r="T3493" s="12" t="n">
        <f aca="false">B3493+D3493+F3493+H3493+J3493+L3493+N3493+P3493+R3493</f>
        <v>5</v>
      </c>
    </row>
    <row r="3494" customFormat="false" ht="15" hidden="false" customHeight="false" outlineLevel="0" collapsed="false">
      <c r="A3494" s="12" t="s">
        <v>702</v>
      </c>
      <c r="B3494" s="12" t="n">
        <f aca="false">COUNTIFS(Cleaned!$C$2:$C$125,5,Cleaned!FL$2:FL$125,1)</f>
        <v>3</v>
      </c>
      <c r="C3494" s="13" t="n">
        <f aca="false">IFERROR(B3494/$T3494,"")</f>
        <v>0.375</v>
      </c>
      <c r="D3494" s="12" t="n">
        <f aca="false">COUNTIFS(Cleaned!$C$2:$C$125,5,Cleaned!FL$2:FL$125,2)</f>
        <v>1</v>
      </c>
      <c r="E3494" s="13" t="n">
        <f aca="false">IFERROR(D3494/$T3494,"")</f>
        <v>0.125</v>
      </c>
      <c r="F3494" s="12" t="n">
        <f aca="false">COUNTIFS(Cleaned!$C$2:$C$125,5,Cleaned!FL$2:FL$125,3)</f>
        <v>0</v>
      </c>
      <c r="G3494" s="13" t="n">
        <f aca="false">IFERROR(F3494/$T3494,"")</f>
        <v>0</v>
      </c>
      <c r="H3494" s="12" t="n">
        <f aca="false">COUNTIFS(Cleaned!$C$2:$C$125,5,Cleaned!FL$2:FL$125,4)</f>
        <v>0</v>
      </c>
      <c r="I3494" s="13" t="n">
        <f aca="false">IFERROR(H3494/$T3494,"")</f>
        <v>0</v>
      </c>
      <c r="J3494" s="12" t="n">
        <f aca="false">COUNTIFS(Cleaned!$C$2:$C$125,5,Cleaned!FL$2:FL$125,5)</f>
        <v>1</v>
      </c>
      <c r="K3494" s="13" t="n">
        <f aca="false">IFERROR(J3494/$T3494,"")</f>
        <v>0.125</v>
      </c>
      <c r="L3494" s="12" t="n">
        <f aca="false">COUNTIFS(Cleaned!$C$2:$C$125,5,Cleaned!FL$2:FL$125,6)</f>
        <v>0</v>
      </c>
      <c r="M3494" s="13" t="n">
        <f aca="false">IFERROR(L3494/$T3494,"")</f>
        <v>0</v>
      </c>
      <c r="N3494" s="12" t="n">
        <f aca="false">COUNTIFS(Cleaned!$C$2:$C$125,5,Cleaned!FL$2:FL$125,7)</f>
        <v>0</v>
      </c>
      <c r="O3494" s="13" t="n">
        <f aca="false">IFERROR(N3494/$T3494,"")</f>
        <v>0</v>
      </c>
      <c r="P3494" s="12" t="n">
        <f aca="false">COUNTIFS(Cleaned!$C$2:$C$125,5,Cleaned!FL$2:FL$125,8)</f>
        <v>2</v>
      </c>
      <c r="Q3494" s="13" t="n">
        <f aca="false">IFERROR(P3494/$T3494,"")</f>
        <v>0.25</v>
      </c>
      <c r="R3494" s="12" t="n">
        <f aca="false">COUNTIFS(Cleaned!$C$2:$C$125,5,Cleaned!FL$2:FL$125,9)</f>
        <v>1</v>
      </c>
      <c r="S3494" s="13" t="n">
        <f aca="false">IFERROR(R3494/$T3494,"")</f>
        <v>0.125</v>
      </c>
      <c r="T3494" s="12" t="n">
        <f aca="false">B3494+D3494+F3494+H3494+J3494+L3494+N3494+P3494+R3494</f>
        <v>8</v>
      </c>
    </row>
    <row r="3495" customFormat="false" ht="15" hidden="false" customHeight="false" outlineLevel="0" collapsed="false">
      <c r="A3495" s="11" t="s">
        <v>703</v>
      </c>
      <c r="B3495" s="11" t="n">
        <f aca="false">SUM(B3490:B3494)</f>
        <v>10</v>
      </c>
      <c r="C3495" s="14" t="n">
        <f aca="false">IFERROR(B3495/$T3495,"")</f>
        <v>0.476190476190476</v>
      </c>
      <c r="D3495" s="11" t="n">
        <f aca="false">SUM(D3490:D3494)</f>
        <v>2</v>
      </c>
      <c r="E3495" s="14" t="n">
        <f aca="false">IFERROR(D3495/$T3495,"")</f>
        <v>0.0952380952380952</v>
      </c>
      <c r="F3495" s="11" t="n">
        <f aca="false">SUM(F3490:F3494)</f>
        <v>1</v>
      </c>
      <c r="G3495" s="14" t="n">
        <f aca="false">IFERROR(F3495/$T3495,"")</f>
        <v>0.0476190476190476</v>
      </c>
      <c r="H3495" s="11" t="n">
        <f aca="false">SUM(H3490:H3494)</f>
        <v>1</v>
      </c>
      <c r="I3495" s="14" t="n">
        <f aca="false">IFERROR(H3495/$T3495,"")</f>
        <v>0.0476190476190476</v>
      </c>
      <c r="J3495" s="11" t="n">
        <f aca="false">SUM(J3490:J3494)</f>
        <v>2</v>
      </c>
      <c r="K3495" s="14" t="n">
        <f aca="false">IFERROR(J3495/$T3495,"")</f>
        <v>0.0952380952380952</v>
      </c>
      <c r="L3495" s="11" t="n">
        <f aca="false">SUM(L3490:L3494)</f>
        <v>1</v>
      </c>
      <c r="M3495" s="14" t="n">
        <f aca="false">IFERROR(L3495/$T3495,"")</f>
        <v>0.0476190476190476</v>
      </c>
      <c r="N3495" s="11" t="n">
        <f aca="false">SUM(N3490:N3494)</f>
        <v>1</v>
      </c>
      <c r="O3495" s="14" t="n">
        <f aca="false">IFERROR(N3495/$T3495,"")</f>
        <v>0.0476190476190476</v>
      </c>
      <c r="P3495" s="11" t="n">
        <f aca="false">SUM(P3490:P3494)</f>
        <v>2</v>
      </c>
      <c r="Q3495" s="14" t="n">
        <f aca="false">IFERROR(P3495/$T3495,"")</f>
        <v>0.0952380952380952</v>
      </c>
      <c r="R3495" s="11" t="n">
        <f aca="false">SUM(R3490:R3494)</f>
        <v>1</v>
      </c>
      <c r="S3495" s="14" t="n">
        <f aca="false">IFERROR(R3495/$T3495,"")</f>
        <v>0.0476190476190476</v>
      </c>
      <c r="T3495" s="11" t="n">
        <f aca="false">SUM(T3490:T3494)</f>
        <v>21</v>
      </c>
    </row>
    <row r="3496" customFormat="false" ht="15" hidden="false" customHeight="false" outlineLevel="0" collapsed="false">
      <c r="A3496" s="11" t="s">
        <v>3</v>
      </c>
    </row>
    <row r="3497" customFormat="false" ht="15" hidden="false" customHeight="false" outlineLevel="0" collapsed="false">
      <c r="A3497" s="12" t="s">
        <v>704</v>
      </c>
      <c r="B3497" s="12" t="n">
        <f aca="false">COUNTIFS(Cleaned!$D$2:$D$125,1,Cleaned!FL$2:FL$125,1)</f>
        <v>1</v>
      </c>
      <c r="C3497" s="13" t="n">
        <f aca="false">IFERROR(B3497/$T3497,"")</f>
        <v>1</v>
      </c>
      <c r="D3497" s="12" t="n">
        <f aca="false">COUNTIFS(Cleaned!$D$2:$D$125,1,Cleaned!FL$2:FL$125,2)</f>
        <v>0</v>
      </c>
      <c r="E3497" s="13" t="n">
        <f aca="false">IFERROR(D3497/$T3497,"")</f>
        <v>0</v>
      </c>
      <c r="F3497" s="12" t="n">
        <f aca="false">COUNTIFS(Cleaned!$D$2:$D$125,1,Cleaned!FL$2:FL$125,3)</f>
        <v>0</v>
      </c>
      <c r="G3497" s="13" t="n">
        <f aca="false">IFERROR(F3497/$T3497,"")</f>
        <v>0</v>
      </c>
      <c r="H3497" s="12" t="n">
        <f aca="false">COUNTIFS(Cleaned!$D$2:$D$125,1,Cleaned!FL$2:FL$125,4)</f>
        <v>0</v>
      </c>
      <c r="I3497" s="13" t="n">
        <f aca="false">IFERROR(H3497/$T3497,"")</f>
        <v>0</v>
      </c>
      <c r="J3497" s="12" t="n">
        <f aca="false">COUNTIFS(Cleaned!$D$2:$D$125,1,Cleaned!FL$2:FL$125,5)</f>
        <v>0</v>
      </c>
      <c r="K3497" s="13" t="n">
        <f aca="false">IFERROR(J3497/$T3497,"")</f>
        <v>0</v>
      </c>
      <c r="L3497" s="12" t="n">
        <f aca="false">COUNTIFS(Cleaned!$D$2:$D$125,1,Cleaned!FL$2:FL$125,6)</f>
        <v>0</v>
      </c>
      <c r="M3497" s="13" t="n">
        <f aca="false">IFERROR(L3497/$T3497,"")</f>
        <v>0</v>
      </c>
      <c r="N3497" s="12" t="n">
        <f aca="false">COUNTIFS(Cleaned!$D$2:$D$125,1,Cleaned!FL$2:FL$125,7)</f>
        <v>0</v>
      </c>
      <c r="O3497" s="13" t="n">
        <f aca="false">IFERROR(N3497/$T3497,"")</f>
        <v>0</v>
      </c>
      <c r="P3497" s="12" t="n">
        <f aca="false">COUNTIFS(Cleaned!$D$2:$D$125,1,Cleaned!FL$2:FL$125,8)</f>
        <v>0</v>
      </c>
      <c r="Q3497" s="13" t="n">
        <f aca="false">IFERROR(P3497/$T3497,"")</f>
        <v>0</v>
      </c>
      <c r="R3497" s="12" t="n">
        <f aca="false">COUNTIFS(Cleaned!$D$2:$D$125,1,Cleaned!FL$2:FL$125,9)</f>
        <v>0</v>
      </c>
      <c r="S3497" s="13" t="n">
        <f aca="false">IFERROR(R3497/$T3497,"")</f>
        <v>0</v>
      </c>
      <c r="T3497" s="12" t="n">
        <f aca="false">B3497+D3497+F3497+H3497+J3497+L3497+N3497+P3497+R3497</f>
        <v>1</v>
      </c>
    </row>
    <row r="3498" customFormat="false" ht="15" hidden="false" customHeight="false" outlineLevel="0" collapsed="false">
      <c r="A3498" s="12" t="s">
        <v>705</v>
      </c>
      <c r="B3498" s="12" t="n">
        <f aca="false">COUNTIFS(Cleaned!$D$2:$D$125,2,Cleaned!FL$2:FL$125,1)</f>
        <v>3</v>
      </c>
      <c r="C3498" s="13" t="n">
        <f aca="false">IFERROR(B3498/$T3498,"")</f>
        <v>0.6</v>
      </c>
      <c r="D3498" s="12" t="n">
        <f aca="false">COUNTIFS(Cleaned!$D$2:$D$125,2,Cleaned!FL$2:FL$125,2)</f>
        <v>1</v>
      </c>
      <c r="E3498" s="13" t="n">
        <f aca="false">IFERROR(D3498/$T3498,"")</f>
        <v>0.2</v>
      </c>
      <c r="F3498" s="12" t="n">
        <f aca="false">COUNTIFS(Cleaned!$D$2:$D$125,2,Cleaned!FL$2:FL$125,3)</f>
        <v>0</v>
      </c>
      <c r="G3498" s="13" t="n">
        <f aca="false">IFERROR(F3498/$T3498,"")</f>
        <v>0</v>
      </c>
      <c r="H3498" s="12" t="n">
        <f aca="false">COUNTIFS(Cleaned!$D$2:$D$125,2,Cleaned!FL$2:FL$125,4)</f>
        <v>0</v>
      </c>
      <c r="I3498" s="13" t="n">
        <f aca="false">IFERROR(H3498/$T3498,"")</f>
        <v>0</v>
      </c>
      <c r="J3498" s="12" t="n">
        <f aca="false">COUNTIFS(Cleaned!$D$2:$D$125,2,Cleaned!FL$2:FL$125,5)</f>
        <v>0</v>
      </c>
      <c r="K3498" s="13" t="n">
        <f aca="false">IFERROR(J3498/$T3498,"")</f>
        <v>0</v>
      </c>
      <c r="L3498" s="12" t="n">
        <f aca="false">COUNTIFS(Cleaned!$D$2:$D$125,2,Cleaned!FL$2:FL$125,6)</f>
        <v>0</v>
      </c>
      <c r="M3498" s="13" t="n">
        <f aca="false">IFERROR(L3498/$T3498,"")</f>
        <v>0</v>
      </c>
      <c r="N3498" s="12" t="n">
        <f aca="false">COUNTIFS(Cleaned!$D$2:$D$125,2,Cleaned!FL$2:FL$125,7)</f>
        <v>0</v>
      </c>
      <c r="O3498" s="13" t="n">
        <f aca="false">IFERROR(N3498/$T3498,"")</f>
        <v>0</v>
      </c>
      <c r="P3498" s="12" t="n">
        <f aca="false">COUNTIFS(Cleaned!$D$2:$D$125,2,Cleaned!FL$2:FL$125,8)</f>
        <v>0</v>
      </c>
      <c r="Q3498" s="13" t="n">
        <f aca="false">IFERROR(P3498/$T3498,"")</f>
        <v>0</v>
      </c>
      <c r="R3498" s="12" t="n">
        <f aca="false">COUNTIFS(Cleaned!$D$2:$D$125,2,Cleaned!FL$2:FL$125,9)</f>
        <v>1</v>
      </c>
      <c r="S3498" s="13" t="n">
        <f aca="false">IFERROR(R3498/$T3498,"")</f>
        <v>0.2</v>
      </c>
      <c r="T3498" s="12" t="n">
        <f aca="false">B3498+D3498+F3498+H3498+J3498+L3498+N3498+P3498+R3498</f>
        <v>5</v>
      </c>
    </row>
    <row r="3499" customFormat="false" ht="15" hidden="false" customHeight="false" outlineLevel="0" collapsed="false">
      <c r="A3499" s="12" t="s">
        <v>706</v>
      </c>
      <c r="B3499" s="12" t="n">
        <f aca="false">COUNTIFS(Cleaned!$D$2:$D$125,3,Cleaned!FL$2:FL$125,1)</f>
        <v>2</v>
      </c>
      <c r="C3499" s="13" t="n">
        <f aca="false">IFERROR(B3499/$T3499,"")</f>
        <v>0.5</v>
      </c>
      <c r="D3499" s="12" t="n">
        <f aca="false">COUNTIFS(Cleaned!$D$2:$D$125,3,Cleaned!FL$2:FL$125,2)</f>
        <v>0</v>
      </c>
      <c r="E3499" s="13" t="n">
        <f aca="false">IFERROR(D3499/$T3499,"")</f>
        <v>0</v>
      </c>
      <c r="F3499" s="12" t="n">
        <f aca="false">COUNTIFS(Cleaned!$D$2:$D$125,3,Cleaned!FL$2:FL$125,3)</f>
        <v>0</v>
      </c>
      <c r="G3499" s="13" t="n">
        <f aca="false">IFERROR(F3499/$T3499,"")</f>
        <v>0</v>
      </c>
      <c r="H3499" s="12" t="n">
        <f aca="false">COUNTIFS(Cleaned!$D$2:$D$125,3,Cleaned!FL$2:FL$125,4)</f>
        <v>0</v>
      </c>
      <c r="I3499" s="13" t="n">
        <f aca="false">IFERROR(H3499/$T3499,"")</f>
        <v>0</v>
      </c>
      <c r="J3499" s="12" t="n">
        <f aca="false">COUNTIFS(Cleaned!$D$2:$D$125,3,Cleaned!FL$2:FL$125,5)</f>
        <v>0</v>
      </c>
      <c r="K3499" s="13" t="n">
        <f aca="false">IFERROR(J3499/$T3499,"")</f>
        <v>0</v>
      </c>
      <c r="L3499" s="12" t="n">
        <f aca="false">COUNTIFS(Cleaned!$D$2:$D$125,3,Cleaned!FL$2:FL$125,6)</f>
        <v>0</v>
      </c>
      <c r="M3499" s="13" t="n">
        <f aca="false">IFERROR(L3499/$T3499,"")</f>
        <v>0</v>
      </c>
      <c r="N3499" s="12" t="n">
        <f aca="false">COUNTIFS(Cleaned!$D$2:$D$125,3,Cleaned!FL$2:FL$125,7)</f>
        <v>0</v>
      </c>
      <c r="O3499" s="13" t="n">
        <f aca="false">IFERROR(N3499/$T3499,"")</f>
        <v>0</v>
      </c>
      <c r="P3499" s="12" t="n">
        <f aca="false">COUNTIFS(Cleaned!$D$2:$D$125,3,Cleaned!FL$2:FL$125,8)</f>
        <v>2</v>
      </c>
      <c r="Q3499" s="13" t="n">
        <f aca="false">IFERROR(P3499/$T3499,"")</f>
        <v>0.5</v>
      </c>
      <c r="R3499" s="12" t="n">
        <f aca="false">COUNTIFS(Cleaned!$D$2:$D$125,3,Cleaned!FL$2:FL$125,9)</f>
        <v>0</v>
      </c>
      <c r="S3499" s="13" t="n">
        <f aca="false">IFERROR(R3499/$T3499,"")</f>
        <v>0</v>
      </c>
      <c r="T3499" s="12" t="n">
        <f aca="false">B3499+D3499+F3499+H3499+J3499+L3499+N3499+P3499+R3499</f>
        <v>4</v>
      </c>
    </row>
    <row r="3500" customFormat="false" ht="15" hidden="false" customHeight="false" outlineLevel="0" collapsed="false">
      <c r="A3500" s="12" t="s">
        <v>707</v>
      </c>
      <c r="B3500" s="12" t="n">
        <f aca="false">COUNTIFS(Cleaned!$D$2:$D$125,4,Cleaned!FL$2:FL$125,1)</f>
        <v>2</v>
      </c>
      <c r="C3500" s="13" t="n">
        <f aca="false">IFERROR(B3500/$T3500,"")</f>
        <v>1</v>
      </c>
      <c r="D3500" s="12" t="n">
        <f aca="false">COUNTIFS(Cleaned!$D$2:$D$125,4,Cleaned!FL$2:FL$125,2)</f>
        <v>0</v>
      </c>
      <c r="E3500" s="13" t="n">
        <f aca="false">IFERROR(D3500/$T3500,"")</f>
        <v>0</v>
      </c>
      <c r="F3500" s="12" t="n">
        <f aca="false">COUNTIFS(Cleaned!$D$2:$D$125,4,Cleaned!FL$2:FL$125,3)</f>
        <v>0</v>
      </c>
      <c r="G3500" s="13" t="n">
        <f aca="false">IFERROR(F3500/$T3500,"")</f>
        <v>0</v>
      </c>
      <c r="H3500" s="12" t="n">
        <f aca="false">COUNTIFS(Cleaned!$D$2:$D$125,4,Cleaned!FL$2:FL$125,4)</f>
        <v>0</v>
      </c>
      <c r="I3500" s="13" t="n">
        <f aca="false">IFERROR(H3500/$T3500,"")</f>
        <v>0</v>
      </c>
      <c r="J3500" s="12" t="n">
        <f aca="false">COUNTIFS(Cleaned!$D$2:$D$125,4,Cleaned!FL$2:FL$125,5)</f>
        <v>0</v>
      </c>
      <c r="K3500" s="13" t="n">
        <f aca="false">IFERROR(J3500/$T3500,"")</f>
        <v>0</v>
      </c>
      <c r="L3500" s="12" t="n">
        <f aca="false">COUNTIFS(Cleaned!$D$2:$D$125,4,Cleaned!FL$2:FL$125,6)</f>
        <v>0</v>
      </c>
      <c r="M3500" s="13" t="n">
        <f aca="false">IFERROR(L3500/$T3500,"")</f>
        <v>0</v>
      </c>
      <c r="N3500" s="12" t="n">
        <f aca="false">COUNTIFS(Cleaned!$D$2:$D$125,4,Cleaned!FL$2:FL$125,7)</f>
        <v>0</v>
      </c>
      <c r="O3500" s="13" t="n">
        <f aca="false">IFERROR(N3500/$T3500,"")</f>
        <v>0</v>
      </c>
      <c r="P3500" s="12" t="n">
        <f aca="false">COUNTIFS(Cleaned!$D$2:$D$125,4,Cleaned!FL$2:FL$125,8)</f>
        <v>0</v>
      </c>
      <c r="Q3500" s="13" t="n">
        <f aca="false">IFERROR(P3500/$T3500,"")</f>
        <v>0</v>
      </c>
      <c r="R3500" s="12" t="n">
        <f aca="false">COUNTIFS(Cleaned!$D$2:$D$125,4,Cleaned!FL$2:FL$125,9)</f>
        <v>0</v>
      </c>
      <c r="S3500" s="13" t="n">
        <f aca="false">IFERROR(R3500/$T3500,"")</f>
        <v>0</v>
      </c>
      <c r="T3500" s="12" t="n">
        <f aca="false">B3500+D3500+F3500+H3500+J3500+L3500+N3500+P3500+R3500</f>
        <v>2</v>
      </c>
    </row>
    <row r="3501" customFormat="false" ht="15" hidden="false" customHeight="false" outlineLevel="0" collapsed="false">
      <c r="A3501" s="12" t="s">
        <v>708</v>
      </c>
      <c r="B3501" s="12" t="n">
        <f aca="false">COUNTIFS(Cleaned!$D$2:$D$125,5,Cleaned!FL$2:FL$125,1)</f>
        <v>0</v>
      </c>
      <c r="C3501" s="13" t="str">
        <f aca="false">IFERROR(B3501/$T3501,"")</f>
        <v/>
      </c>
      <c r="D3501" s="12" t="n">
        <f aca="false">COUNTIFS(Cleaned!$D$2:$D$125,5,Cleaned!FL$2:FL$125,2)</f>
        <v>0</v>
      </c>
      <c r="E3501" s="13" t="str">
        <f aca="false">IFERROR(D3501/$T3501,"")</f>
        <v/>
      </c>
      <c r="F3501" s="12" t="n">
        <f aca="false">COUNTIFS(Cleaned!$D$2:$D$125,5,Cleaned!FL$2:FL$125,3)</f>
        <v>0</v>
      </c>
      <c r="G3501" s="13" t="str">
        <f aca="false">IFERROR(F3501/$T3501,"")</f>
        <v/>
      </c>
      <c r="H3501" s="12" t="n">
        <f aca="false">COUNTIFS(Cleaned!$D$2:$D$125,5,Cleaned!FL$2:FL$125,4)</f>
        <v>0</v>
      </c>
      <c r="I3501" s="13" t="str">
        <f aca="false">IFERROR(H3501/$T3501,"")</f>
        <v/>
      </c>
      <c r="J3501" s="12" t="n">
        <f aca="false">COUNTIFS(Cleaned!$D$2:$D$125,5,Cleaned!FL$2:FL$125,5)</f>
        <v>0</v>
      </c>
      <c r="K3501" s="13" t="str">
        <f aca="false">IFERROR(J3501/$T3501,"")</f>
        <v/>
      </c>
      <c r="L3501" s="12" t="n">
        <f aca="false">COUNTIFS(Cleaned!$D$2:$D$125,5,Cleaned!FL$2:FL$125,6)</f>
        <v>0</v>
      </c>
      <c r="M3501" s="13" t="str">
        <f aca="false">IFERROR(L3501/$T3501,"")</f>
        <v/>
      </c>
      <c r="N3501" s="12" t="n">
        <f aca="false">COUNTIFS(Cleaned!$D$2:$D$125,5,Cleaned!FL$2:FL$125,7)</f>
        <v>0</v>
      </c>
      <c r="O3501" s="13" t="str">
        <f aca="false">IFERROR(N3501/$T3501,"")</f>
        <v/>
      </c>
      <c r="P3501" s="12" t="n">
        <f aca="false">COUNTIFS(Cleaned!$D$2:$D$125,5,Cleaned!FL$2:FL$125,8)</f>
        <v>0</v>
      </c>
      <c r="Q3501" s="13" t="str">
        <f aca="false">IFERROR(P3501/$T3501,"")</f>
        <v/>
      </c>
      <c r="R3501" s="12" t="n">
        <f aca="false">COUNTIFS(Cleaned!$D$2:$D$125,5,Cleaned!FL$2:FL$125,9)</f>
        <v>0</v>
      </c>
      <c r="S3501" s="13" t="str">
        <f aca="false">IFERROR(R3501/$T3501,"")</f>
        <v/>
      </c>
      <c r="T3501" s="12" t="n">
        <f aca="false">B3501+D3501+F3501+H3501+J3501+L3501+N3501+P3501+R3501</f>
        <v>0</v>
      </c>
    </row>
    <row r="3502" customFormat="false" ht="15" hidden="false" customHeight="false" outlineLevel="0" collapsed="false">
      <c r="A3502" s="12" t="s">
        <v>709</v>
      </c>
      <c r="B3502" s="12" t="n">
        <f aca="false">COUNTIFS(Cleaned!$D$2:$D$125,6,Cleaned!FL$2:FL$125,1)</f>
        <v>1</v>
      </c>
      <c r="C3502" s="13" t="n">
        <f aca="false">IFERROR(B3502/$T3502,"")</f>
        <v>0.5</v>
      </c>
      <c r="D3502" s="12" t="n">
        <f aca="false">COUNTIFS(Cleaned!$D$2:$D$125,6,Cleaned!FL$2:FL$125,2)</f>
        <v>0</v>
      </c>
      <c r="E3502" s="13" t="n">
        <f aca="false">IFERROR(D3502/$T3502,"")</f>
        <v>0</v>
      </c>
      <c r="F3502" s="12" t="n">
        <f aca="false">COUNTIFS(Cleaned!$D$2:$D$125,6,Cleaned!FL$2:FL$125,3)</f>
        <v>0</v>
      </c>
      <c r="G3502" s="13" t="n">
        <f aca="false">IFERROR(F3502/$T3502,"")</f>
        <v>0</v>
      </c>
      <c r="H3502" s="12" t="n">
        <f aca="false">COUNTIFS(Cleaned!$D$2:$D$125,6,Cleaned!FL$2:FL$125,4)</f>
        <v>0</v>
      </c>
      <c r="I3502" s="13" t="n">
        <f aca="false">IFERROR(H3502/$T3502,"")</f>
        <v>0</v>
      </c>
      <c r="J3502" s="12" t="n">
        <f aca="false">COUNTIFS(Cleaned!$D$2:$D$125,6,Cleaned!FL$2:FL$125,5)</f>
        <v>0</v>
      </c>
      <c r="K3502" s="13" t="n">
        <f aca="false">IFERROR(J3502/$T3502,"")</f>
        <v>0</v>
      </c>
      <c r="L3502" s="12" t="n">
        <f aca="false">COUNTIFS(Cleaned!$D$2:$D$125,6,Cleaned!FL$2:FL$125,6)</f>
        <v>0</v>
      </c>
      <c r="M3502" s="13" t="n">
        <f aca="false">IFERROR(L3502/$T3502,"")</f>
        <v>0</v>
      </c>
      <c r="N3502" s="12" t="n">
        <f aca="false">COUNTIFS(Cleaned!$D$2:$D$125,6,Cleaned!FL$2:FL$125,7)</f>
        <v>1</v>
      </c>
      <c r="O3502" s="13" t="n">
        <f aca="false">IFERROR(N3502/$T3502,"")</f>
        <v>0.5</v>
      </c>
      <c r="P3502" s="12" t="n">
        <f aca="false">COUNTIFS(Cleaned!$D$2:$D$125,6,Cleaned!FL$2:FL$125,8)</f>
        <v>0</v>
      </c>
      <c r="Q3502" s="13" t="n">
        <f aca="false">IFERROR(P3502/$T3502,"")</f>
        <v>0</v>
      </c>
      <c r="R3502" s="12" t="n">
        <f aca="false">COUNTIFS(Cleaned!$D$2:$D$125,6,Cleaned!FL$2:FL$125,9)</f>
        <v>0</v>
      </c>
      <c r="S3502" s="13" t="n">
        <f aca="false">IFERROR(R3502/$T3502,"")</f>
        <v>0</v>
      </c>
      <c r="T3502" s="12" t="n">
        <f aca="false">B3502+D3502+F3502+H3502+J3502+L3502+N3502+P3502+R3502</f>
        <v>2</v>
      </c>
    </row>
    <row r="3503" customFormat="false" ht="15" hidden="false" customHeight="false" outlineLevel="0" collapsed="false">
      <c r="A3503" s="12" t="s">
        <v>710</v>
      </c>
      <c r="B3503" s="12" t="n">
        <f aca="false">COUNTIFS(Cleaned!$D$2:$D$125,7,Cleaned!FL$2:FL$125,1)</f>
        <v>0</v>
      </c>
      <c r="C3503" s="13" t="n">
        <f aca="false">IFERROR(B3503/$T3503,"")</f>
        <v>0</v>
      </c>
      <c r="D3503" s="12" t="n">
        <f aca="false">COUNTIFS(Cleaned!$D$2:$D$125,7,Cleaned!FL$2:FL$125,2)</f>
        <v>0</v>
      </c>
      <c r="E3503" s="13" t="n">
        <f aca="false">IFERROR(D3503/$T3503,"")</f>
        <v>0</v>
      </c>
      <c r="F3503" s="12" t="n">
        <f aca="false">COUNTIFS(Cleaned!$D$2:$D$125,7,Cleaned!FL$2:FL$125,3)</f>
        <v>0</v>
      </c>
      <c r="G3503" s="13" t="n">
        <f aca="false">IFERROR(F3503/$T3503,"")</f>
        <v>0</v>
      </c>
      <c r="H3503" s="12" t="n">
        <f aca="false">COUNTIFS(Cleaned!$D$2:$D$125,7,Cleaned!FL$2:FL$125,4)</f>
        <v>1</v>
      </c>
      <c r="I3503" s="13" t="n">
        <f aca="false">IFERROR(H3503/$T3503,"")</f>
        <v>0.333333333333333</v>
      </c>
      <c r="J3503" s="12" t="n">
        <f aca="false">COUNTIFS(Cleaned!$D$2:$D$125,7,Cleaned!FL$2:FL$125,5)</f>
        <v>2</v>
      </c>
      <c r="K3503" s="13" t="n">
        <f aca="false">IFERROR(J3503/$T3503,"")</f>
        <v>0.666666666666667</v>
      </c>
      <c r="L3503" s="12" t="n">
        <f aca="false">COUNTIFS(Cleaned!$D$2:$D$125,7,Cleaned!FL$2:FL$125,6)</f>
        <v>0</v>
      </c>
      <c r="M3503" s="13" t="n">
        <f aca="false">IFERROR(L3503/$T3503,"")</f>
        <v>0</v>
      </c>
      <c r="N3503" s="12" t="n">
        <f aca="false">COUNTIFS(Cleaned!$D$2:$D$125,7,Cleaned!FL$2:FL$125,7)</f>
        <v>0</v>
      </c>
      <c r="O3503" s="13" t="n">
        <f aca="false">IFERROR(N3503/$T3503,"")</f>
        <v>0</v>
      </c>
      <c r="P3503" s="12" t="n">
        <f aca="false">COUNTIFS(Cleaned!$D$2:$D$125,7,Cleaned!FL$2:FL$125,8)</f>
        <v>0</v>
      </c>
      <c r="Q3503" s="13" t="n">
        <f aca="false">IFERROR(P3503/$T3503,"")</f>
        <v>0</v>
      </c>
      <c r="R3503" s="12" t="n">
        <f aca="false">COUNTIFS(Cleaned!$D$2:$D$125,7,Cleaned!FL$2:FL$125,9)</f>
        <v>0</v>
      </c>
      <c r="S3503" s="13" t="n">
        <f aca="false">IFERROR(R3503/$T3503,"")</f>
        <v>0</v>
      </c>
      <c r="T3503" s="12" t="n">
        <f aca="false">B3503+D3503+F3503+H3503+J3503+L3503+N3503+P3503+R3503</f>
        <v>3</v>
      </c>
    </row>
    <row r="3504" customFormat="false" ht="15" hidden="false" customHeight="false" outlineLevel="0" collapsed="false">
      <c r="A3504" s="12" t="s">
        <v>711</v>
      </c>
      <c r="B3504" s="12" t="n">
        <f aca="false">COUNTIFS(Cleaned!$D$2:$D$125,8,Cleaned!FL$2:FL$125,1)</f>
        <v>1</v>
      </c>
      <c r="C3504" s="13" t="n">
        <f aca="false">IFERROR(B3504/$T3504,"")</f>
        <v>0.5</v>
      </c>
      <c r="D3504" s="12" t="n">
        <f aca="false">COUNTIFS(Cleaned!$D$2:$D$125,8,Cleaned!FL$2:FL$125,2)</f>
        <v>1</v>
      </c>
      <c r="E3504" s="13" t="n">
        <f aca="false">IFERROR(D3504/$T3504,"")</f>
        <v>0.5</v>
      </c>
      <c r="F3504" s="12" t="n">
        <f aca="false">COUNTIFS(Cleaned!$D$2:$D$125,8,Cleaned!FL$2:FL$125,3)</f>
        <v>0</v>
      </c>
      <c r="G3504" s="13" t="n">
        <f aca="false">IFERROR(F3504/$T3504,"")</f>
        <v>0</v>
      </c>
      <c r="H3504" s="12" t="n">
        <f aca="false">COUNTIFS(Cleaned!$D$2:$D$125,8,Cleaned!FL$2:FL$125,4)</f>
        <v>0</v>
      </c>
      <c r="I3504" s="13" t="n">
        <f aca="false">IFERROR(H3504/$T3504,"")</f>
        <v>0</v>
      </c>
      <c r="J3504" s="12" t="n">
        <f aca="false">COUNTIFS(Cleaned!$D$2:$D$125,8,Cleaned!FL$2:FL$125,5)</f>
        <v>0</v>
      </c>
      <c r="K3504" s="13" t="n">
        <f aca="false">IFERROR(J3504/$T3504,"")</f>
        <v>0</v>
      </c>
      <c r="L3504" s="12" t="n">
        <f aca="false">COUNTIFS(Cleaned!$D$2:$D$125,8,Cleaned!FL$2:FL$125,6)</f>
        <v>0</v>
      </c>
      <c r="M3504" s="13" t="n">
        <f aca="false">IFERROR(L3504/$T3504,"")</f>
        <v>0</v>
      </c>
      <c r="N3504" s="12" t="n">
        <f aca="false">COUNTIFS(Cleaned!$D$2:$D$125,8,Cleaned!FL$2:FL$125,7)</f>
        <v>0</v>
      </c>
      <c r="O3504" s="13" t="n">
        <f aca="false">IFERROR(N3504/$T3504,"")</f>
        <v>0</v>
      </c>
      <c r="P3504" s="12" t="n">
        <f aca="false">COUNTIFS(Cleaned!$D$2:$D$125,8,Cleaned!FL$2:FL$125,8)</f>
        <v>0</v>
      </c>
      <c r="Q3504" s="13" t="n">
        <f aca="false">IFERROR(P3504/$T3504,"")</f>
        <v>0</v>
      </c>
      <c r="R3504" s="12" t="n">
        <f aca="false">COUNTIFS(Cleaned!$D$2:$D$125,8,Cleaned!FL$2:FL$125,9)</f>
        <v>0</v>
      </c>
      <c r="S3504" s="13" t="n">
        <f aca="false">IFERROR(R3504/$T3504,"")</f>
        <v>0</v>
      </c>
      <c r="T3504" s="12" t="n">
        <f aca="false">B3504+D3504+F3504+H3504+J3504+L3504+N3504+P3504+R3504</f>
        <v>2</v>
      </c>
    </row>
    <row r="3505" customFormat="false" ht="15" hidden="false" customHeight="false" outlineLevel="0" collapsed="false">
      <c r="A3505" s="12" t="s">
        <v>712</v>
      </c>
      <c r="B3505" s="12" t="n">
        <f aca="false">COUNTIFS(Cleaned!$D$2:$D$125,9,Cleaned!FL$2:FL$125,1)</f>
        <v>0</v>
      </c>
      <c r="C3505" s="13" t="str">
        <f aca="false">IFERROR(B3505/$T3505,"")</f>
        <v/>
      </c>
      <c r="D3505" s="12" t="n">
        <f aca="false">COUNTIFS(Cleaned!$D$2:$D$125,9,Cleaned!FL$2:FL$125,2)</f>
        <v>0</v>
      </c>
      <c r="E3505" s="13" t="str">
        <f aca="false">IFERROR(D3505/$T3505,"")</f>
        <v/>
      </c>
      <c r="F3505" s="12" t="n">
        <f aca="false">COUNTIFS(Cleaned!$D$2:$D$125,9,Cleaned!FL$2:FL$125,3)</f>
        <v>0</v>
      </c>
      <c r="G3505" s="13" t="str">
        <f aca="false">IFERROR(F3505/$T3505,"")</f>
        <v/>
      </c>
      <c r="H3505" s="12" t="n">
        <f aca="false">COUNTIFS(Cleaned!$D$2:$D$125,9,Cleaned!FL$2:FL$125,4)</f>
        <v>0</v>
      </c>
      <c r="I3505" s="13" t="str">
        <f aca="false">IFERROR(H3505/$T3505,"")</f>
        <v/>
      </c>
      <c r="J3505" s="12" t="n">
        <f aca="false">COUNTIFS(Cleaned!$D$2:$D$125,9,Cleaned!FL$2:FL$125,5)</f>
        <v>0</v>
      </c>
      <c r="K3505" s="13" t="str">
        <f aca="false">IFERROR(J3505/$T3505,"")</f>
        <v/>
      </c>
      <c r="L3505" s="12" t="n">
        <f aca="false">COUNTIFS(Cleaned!$D$2:$D$125,9,Cleaned!FL$2:FL$125,6)</f>
        <v>0</v>
      </c>
      <c r="M3505" s="13" t="str">
        <f aca="false">IFERROR(L3505/$T3505,"")</f>
        <v/>
      </c>
      <c r="N3505" s="12" t="n">
        <f aca="false">COUNTIFS(Cleaned!$D$2:$D$125,9,Cleaned!FL$2:FL$125,7)</f>
        <v>0</v>
      </c>
      <c r="O3505" s="13" t="str">
        <f aca="false">IFERROR(N3505/$T3505,"")</f>
        <v/>
      </c>
      <c r="P3505" s="12" t="n">
        <f aca="false">COUNTIFS(Cleaned!$D$2:$D$125,9,Cleaned!FL$2:FL$125,8)</f>
        <v>0</v>
      </c>
      <c r="Q3505" s="13" t="str">
        <f aca="false">IFERROR(P3505/$T3505,"")</f>
        <v/>
      </c>
      <c r="R3505" s="12" t="n">
        <f aca="false">COUNTIFS(Cleaned!$D$2:$D$125,9,Cleaned!FL$2:FL$125,9)</f>
        <v>0</v>
      </c>
      <c r="S3505" s="13" t="str">
        <f aca="false">IFERROR(R3505/$T3505,"")</f>
        <v/>
      </c>
      <c r="T3505" s="12" t="n">
        <f aca="false">B3505+D3505+F3505+H3505+J3505+L3505+N3505+P3505+R3505</f>
        <v>0</v>
      </c>
    </row>
    <row r="3506" customFormat="false" ht="15" hidden="false" customHeight="false" outlineLevel="0" collapsed="false">
      <c r="A3506" s="12" t="s">
        <v>713</v>
      </c>
      <c r="B3506" s="12" t="n">
        <f aca="false">COUNTIFS(Cleaned!$D$2:$D$125,10,Cleaned!FL$2:FL$125,1)</f>
        <v>0</v>
      </c>
      <c r="C3506" s="13" t="str">
        <f aca="false">IFERROR(B3506/$T3506,"")</f>
        <v/>
      </c>
      <c r="D3506" s="12" t="n">
        <f aca="false">COUNTIFS(Cleaned!$D$2:$D$125,10,Cleaned!FL$2:FL$125,2)</f>
        <v>0</v>
      </c>
      <c r="E3506" s="13" t="str">
        <f aca="false">IFERROR(D3506/$T3506,"")</f>
        <v/>
      </c>
      <c r="F3506" s="12" t="n">
        <f aca="false">COUNTIFS(Cleaned!$D$2:$D$125,10,Cleaned!FL$2:FL$125,3)</f>
        <v>0</v>
      </c>
      <c r="G3506" s="13" t="str">
        <f aca="false">IFERROR(F3506/$T3506,"")</f>
        <v/>
      </c>
      <c r="H3506" s="12" t="n">
        <f aca="false">COUNTIFS(Cleaned!$D$2:$D$125,10,Cleaned!FL$2:FL$125,4)</f>
        <v>0</v>
      </c>
      <c r="I3506" s="13" t="str">
        <f aca="false">IFERROR(H3506/$T3506,"")</f>
        <v/>
      </c>
      <c r="J3506" s="12" t="n">
        <f aca="false">COUNTIFS(Cleaned!$D$2:$D$125,10,Cleaned!FL$2:FL$125,5)</f>
        <v>0</v>
      </c>
      <c r="K3506" s="13" t="str">
        <f aca="false">IFERROR(J3506/$T3506,"")</f>
        <v/>
      </c>
      <c r="L3506" s="12" t="n">
        <f aca="false">COUNTIFS(Cleaned!$D$2:$D$125,10,Cleaned!FL$2:FL$125,6)</f>
        <v>0</v>
      </c>
      <c r="M3506" s="13" t="str">
        <f aca="false">IFERROR(L3506/$T3506,"")</f>
        <v/>
      </c>
      <c r="N3506" s="12" t="n">
        <f aca="false">COUNTIFS(Cleaned!$D$2:$D$125,10,Cleaned!FL$2:FL$125,7)</f>
        <v>0</v>
      </c>
      <c r="O3506" s="13" t="str">
        <f aca="false">IFERROR(N3506/$T3506,"")</f>
        <v/>
      </c>
      <c r="P3506" s="12" t="n">
        <f aca="false">COUNTIFS(Cleaned!$D$2:$D$125,10,Cleaned!FL$2:FL$125,8)</f>
        <v>0</v>
      </c>
      <c r="Q3506" s="13" t="str">
        <f aca="false">IFERROR(P3506/$T3506,"")</f>
        <v/>
      </c>
      <c r="R3506" s="12" t="n">
        <f aca="false">COUNTIFS(Cleaned!$D$2:$D$125,10,Cleaned!FL$2:FL$125,9)</f>
        <v>0</v>
      </c>
      <c r="S3506" s="13" t="str">
        <f aca="false">IFERROR(R3506/$T3506,"")</f>
        <v/>
      </c>
      <c r="T3506" s="12" t="n">
        <f aca="false">B3506+D3506+F3506+H3506+J3506+L3506+N3506+P3506+R3506</f>
        <v>0</v>
      </c>
    </row>
    <row r="3507" customFormat="false" ht="15" hidden="false" customHeight="false" outlineLevel="0" collapsed="false">
      <c r="A3507" s="12" t="s">
        <v>714</v>
      </c>
      <c r="B3507" s="12" t="n">
        <f aca="false">COUNTIFS(Cleaned!$D$2:$D$125,11,Cleaned!FL$2:FL$125,1)</f>
        <v>0</v>
      </c>
      <c r="C3507" s="13" t="n">
        <f aca="false">IFERROR(B3507/$T3507,"")</f>
        <v>0</v>
      </c>
      <c r="D3507" s="12" t="n">
        <f aca="false">COUNTIFS(Cleaned!$D$2:$D$125,11,Cleaned!FL$2:FL$125,2)</f>
        <v>0</v>
      </c>
      <c r="E3507" s="13" t="n">
        <f aca="false">IFERROR(D3507/$T3507,"")</f>
        <v>0</v>
      </c>
      <c r="F3507" s="12" t="n">
        <f aca="false">COUNTIFS(Cleaned!$D$2:$D$125,11,Cleaned!FL$2:FL$125,3)</f>
        <v>1</v>
      </c>
      <c r="G3507" s="13" t="n">
        <f aca="false">IFERROR(F3507/$T3507,"")</f>
        <v>0.5</v>
      </c>
      <c r="H3507" s="12" t="n">
        <f aca="false">COUNTIFS(Cleaned!$D$2:$D$125,11,Cleaned!FL$2:FL$125,4)</f>
        <v>0</v>
      </c>
      <c r="I3507" s="13" t="n">
        <f aca="false">IFERROR(H3507/$T3507,"")</f>
        <v>0</v>
      </c>
      <c r="J3507" s="12" t="n">
        <f aca="false">COUNTIFS(Cleaned!$D$2:$D$125,11,Cleaned!FL$2:FL$125,5)</f>
        <v>0</v>
      </c>
      <c r="K3507" s="13" t="n">
        <f aca="false">IFERROR(J3507/$T3507,"")</f>
        <v>0</v>
      </c>
      <c r="L3507" s="12" t="n">
        <f aca="false">COUNTIFS(Cleaned!$D$2:$D$125,11,Cleaned!FL$2:FL$125,6)</f>
        <v>1</v>
      </c>
      <c r="M3507" s="13" t="n">
        <f aca="false">IFERROR(L3507/$T3507,"")</f>
        <v>0.5</v>
      </c>
      <c r="N3507" s="12" t="n">
        <f aca="false">COUNTIFS(Cleaned!$D$2:$D$125,11,Cleaned!FL$2:FL$125,7)</f>
        <v>0</v>
      </c>
      <c r="O3507" s="13" t="n">
        <f aca="false">IFERROR(N3507/$T3507,"")</f>
        <v>0</v>
      </c>
      <c r="P3507" s="12" t="n">
        <f aca="false">COUNTIFS(Cleaned!$D$2:$D$125,11,Cleaned!FL$2:FL$125,8)</f>
        <v>0</v>
      </c>
      <c r="Q3507" s="13" t="n">
        <f aca="false">IFERROR(P3507/$T3507,"")</f>
        <v>0</v>
      </c>
      <c r="R3507" s="12" t="n">
        <f aca="false">COUNTIFS(Cleaned!$D$2:$D$125,11,Cleaned!FL$2:FL$125,9)</f>
        <v>0</v>
      </c>
      <c r="S3507" s="13" t="n">
        <f aca="false">IFERROR(R3507/$T3507,"")</f>
        <v>0</v>
      </c>
      <c r="T3507" s="12" t="n">
        <f aca="false">B3507+D3507+F3507+H3507+J3507+L3507+N3507+P3507+R3507</f>
        <v>2</v>
      </c>
    </row>
    <row r="3508" customFormat="false" ht="15" hidden="false" customHeight="false" outlineLevel="0" collapsed="false">
      <c r="A3508" s="12" t="s">
        <v>715</v>
      </c>
      <c r="B3508" s="12" t="n">
        <f aca="false">COUNTIFS(Cleaned!$D$2:$D$125,12,Cleaned!FL$2:FL$125,1)</f>
        <v>0</v>
      </c>
      <c r="C3508" s="13" t="str">
        <f aca="false">IFERROR(B3508/$T3508,"")</f>
        <v/>
      </c>
      <c r="D3508" s="12" t="n">
        <f aca="false">COUNTIFS(Cleaned!$D$2:$D$125,12,Cleaned!FL$2:FL$125,2)</f>
        <v>0</v>
      </c>
      <c r="E3508" s="13" t="str">
        <f aca="false">IFERROR(D3508/$T3508,"")</f>
        <v/>
      </c>
      <c r="F3508" s="12" t="n">
        <f aca="false">COUNTIFS(Cleaned!$D$2:$D$125,12,Cleaned!FL$2:FL$125,3)</f>
        <v>0</v>
      </c>
      <c r="G3508" s="13" t="str">
        <f aca="false">IFERROR(F3508/$T3508,"")</f>
        <v/>
      </c>
      <c r="H3508" s="12" t="n">
        <f aca="false">COUNTIFS(Cleaned!$D$2:$D$125,12,Cleaned!FL$2:FL$125,4)</f>
        <v>0</v>
      </c>
      <c r="I3508" s="13" t="str">
        <f aca="false">IFERROR(H3508/$T3508,"")</f>
        <v/>
      </c>
      <c r="J3508" s="12" t="n">
        <f aca="false">COUNTIFS(Cleaned!$D$2:$D$125,12,Cleaned!FL$2:FL$125,5)</f>
        <v>0</v>
      </c>
      <c r="K3508" s="13" t="str">
        <f aca="false">IFERROR(J3508/$T3508,"")</f>
        <v/>
      </c>
      <c r="L3508" s="12" t="n">
        <f aca="false">COUNTIFS(Cleaned!$D$2:$D$125,12,Cleaned!FL$2:FL$125,6)</f>
        <v>0</v>
      </c>
      <c r="M3508" s="13" t="str">
        <f aca="false">IFERROR(L3508/$T3508,"")</f>
        <v/>
      </c>
      <c r="N3508" s="12" t="n">
        <f aca="false">COUNTIFS(Cleaned!$D$2:$D$125,12,Cleaned!FL$2:FL$125,7)</f>
        <v>0</v>
      </c>
      <c r="O3508" s="13" t="str">
        <f aca="false">IFERROR(N3508/$T3508,"")</f>
        <v/>
      </c>
      <c r="P3508" s="12" t="n">
        <f aca="false">COUNTIFS(Cleaned!$D$2:$D$125,12,Cleaned!FL$2:FL$125,8)</f>
        <v>0</v>
      </c>
      <c r="Q3508" s="13" t="str">
        <f aca="false">IFERROR(P3508/$T3508,"")</f>
        <v/>
      </c>
      <c r="R3508" s="12" t="n">
        <f aca="false">COUNTIFS(Cleaned!$D$2:$D$125,12,Cleaned!FL$2:FL$125,9)</f>
        <v>0</v>
      </c>
      <c r="S3508" s="13" t="str">
        <f aca="false">IFERROR(R3508/$T3508,"")</f>
        <v/>
      </c>
      <c r="T3508" s="12" t="n">
        <f aca="false">B3508+D3508+F3508+H3508+J3508+L3508+N3508+P3508+R3508</f>
        <v>0</v>
      </c>
    </row>
    <row r="3509" customFormat="false" ht="15" hidden="false" customHeight="false" outlineLevel="0" collapsed="false">
      <c r="A3509" s="11" t="s">
        <v>716</v>
      </c>
      <c r="B3509" s="11" t="n">
        <f aca="false">SUM(B3497:B3508)</f>
        <v>10</v>
      </c>
      <c r="C3509" s="14" t="n">
        <f aca="false">IFERROR(B3509/$T3509,"")</f>
        <v>0.476190476190476</v>
      </c>
      <c r="D3509" s="11" t="n">
        <f aca="false">SUM(D3497:D3508)</f>
        <v>2</v>
      </c>
      <c r="E3509" s="14" t="n">
        <f aca="false">IFERROR(D3509/$T3509,"")</f>
        <v>0.0952380952380952</v>
      </c>
      <c r="F3509" s="11" t="n">
        <f aca="false">SUM(F3497:F3508)</f>
        <v>1</v>
      </c>
      <c r="G3509" s="14" t="n">
        <f aca="false">IFERROR(F3509/$T3509,"")</f>
        <v>0.0476190476190476</v>
      </c>
      <c r="H3509" s="11" t="n">
        <f aca="false">SUM(H3497:H3508)</f>
        <v>1</v>
      </c>
      <c r="I3509" s="14" t="n">
        <f aca="false">IFERROR(H3509/$T3509,"")</f>
        <v>0.0476190476190476</v>
      </c>
      <c r="J3509" s="11" t="n">
        <f aca="false">SUM(J3497:J3508)</f>
        <v>2</v>
      </c>
      <c r="K3509" s="14" t="n">
        <f aca="false">IFERROR(J3509/$T3509,"")</f>
        <v>0.0952380952380952</v>
      </c>
      <c r="L3509" s="11" t="n">
        <f aca="false">SUM(L3497:L3508)</f>
        <v>1</v>
      </c>
      <c r="M3509" s="14" t="n">
        <f aca="false">IFERROR(L3509/$T3509,"")</f>
        <v>0.0476190476190476</v>
      </c>
      <c r="N3509" s="11" t="n">
        <f aca="false">SUM(N3497:N3508)</f>
        <v>1</v>
      </c>
      <c r="O3509" s="14" t="n">
        <f aca="false">IFERROR(N3509/$T3509,"")</f>
        <v>0.0476190476190476</v>
      </c>
      <c r="P3509" s="11" t="n">
        <f aca="false">SUM(P3497:P3508)</f>
        <v>2</v>
      </c>
      <c r="Q3509" s="14" t="n">
        <f aca="false">IFERROR(P3509/$T3509,"")</f>
        <v>0.0952380952380952</v>
      </c>
      <c r="R3509" s="11" t="n">
        <f aca="false">SUM(R3497:R3508)</f>
        <v>1</v>
      </c>
      <c r="S3509" s="14" t="n">
        <f aca="false">IFERROR(R3509/$T3509,"")</f>
        <v>0.0476190476190476</v>
      </c>
      <c r="T3509" s="11" t="n">
        <f aca="false">SUM(T3497:T3508)</f>
        <v>21</v>
      </c>
    </row>
    <row r="3512" customFormat="false" ht="15" hidden="false" customHeight="false" outlineLevel="0" collapsed="false">
      <c r="A3512" s="6" t="s">
        <v>127</v>
      </c>
      <c r="B3512" s="7" t="s">
        <v>920</v>
      </c>
    </row>
    <row r="3513" customFormat="false" ht="15" hidden="false" customHeight="false" outlineLevel="0" collapsed="false">
      <c r="A3513" s="11" t="s">
        <v>734</v>
      </c>
      <c r="B3513" s="9" t="s">
        <v>694</v>
      </c>
      <c r="C3513" s="9" t="s">
        <v>735</v>
      </c>
      <c r="D3513" s="9" t="s">
        <v>736</v>
      </c>
      <c r="E3513" s="9" t="s">
        <v>737</v>
      </c>
      <c r="F3513" s="9" t="s">
        <v>738</v>
      </c>
    </row>
    <row r="3514" customFormat="false" ht="15" hidden="false" customHeight="false" outlineLevel="0" collapsed="false">
      <c r="B3514" s="12" t="n">
        <f aca="false">COUNT(Cleaned!$FM$2:$FM$125)</f>
        <v>19</v>
      </c>
      <c r="C3514" s="12" t="n">
        <f aca="false">IFERROR(AVERAGE(Cleaned!$FM$2:$FM$125),"")</f>
        <v>346.789473684211</v>
      </c>
      <c r="D3514" s="12" t="n">
        <f aca="false">IFERROR(MEDIAN(Cleaned!$FM$2:$FM$125),"")</f>
        <v>25</v>
      </c>
      <c r="E3514" s="12" t="n">
        <f aca="false">IFERROR(MIN(Cleaned!$FM$2:$FM$125),"")</f>
        <v>0</v>
      </c>
      <c r="F3514" s="12" t="n">
        <f aca="false">IFERROR(MAX(Cleaned!$FM$2:$FM$125),"")</f>
        <v>2242</v>
      </c>
    </row>
    <row r="3515" customFormat="false" ht="15" hidden="false" customHeight="false" outlineLevel="0" collapsed="false">
      <c r="A3515" s="11" t="s">
        <v>697</v>
      </c>
      <c r="B3515" s="9" t="s">
        <v>739</v>
      </c>
      <c r="C3515" s="9" t="s">
        <v>735</v>
      </c>
    </row>
    <row r="3516" customFormat="false" ht="15" hidden="false" customHeight="false" outlineLevel="0" collapsed="false">
      <c r="A3516" s="12" t="s">
        <v>698</v>
      </c>
      <c r="B3516" s="12" t="n">
        <f aca="false">COUNTIFS(Cleaned!$C$2:$C$125,1,Cleaned!FM$2:FM$125,"&lt;&gt;")</f>
        <v>1</v>
      </c>
      <c r="C3516" s="15" t="n">
        <f aca="false">IF(B3516=0,"",AVERAGEIF(Cleaned!$C$2:$C$125,1,Cleaned!FM$2:FM$125))</f>
        <v>5</v>
      </c>
    </row>
    <row r="3517" customFormat="false" ht="15" hidden="false" customHeight="false" outlineLevel="0" collapsed="false">
      <c r="A3517" s="12" t="s">
        <v>699</v>
      </c>
      <c r="B3517" s="12" t="n">
        <f aca="false">COUNTIFS(Cleaned!$C$2:$C$125,2,Cleaned!FM$2:FM$125,"&lt;&gt;")</f>
        <v>1</v>
      </c>
      <c r="C3517" s="15" t="n">
        <f aca="false">IF(B3517=0,"",AVERAGEIF(Cleaned!$C$2:$C$125,2,Cleaned!FM$2:FM$125))</f>
        <v>12</v>
      </c>
    </row>
    <row r="3518" customFormat="false" ht="15" hidden="false" customHeight="false" outlineLevel="0" collapsed="false">
      <c r="A3518" s="12" t="s">
        <v>700</v>
      </c>
      <c r="B3518" s="12" t="n">
        <f aca="false">COUNTIFS(Cleaned!$C$2:$C$125,3,Cleaned!FM$2:FM$125,"&lt;&gt;")</f>
        <v>5</v>
      </c>
      <c r="C3518" s="15" t="n">
        <f aca="false">IF(B3518=0,"",AVERAGEIF(Cleaned!$C$2:$C$125,3,Cleaned!FM$2:FM$125))</f>
        <v>13.6</v>
      </c>
    </row>
    <row r="3519" customFormat="false" ht="15" hidden="false" customHeight="false" outlineLevel="0" collapsed="false">
      <c r="A3519" s="12" t="s">
        <v>701</v>
      </c>
      <c r="B3519" s="12" t="n">
        <f aca="false">COUNTIFS(Cleaned!$C$2:$C$125,4,Cleaned!FM$2:FM$125,"&lt;&gt;")</f>
        <v>4</v>
      </c>
      <c r="C3519" s="15" t="n">
        <f aca="false">IF(B3519=0,"",AVERAGEIF(Cleaned!$C$2:$C$125,4,Cleaned!FM$2:FM$125))</f>
        <v>22</v>
      </c>
    </row>
    <row r="3520" customFormat="false" ht="15" hidden="false" customHeight="false" outlineLevel="0" collapsed="false">
      <c r="A3520" s="12" t="s">
        <v>702</v>
      </c>
      <c r="B3520" s="12" t="n">
        <f aca="false">COUNTIFS(Cleaned!$C$2:$C$125,5,Cleaned!FM$2:FM$125,"&lt;&gt;")</f>
        <v>8</v>
      </c>
      <c r="C3520" s="15" t="n">
        <f aca="false">IF(B3520=0,"",AVERAGEIF(Cleaned!$C$2:$C$125,5,Cleaned!FM$2:FM$125))</f>
        <v>802</v>
      </c>
    </row>
    <row r="3521" customFormat="false" ht="15" hidden="false" customHeight="false" outlineLevel="0" collapsed="false">
      <c r="A3521" s="11" t="s">
        <v>3</v>
      </c>
      <c r="B3521" s="9" t="s">
        <v>739</v>
      </c>
      <c r="C3521" s="9" t="s">
        <v>735</v>
      </c>
    </row>
    <row r="3522" customFormat="false" ht="15" hidden="false" customHeight="false" outlineLevel="0" collapsed="false">
      <c r="A3522" s="12" t="s">
        <v>704</v>
      </c>
      <c r="B3522" s="12" t="n">
        <f aca="false">COUNTIFS(Cleaned!$D$2:$D$125,1,Cleaned!FM$2:FM$125,"&lt;&gt;")</f>
        <v>2</v>
      </c>
      <c r="C3522" s="15" t="n">
        <f aca="false">IF(B3522=0,"",AVERAGEIF(Cleaned!$D$2:$D$125,1,Cleaned!FM$2:FM$125))</f>
        <v>21.5</v>
      </c>
    </row>
    <row r="3523" customFormat="false" ht="15" hidden="false" customHeight="false" outlineLevel="0" collapsed="false">
      <c r="A3523" s="12" t="s">
        <v>705</v>
      </c>
      <c r="B3523" s="12" t="n">
        <f aca="false">COUNTIFS(Cleaned!$D$2:$D$125,2,Cleaned!FM$2:FM$125,"&lt;&gt;")</f>
        <v>4</v>
      </c>
      <c r="C3523" s="15" t="n">
        <f aca="false">IF(B3523=0,"",AVERAGEIF(Cleaned!$D$2:$D$125,2,Cleaned!FM$2:FM$125))</f>
        <v>447</v>
      </c>
    </row>
    <row r="3524" customFormat="false" ht="15" hidden="false" customHeight="false" outlineLevel="0" collapsed="false">
      <c r="A3524" s="12" t="s">
        <v>706</v>
      </c>
      <c r="B3524" s="12" t="n">
        <f aca="false">COUNTIFS(Cleaned!$D$2:$D$125,3,Cleaned!FM$2:FM$125,"&lt;&gt;")</f>
        <v>5</v>
      </c>
      <c r="C3524" s="15" t="n">
        <f aca="false">IF(B3524=0,"",AVERAGEIF(Cleaned!$D$2:$D$125,3,Cleaned!FM$2:FM$125))</f>
        <v>918.6</v>
      </c>
    </row>
    <row r="3525" customFormat="false" ht="15" hidden="false" customHeight="false" outlineLevel="0" collapsed="false">
      <c r="A3525" s="12" t="s">
        <v>707</v>
      </c>
      <c r="B3525" s="12" t="n">
        <f aca="false">COUNTIFS(Cleaned!$D$2:$D$125,4,Cleaned!FM$2:FM$125,"&lt;&gt;")</f>
        <v>2</v>
      </c>
      <c r="C3525" s="15" t="n">
        <f aca="false">IF(B3525=0,"",AVERAGEIF(Cleaned!$D$2:$D$125,4,Cleaned!FM$2:FM$125))</f>
        <v>6</v>
      </c>
    </row>
    <row r="3526" customFormat="false" ht="15" hidden="false" customHeight="false" outlineLevel="0" collapsed="false">
      <c r="A3526" s="12" t="s">
        <v>708</v>
      </c>
      <c r="B3526" s="12" t="n">
        <f aca="false">COUNTIFS(Cleaned!$D$2:$D$125,5,Cleaned!FM$2:FM$125,"&lt;&gt;")</f>
        <v>1</v>
      </c>
      <c r="C3526" s="15" t="n">
        <f aca="false">IF(B3526=0,"",AVERAGEIF(Cleaned!$D$2:$D$125,5,Cleaned!FM$2:FM$125))</f>
        <v>20</v>
      </c>
    </row>
    <row r="3527" customFormat="false" ht="15" hidden="false" customHeight="false" outlineLevel="0" collapsed="false">
      <c r="A3527" s="12" t="s">
        <v>709</v>
      </c>
      <c r="B3527" s="12" t="n">
        <f aca="false">COUNTIFS(Cleaned!$D$2:$D$125,6,Cleaned!FM$2:FM$125,"&lt;&gt;")</f>
        <v>1</v>
      </c>
      <c r="C3527" s="15" t="n">
        <f aca="false">IF(B3527=0,"",AVERAGEIF(Cleaned!$D$2:$D$125,6,Cleaned!FM$2:FM$125))</f>
        <v>18</v>
      </c>
    </row>
    <row r="3528" customFormat="false" ht="15" hidden="false" customHeight="false" outlineLevel="0" collapsed="false">
      <c r="A3528" s="12" t="s">
        <v>710</v>
      </c>
      <c r="B3528" s="12" t="n">
        <f aca="false">COUNTIFS(Cleaned!$D$2:$D$125,7,Cleaned!FM$2:FM$125,"&lt;&gt;")</f>
        <v>2</v>
      </c>
      <c r="C3528" s="15" t="n">
        <f aca="false">IF(B3528=0,"",AVERAGEIF(Cleaned!$D$2:$D$125,7,Cleaned!FM$2:FM$125))</f>
        <v>52</v>
      </c>
    </row>
    <row r="3529" customFormat="false" ht="15" hidden="false" customHeight="false" outlineLevel="0" collapsed="false">
      <c r="A3529" s="12" t="s">
        <v>711</v>
      </c>
      <c r="B3529" s="12" t="n">
        <f aca="false">COUNTIFS(Cleaned!$D$2:$D$125,8,Cleaned!FM$2:FM$125,"&lt;&gt;")</f>
        <v>0</v>
      </c>
      <c r="C3529" s="15" t="str">
        <f aca="false">IF(B3529=0,"",AVERAGEIF(Cleaned!$D$2:$D$125,8,Cleaned!FM$2:FM$125))</f>
        <v/>
      </c>
    </row>
    <row r="3530" customFormat="false" ht="15" hidden="false" customHeight="false" outlineLevel="0" collapsed="false">
      <c r="A3530" s="12" t="s">
        <v>712</v>
      </c>
      <c r="B3530" s="12" t="n">
        <f aca="false">COUNTIFS(Cleaned!$D$2:$D$125,9,Cleaned!FM$2:FM$125,"&lt;&gt;")</f>
        <v>0</v>
      </c>
      <c r="C3530" s="15" t="str">
        <f aca="false">IF(B3530=0,"",AVERAGEIF(Cleaned!$D$2:$D$125,9,Cleaned!FM$2:FM$125))</f>
        <v/>
      </c>
    </row>
    <row r="3531" customFormat="false" ht="15" hidden="false" customHeight="false" outlineLevel="0" collapsed="false">
      <c r="A3531" s="12" t="s">
        <v>713</v>
      </c>
      <c r="B3531" s="12" t="n">
        <f aca="false">COUNTIFS(Cleaned!$D$2:$D$125,10,Cleaned!FM$2:FM$125,"&lt;&gt;")</f>
        <v>0</v>
      </c>
      <c r="C3531" s="15" t="str">
        <f aca="false">IF(B3531=0,"",AVERAGEIF(Cleaned!$D$2:$D$125,10,Cleaned!FM$2:FM$125))</f>
        <v/>
      </c>
    </row>
    <row r="3532" customFormat="false" ht="15" hidden="false" customHeight="false" outlineLevel="0" collapsed="false">
      <c r="A3532" s="12" t="s">
        <v>714</v>
      </c>
      <c r="B3532" s="12" t="n">
        <f aca="false">COUNTIFS(Cleaned!$D$2:$D$125,11,Cleaned!FM$2:FM$125,"&lt;&gt;")</f>
        <v>1</v>
      </c>
      <c r="C3532" s="15" t="n">
        <f aca="false">IF(B3532=0,"",AVERAGEIF(Cleaned!$D$2:$D$125,11,Cleaned!FM$2:FM$125))</f>
        <v>6</v>
      </c>
    </row>
    <row r="3533" customFormat="false" ht="15" hidden="false" customHeight="false" outlineLevel="0" collapsed="false">
      <c r="A3533" s="12" t="s">
        <v>715</v>
      </c>
      <c r="B3533" s="12" t="n">
        <f aca="false">COUNTIFS(Cleaned!$D$2:$D$125,12,Cleaned!FM$2:FM$125,"&lt;&gt;")</f>
        <v>1</v>
      </c>
      <c r="C3533" s="15" t="n">
        <f aca="false">IF(B3533=0,"",AVERAGEIF(Cleaned!$D$2:$D$125,12,Cleaned!FM$2:FM$125))</f>
        <v>5</v>
      </c>
    </row>
    <row r="3536" customFormat="false" ht="15" hidden="false" customHeight="false" outlineLevel="0" collapsed="false">
      <c r="A3536" s="6" t="s">
        <v>128</v>
      </c>
      <c r="B3536" s="7" t="s">
        <v>921</v>
      </c>
    </row>
    <row r="3537" customFormat="false" ht="15" hidden="false" customHeight="false" outlineLevel="0" collapsed="false">
      <c r="A3537" s="8"/>
      <c r="B3537" s="9" t="s">
        <v>372</v>
      </c>
      <c r="C3537" s="8"/>
      <c r="D3537" s="9" t="s">
        <v>922</v>
      </c>
      <c r="E3537" s="8"/>
      <c r="F3537" s="9" t="s">
        <v>539</v>
      </c>
      <c r="G3537" s="8"/>
      <c r="H3537" s="9" t="s">
        <v>923</v>
      </c>
      <c r="I3537" s="8"/>
      <c r="J3537" s="9" t="s">
        <v>250</v>
      </c>
      <c r="K3537" s="8"/>
      <c r="L3537" s="9" t="s">
        <v>694</v>
      </c>
    </row>
    <row r="3538" customFormat="false" ht="15" hidden="false" customHeight="false" outlineLevel="0" collapsed="false">
      <c r="B3538" s="10" t="s">
        <v>695</v>
      </c>
      <c r="C3538" s="10" t="s">
        <v>696</v>
      </c>
      <c r="D3538" s="10" t="s">
        <v>695</v>
      </c>
      <c r="E3538" s="10" t="s">
        <v>696</v>
      </c>
      <c r="F3538" s="10" t="s">
        <v>695</v>
      </c>
      <c r="G3538" s="10" t="s">
        <v>696</v>
      </c>
      <c r="H3538" s="10" t="s">
        <v>695</v>
      </c>
      <c r="I3538" s="10" t="s">
        <v>696</v>
      </c>
      <c r="J3538" s="10" t="s">
        <v>695</v>
      </c>
      <c r="K3538" s="10" t="s">
        <v>696</v>
      </c>
    </row>
    <row r="3539" customFormat="false" ht="15" hidden="false" customHeight="false" outlineLevel="0" collapsed="false">
      <c r="A3539" s="11" t="s">
        <v>697</v>
      </c>
    </row>
    <row r="3540" customFormat="false" ht="15" hidden="false" customHeight="false" outlineLevel="0" collapsed="false">
      <c r="A3540" s="12" t="s">
        <v>698</v>
      </c>
      <c r="B3540" s="12" t="n">
        <f aca="false">COUNTIFS(Cleaned!$C$2:$C$125,1,Cleaned!FN$2:FN$125,1)</f>
        <v>0</v>
      </c>
      <c r="C3540" s="13" t="str">
        <f aca="false">IFERROR(B3540/$L3540,"")</f>
        <v/>
      </c>
      <c r="D3540" s="12" t="n">
        <f aca="false">COUNTIFS(Cleaned!$C$2:$C$125,1,Cleaned!FN$2:FN$125,2)</f>
        <v>0</v>
      </c>
      <c r="E3540" s="13" t="str">
        <f aca="false">IFERROR(D3540/$L3540,"")</f>
        <v/>
      </c>
      <c r="F3540" s="12" t="n">
        <f aca="false">COUNTIFS(Cleaned!$C$2:$C$125,1,Cleaned!FN$2:FN$125,3)</f>
        <v>0</v>
      </c>
      <c r="G3540" s="13" t="str">
        <f aca="false">IFERROR(F3540/$L3540,"")</f>
        <v/>
      </c>
      <c r="H3540" s="12" t="n">
        <f aca="false">COUNTIFS(Cleaned!$C$2:$C$125,1,Cleaned!FN$2:FN$125,4)</f>
        <v>0</v>
      </c>
      <c r="I3540" s="13" t="str">
        <f aca="false">IFERROR(H3540/$L3540,"")</f>
        <v/>
      </c>
      <c r="J3540" s="12" t="n">
        <f aca="false">COUNTIFS(Cleaned!$C$2:$C$125,1,Cleaned!FN$2:FN$125,5)</f>
        <v>0</v>
      </c>
      <c r="K3540" s="13" t="str">
        <f aca="false">IFERROR(J3540/$L3540,"")</f>
        <v/>
      </c>
      <c r="L3540" s="12" t="n">
        <f aca="false">B3540+D3540+F3540+H3540+J3540</f>
        <v>0</v>
      </c>
    </row>
    <row r="3541" customFormat="false" ht="15" hidden="false" customHeight="false" outlineLevel="0" collapsed="false">
      <c r="A3541" s="12" t="s">
        <v>699</v>
      </c>
      <c r="B3541" s="12" t="n">
        <f aca="false">COUNTIFS(Cleaned!$C$2:$C$125,2,Cleaned!FN$2:FN$125,1)</f>
        <v>0</v>
      </c>
      <c r="C3541" s="13" t="n">
        <f aca="false">IFERROR(B3541/$L3541,"")</f>
        <v>0</v>
      </c>
      <c r="D3541" s="12" t="n">
        <f aca="false">COUNTIFS(Cleaned!$C$2:$C$125,2,Cleaned!FN$2:FN$125,2)</f>
        <v>1</v>
      </c>
      <c r="E3541" s="13" t="n">
        <f aca="false">IFERROR(D3541/$L3541,"")</f>
        <v>1</v>
      </c>
      <c r="F3541" s="12" t="n">
        <f aca="false">COUNTIFS(Cleaned!$C$2:$C$125,2,Cleaned!FN$2:FN$125,3)</f>
        <v>0</v>
      </c>
      <c r="G3541" s="13" t="n">
        <f aca="false">IFERROR(F3541/$L3541,"")</f>
        <v>0</v>
      </c>
      <c r="H3541" s="12" t="n">
        <f aca="false">COUNTIFS(Cleaned!$C$2:$C$125,2,Cleaned!FN$2:FN$125,4)</f>
        <v>0</v>
      </c>
      <c r="I3541" s="13" t="n">
        <f aca="false">IFERROR(H3541/$L3541,"")</f>
        <v>0</v>
      </c>
      <c r="J3541" s="12" t="n">
        <f aca="false">COUNTIFS(Cleaned!$C$2:$C$125,2,Cleaned!FN$2:FN$125,5)</f>
        <v>0</v>
      </c>
      <c r="K3541" s="13" t="n">
        <f aca="false">IFERROR(J3541/$L3541,"")</f>
        <v>0</v>
      </c>
      <c r="L3541" s="12" t="n">
        <f aca="false">B3541+D3541+F3541+H3541+J3541</f>
        <v>1</v>
      </c>
    </row>
    <row r="3542" customFormat="false" ht="15" hidden="false" customHeight="false" outlineLevel="0" collapsed="false">
      <c r="A3542" s="12" t="s">
        <v>700</v>
      </c>
      <c r="B3542" s="12" t="n">
        <f aca="false">COUNTIFS(Cleaned!$C$2:$C$125,3,Cleaned!FN$2:FN$125,1)</f>
        <v>3</v>
      </c>
      <c r="C3542" s="13" t="n">
        <f aca="false">IFERROR(B3542/$L3542,"")</f>
        <v>1</v>
      </c>
      <c r="D3542" s="12" t="n">
        <f aca="false">COUNTIFS(Cleaned!$C$2:$C$125,3,Cleaned!FN$2:FN$125,2)</f>
        <v>0</v>
      </c>
      <c r="E3542" s="13" t="n">
        <f aca="false">IFERROR(D3542/$L3542,"")</f>
        <v>0</v>
      </c>
      <c r="F3542" s="12" t="n">
        <f aca="false">COUNTIFS(Cleaned!$C$2:$C$125,3,Cleaned!FN$2:FN$125,3)</f>
        <v>0</v>
      </c>
      <c r="G3542" s="13" t="n">
        <f aca="false">IFERROR(F3542/$L3542,"")</f>
        <v>0</v>
      </c>
      <c r="H3542" s="12" t="n">
        <f aca="false">COUNTIFS(Cleaned!$C$2:$C$125,3,Cleaned!FN$2:FN$125,4)</f>
        <v>0</v>
      </c>
      <c r="I3542" s="13" t="n">
        <f aca="false">IFERROR(H3542/$L3542,"")</f>
        <v>0</v>
      </c>
      <c r="J3542" s="12" t="n">
        <f aca="false">COUNTIFS(Cleaned!$C$2:$C$125,3,Cleaned!FN$2:FN$125,5)</f>
        <v>0</v>
      </c>
      <c r="K3542" s="13" t="n">
        <f aca="false">IFERROR(J3542/$L3542,"")</f>
        <v>0</v>
      </c>
      <c r="L3542" s="12" t="n">
        <f aca="false">B3542+D3542+F3542+H3542+J3542</f>
        <v>3</v>
      </c>
    </row>
    <row r="3543" customFormat="false" ht="15" hidden="false" customHeight="false" outlineLevel="0" collapsed="false">
      <c r="A3543" s="12" t="s">
        <v>701</v>
      </c>
      <c r="B3543" s="12" t="n">
        <f aca="false">COUNTIFS(Cleaned!$C$2:$C$125,4,Cleaned!FN$2:FN$125,1)</f>
        <v>2</v>
      </c>
      <c r="C3543" s="13" t="n">
        <f aca="false">IFERROR(B3543/$L3543,"")</f>
        <v>1</v>
      </c>
      <c r="D3543" s="12" t="n">
        <f aca="false">COUNTIFS(Cleaned!$C$2:$C$125,4,Cleaned!FN$2:FN$125,2)</f>
        <v>0</v>
      </c>
      <c r="E3543" s="13" t="n">
        <f aca="false">IFERROR(D3543/$L3543,"")</f>
        <v>0</v>
      </c>
      <c r="F3543" s="12" t="n">
        <f aca="false">COUNTIFS(Cleaned!$C$2:$C$125,4,Cleaned!FN$2:FN$125,3)</f>
        <v>0</v>
      </c>
      <c r="G3543" s="13" t="n">
        <f aca="false">IFERROR(F3543/$L3543,"")</f>
        <v>0</v>
      </c>
      <c r="H3543" s="12" t="n">
        <f aca="false">COUNTIFS(Cleaned!$C$2:$C$125,4,Cleaned!FN$2:FN$125,4)</f>
        <v>0</v>
      </c>
      <c r="I3543" s="13" t="n">
        <f aca="false">IFERROR(H3543/$L3543,"")</f>
        <v>0</v>
      </c>
      <c r="J3543" s="12" t="n">
        <f aca="false">COUNTIFS(Cleaned!$C$2:$C$125,4,Cleaned!FN$2:FN$125,5)</f>
        <v>0</v>
      </c>
      <c r="K3543" s="13" t="n">
        <f aca="false">IFERROR(J3543/$L3543,"")</f>
        <v>0</v>
      </c>
      <c r="L3543" s="12" t="n">
        <f aca="false">B3543+D3543+F3543+H3543+J3543</f>
        <v>2</v>
      </c>
    </row>
    <row r="3544" customFormat="false" ht="15" hidden="false" customHeight="false" outlineLevel="0" collapsed="false">
      <c r="A3544" s="12" t="s">
        <v>702</v>
      </c>
      <c r="B3544" s="12" t="n">
        <f aca="false">COUNTIFS(Cleaned!$C$2:$C$125,5,Cleaned!FN$2:FN$125,1)</f>
        <v>4</v>
      </c>
      <c r="C3544" s="13" t="n">
        <f aca="false">IFERROR(B3544/$L3544,"")</f>
        <v>0.5</v>
      </c>
      <c r="D3544" s="12" t="n">
        <f aca="false">COUNTIFS(Cleaned!$C$2:$C$125,5,Cleaned!FN$2:FN$125,2)</f>
        <v>0</v>
      </c>
      <c r="E3544" s="13" t="n">
        <f aca="false">IFERROR(D3544/$L3544,"")</f>
        <v>0</v>
      </c>
      <c r="F3544" s="12" t="n">
        <f aca="false">COUNTIFS(Cleaned!$C$2:$C$125,5,Cleaned!FN$2:FN$125,3)</f>
        <v>1</v>
      </c>
      <c r="G3544" s="13" t="n">
        <f aca="false">IFERROR(F3544/$L3544,"")</f>
        <v>0.125</v>
      </c>
      <c r="H3544" s="12" t="n">
        <f aca="false">COUNTIFS(Cleaned!$C$2:$C$125,5,Cleaned!FN$2:FN$125,4)</f>
        <v>2</v>
      </c>
      <c r="I3544" s="13" t="n">
        <f aca="false">IFERROR(H3544/$L3544,"")</f>
        <v>0.25</v>
      </c>
      <c r="J3544" s="12" t="n">
        <f aca="false">COUNTIFS(Cleaned!$C$2:$C$125,5,Cleaned!FN$2:FN$125,5)</f>
        <v>1</v>
      </c>
      <c r="K3544" s="13" t="n">
        <f aca="false">IFERROR(J3544/$L3544,"")</f>
        <v>0.125</v>
      </c>
      <c r="L3544" s="12" t="n">
        <f aca="false">B3544+D3544+F3544+H3544+J3544</f>
        <v>8</v>
      </c>
    </row>
    <row r="3545" customFormat="false" ht="15" hidden="false" customHeight="false" outlineLevel="0" collapsed="false">
      <c r="A3545" s="11" t="s">
        <v>703</v>
      </c>
      <c r="B3545" s="11" t="n">
        <f aca="false">SUM(B3540:B3544)</f>
        <v>9</v>
      </c>
      <c r="C3545" s="14" t="n">
        <f aca="false">IFERROR(B3545/$L3545,"")</f>
        <v>0.642857142857143</v>
      </c>
      <c r="D3545" s="11" t="n">
        <f aca="false">SUM(D3540:D3544)</f>
        <v>1</v>
      </c>
      <c r="E3545" s="14" t="n">
        <f aca="false">IFERROR(D3545/$L3545,"")</f>
        <v>0.0714285714285714</v>
      </c>
      <c r="F3545" s="11" t="n">
        <f aca="false">SUM(F3540:F3544)</f>
        <v>1</v>
      </c>
      <c r="G3545" s="14" t="n">
        <f aca="false">IFERROR(F3545/$L3545,"")</f>
        <v>0.0714285714285714</v>
      </c>
      <c r="H3545" s="11" t="n">
        <f aca="false">SUM(H3540:H3544)</f>
        <v>2</v>
      </c>
      <c r="I3545" s="14" t="n">
        <f aca="false">IFERROR(H3545/$L3545,"")</f>
        <v>0.142857142857143</v>
      </c>
      <c r="J3545" s="11" t="n">
        <f aca="false">SUM(J3540:J3544)</f>
        <v>1</v>
      </c>
      <c r="K3545" s="14" t="n">
        <f aca="false">IFERROR(J3545/$L3545,"")</f>
        <v>0.0714285714285714</v>
      </c>
      <c r="L3545" s="11" t="n">
        <f aca="false">SUM(L3540:L3544)</f>
        <v>14</v>
      </c>
    </row>
    <row r="3546" customFormat="false" ht="15" hidden="false" customHeight="false" outlineLevel="0" collapsed="false">
      <c r="A3546" s="11" t="s">
        <v>3</v>
      </c>
    </row>
    <row r="3547" customFormat="false" ht="15" hidden="false" customHeight="false" outlineLevel="0" collapsed="false">
      <c r="A3547" s="12" t="s">
        <v>704</v>
      </c>
      <c r="B3547" s="12" t="n">
        <f aca="false">COUNTIFS(Cleaned!$D$2:$D$125,1,Cleaned!FN$2:FN$125,1)</f>
        <v>1</v>
      </c>
      <c r="C3547" s="13" t="n">
        <f aca="false">IFERROR(B3547/$L3547,"")</f>
        <v>1</v>
      </c>
      <c r="D3547" s="12" t="n">
        <f aca="false">COUNTIFS(Cleaned!$D$2:$D$125,1,Cleaned!FN$2:FN$125,2)</f>
        <v>0</v>
      </c>
      <c r="E3547" s="13" t="n">
        <f aca="false">IFERROR(D3547/$L3547,"")</f>
        <v>0</v>
      </c>
      <c r="F3547" s="12" t="n">
        <f aca="false">COUNTIFS(Cleaned!$D$2:$D$125,1,Cleaned!FN$2:FN$125,3)</f>
        <v>0</v>
      </c>
      <c r="G3547" s="13" t="n">
        <f aca="false">IFERROR(F3547/$L3547,"")</f>
        <v>0</v>
      </c>
      <c r="H3547" s="12" t="n">
        <f aca="false">COUNTIFS(Cleaned!$D$2:$D$125,1,Cleaned!FN$2:FN$125,4)</f>
        <v>0</v>
      </c>
      <c r="I3547" s="13" t="n">
        <f aca="false">IFERROR(H3547/$L3547,"")</f>
        <v>0</v>
      </c>
      <c r="J3547" s="12" t="n">
        <f aca="false">COUNTIFS(Cleaned!$D$2:$D$125,1,Cleaned!FN$2:FN$125,5)</f>
        <v>0</v>
      </c>
      <c r="K3547" s="13" t="n">
        <f aca="false">IFERROR(J3547/$L3547,"")</f>
        <v>0</v>
      </c>
      <c r="L3547" s="12" t="n">
        <f aca="false">B3547+D3547+F3547+H3547+J3547</f>
        <v>1</v>
      </c>
    </row>
    <row r="3548" customFormat="false" ht="15" hidden="false" customHeight="false" outlineLevel="0" collapsed="false">
      <c r="A3548" s="12" t="s">
        <v>705</v>
      </c>
      <c r="B3548" s="12" t="n">
        <f aca="false">COUNTIFS(Cleaned!$D$2:$D$125,2,Cleaned!FN$2:FN$125,1)</f>
        <v>4</v>
      </c>
      <c r="C3548" s="13" t="n">
        <f aca="false">IFERROR(B3548/$L3548,"")</f>
        <v>0.8</v>
      </c>
      <c r="D3548" s="12" t="n">
        <f aca="false">COUNTIFS(Cleaned!$D$2:$D$125,2,Cleaned!FN$2:FN$125,2)</f>
        <v>0</v>
      </c>
      <c r="E3548" s="13" t="n">
        <f aca="false">IFERROR(D3548/$L3548,"")</f>
        <v>0</v>
      </c>
      <c r="F3548" s="12" t="n">
        <f aca="false">COUNTIFS(Cleaned!$D$2:$D$125,2,Cleaned!FN$2:FN$125,3)</f>
        <v>0</v>
      </c>
      <c r="G3548" s="13" t="n">
        <f aca="false">IFERROR(F3548/$L3548,"")</f>
        <v>0</v>
      </c>
      <c r="H3548" s="12" t="n">
        <f aca="false">COUNTIFS(Cleaned!$D$2:$D$125,2,Cleaned!FN$2:FN$125,4)</f>
        <v>0</v>
      </c>
      <c r="I3548" s="13" t="n">
        <f aca="false">IFERROR(H3548/$L3548,"")</f>
        <v>0</v>
      </c>
      <c r="J3548" s="12" t="n">
        <f aca="false">COUNTIFS(Cleaned!$D$2:$D$125,2,Cleaned!FN$2:FN$125,5)</f>
        <v>1</v>
      </c>
      <c r="K3548" s="13" t="n">
        <f aca="false">IFERROR(J3548/$L3548,"")</f>
        <v>0.2</v>
      </c>
      <c r="L3548" s="12" t="n">
        <f aca="false">B3548+D3548+F3548+H3548+J3548</f>
        <v>5</v>
      </c>
    </row>
    <row r="3549" customFormat="false" ht="15" hidden="false" customHeight="false" outlineLevel="0" collapsed="false">
      <c r="A3549" s="12" t="s">
        <v>706</v>
      </c>
      <c r="B3549" s="12" t="n">
        <f aca="false">COUNTIFS(Cleaned!$D$2:$D$125,3,Cleaned!FN$2:FN$125,1)</f>
        <v>2</v>
      </c>
      <c r="C3549" s="13" t="n">
        <f aca="false">IFERROR(B3549/$L3549,"")</f>
        <v>0.5</v>
      </c>
      <c r="D3549" s="12" t="n">
        <f aca="false">COUNTIFS(Cleaned!$D$2:$D$125,3,Cleaned!FN$2:FN$125,2)</f>
        <v>0</v>
      </c>
      <c r="E3549" s="13" t="n">
        <f aca="false">IFERROR(D3549/$L3549,"")</f>
        <v>0</v>
      </c>
      <c r="F3549" s="12" t="n">
        <f aca="false">COUNTIFS(Cleaned!$D$2:$D$125,3,Cleaned!FN$2:FN$125,3)</f>
        <v>0</v>
      </c>
      <c r="G3549" s="13" t="n">
        <f aca="false">IFERROR(F3549/$L3549,"")</f>
        <v>0</v>
      </c>
      <c r="H3549" s="12" t="n">
        <f aca="false">COUNTIFS(Cleaned!$D$2:$D$125,3,Cleaned!FN$2:FN$125,4)</f>
        <v>2</v>
      </c>
      <c r="I3549" s="13" t="n">
        <f aca="false">IFERROR(H3549/$L3549,"")</f>
        <v>0.5</v>
      </c>
      <c r="J3549" s="12" t="n">
        <f aca="false">COUNTIFS(Cleaned!$D$2:$D$125,3,Cleaned!FN$2:FN$125,5)</f>
        <v>0</v>
      </c>
      <c r="K3549" s="13" t="n">
        <f aca="false">IFERROR(J3549/$L3549,"")</f>
        <v>0</v>
      </c>
      <c r="L3549" s="12" t="n">
        <f aca="false">B3549+D3549+F3549+H3549+J3549</f>
        <v>4</v>
      </c>
    </row>
    <row r="3550" customFormat="false" ht="15" hidden="false" customHeight="false" outlineLevel="0" collapsed="false">
      <c r="A3550" s="12" t="s">
        <v>707</v>
      </c>
      <c r="B3550" s="12" t="n">
        <f aca="false">COUNTIFS(Cleaned!$D$2:$D$125,4,Cleaned!FN$2:FN$125,1)</f>
        <v>1</v>
      </c>
      <c r="C3550" s="13" t="n">
        <f aca="false">IFERROR(B3550/$L3550,"")</f>
        <v>0.5</v>
      </c>
      <c r="D3550" s="12" t="n">
        <f aca="false">COUNTIFS(Cleaned!$D$2:$D$125,4,Cleaned!FN$2:FN$125,2)</f>
        <v>1</v>
      </c>
      <c r="E3550" s="13" t="n">
        <f aca="false">IFERROR(D3550/$L3550,"")</f>
        <v>0.5</v>
      </c>
      <c r="F3550" s="12" t="n">
        <f aca="false">COUNTIFS(Cleaned!$D$2:$D$125,4,Cleaned!FN$2:FN$125,3)</f>
        <v>0</v>
      </c>
      <c r="G3550" s="13" t="n">
        <f aca="false">IFERROR(F3550/$L3550,"")</f>
        <v>0</v>
      </c>
      <c r="H3550" s="12" t="n">
        <f aca="false">COUNTIFS(Cleaned!$D$2:$D$125,4,Cleaned!FN$2:FN$125,4)</f>
        <v>0</v>
      </c>
      <c r="I3550" s="13" t="n">
        <f aca="false">IFERROR(H3550/$L3550,"")</f>
        <v>0</v>
      </c>
      <c r="J3550" s="12" t="n">
        <f aca="false">COUNTIFS(Cleaned!$D$2:$D$125,4,Cleaned!FN$2:FN$125,5)</f>
        <v>0</v>
      </c>
      <c r="K3550" s="13" t="n">
        <f aca="false">IFERROR(J3550/$L3550,"")</f>
        <v>0</v>
      </c>
      <c r="L3550" s="12" t="n">
        <f aca="false">B3550+D3550+F3550+H3550+J3550</f>
        <v>2</v>
      </c>
    </row>
    <row r="3551" customFormat="false" ht="15" hidden="false" customHeight="false" outlineLevel="0" collapsed="false">
      <c r="A3551" s="12" t="s">
        <v>708</v>
      </c>
      <c r="B3551" s="12" t="n">
        <f aca="false">COUNTIFS(Cleaned!$D$2:$D$125,5,Cleaned!FN$2:FN$125,1)</f>
        <v>0</v>
      </c>
      <c r="C3551" s="13" t="str">
        <f aca="false">IFERROR(B3551/$L3551,"")</f>
        <v/>
      </c>
      <c r="D3551" s="12" t="n">
        <f aca="false">COUNTIFS(Cleaned!$D$2:$D$125,5,Cleaned!FN$2:FN$125,2)</f>
        <v>0</v>
      </c>
      <c r="E3551" s="13" t="str">
        <f aca="false">IFERROR(D3551/$L3551,"")</f>
        <v/>
      </c>
      <c r="F3551" s="12" t="n">
        <f aca="false">COUNTIFS(Cleaned!$D$2:$D$125,5,Cleaned!FN$2:FN$125,3)</f>
        <v>0</v>
      </c>
      <c r="G3551" s="13" t="str">
        <f aca="false">IFERROR(F3551/$L3551,"")</f>
        <v/>
      </c>
      <c r="H3551" s="12" t="n">
        <f aca="false">COUNTIFS(Cleaned!$D$2:$D$125,5,Cleaned!FN$2:FN$125,4)</f>
        <v>0</v>
      </c>
      <c r="I3551" s="13" t="str">
        <f aca="false">IFERROR(H3551/$L3551,"")</f>
        <v/>
      </c>
      <c r="J3551" s="12" t="n">
        <f aca="false">COUNTIFS(Cleaned!$D$2:$D$125,5,Cleaned!FN$2:FN$125,5)</f>
        <v>0</v>
      </c>
      <c r="K3551" s="13" t="str">
        <f aca="false">IFERROR(J3551/$L3551,"")</f>
        <v/>
      </c>
      <c r="L3551" s="12" t="n">
        <f aca="false">B3551+D3551+F3551+H3551+J3551</f>
        <v>0</v>
      </c>
    </row>
    <row r="3552" customFormat="false" ht="15" hidden="false" customHeight="false" outlineLevel="0" collapsed="false">
      <c r="A3552" s="12" t="s">
        <v>709</v>
      </c>
      <c r="B3552" s="12" t="n">
        <f aca="false">COUNTIFS(Cleaned!$D$2:$D$125,6,Cleaned!FN$2:FN$125,1)</f>
        <v>0</v>
      </c>
      <c r="C3552" s="13" t="str">
        <f aca="false">IFERROR(B3552/$L3552,"")</f>
        <v/>
      </c>
      <c r="D3552" s="12" t="n">
        <f aca="false">COUNTIFS(Cleaned!$D$2:$D$125,6,Cleaned!FN$2:FN$125,2)</f>
        <v>0</v>
      </c>
      <c r="E3552" s="13" t="str">
        <f aca="false">IFERROR(D3552/$L3552,"")</f>
        <v/>
      </c>
      <c r="F3552" s="12" t="n">
        <f aca="false">COUNTIFS(Cleaned!$D$2:$D$125,6,Cleaned!FN$2:FN$125,3)</f>
        <v>0</v>
      </c>
      <c r="G3552" s="13" t="str">
        <f aca="false">IFERROR(F3552/$L3552,"")</f>
        <v/>
      </c>
      <c r="H3552" s="12" t="n">
        <f aca="false">COUNTIFS(Cleaned!$D$2:$D$125,6,Cleaned!FN$2:FN$125,4)</f>
        <v>0</v>
      </c>
      <c r="I3552" s="13" t="str">
        <f aca="false">IFERROR(H3552/$L3552,"")</f>
        <v/>
      </c>
      <c r="J3552" s="12" t="n">
        <f aca="false">COUNTIFS(Cleaned!$D$2:$D$125,6,Cleaned!FN$2:FN$125,5)</f>
        <v>0</v>
      </c>
      <c r="K3552" s="13" t="str">
        <f aca="false">IFERROR(J3552/$L3552,"")</f>
        <v/>
      </c>
      <c r="L3552" s="12" t="n">
        <f aca="false">B3552+D3552+F3552+H3552+J3552</f>
        <v>0</v>
      </c>
    </row>
    <row r="3553" customFormat="false" ht="15" hidden="false" customHeight="false" outlineLevel="0" collapsed="false">
      <c r="A3553" s="12" t="s">
        <v>710</v>
      </c>
      <c r="B3553" s="12" t="n">
        <f aca="false">COUNTIFS(Cleaned!$D$2:$D$125,7,Cleaned!FN$2:FN$125,1)</f>
        <v>0</v>
      </c>
      <c r="C3553" s="13" t="n">
        <f aca="false">IFERROR(B3553/$L3553,"")</f>
        <v>0</v>
      </c>
      <c r="D3553" s="12" t="n">
        <f aca="false">COUNTIFS(Cleaned!$D$2:$D$125,7,Cleaned!FN$2:FN$125,2)</f>
        <v>0</v>
      </c>
      <c r="E3553" s="13" t="n">
        <f aca="false">IFERROR(D3553/$L3553,"")</f>
        <v>0</v>
      </c>
      <c r="F3553" s="12" t="n">
        <f aca="false">COUNTIFS(Cleaned!$D$2:$D$125,7,Cleaned!FN$2:FN$125,3)</f>
        <v>1</v>
      </c>
      <c r="G3553" s="13" t="n">
        <f aca="false">IFERROR(F3553/$L3553,"")</f>
        <v>1</v>
      </c>
      <c r="H3553" s="12" t="n">
        <f aca="false">COUNTIFS(Cleaned!$D$2:$D$125,7,Cleaned!FN$2:FN$125,4)</f>
        <v>0</v>
      </c>
      <c r="I3553" s="13" t="n">
        <f aca="false">IFERROR(H3553/$L3553,"")</f>
        <v>0</v>
      </c>
      <c r="J3553" s="12" t="n">
        <f aca="false">COUNTIFS(Cleaned!$D$2:$D$125,7,Cleaned!FN$2:FN$125,5)</f>
        <v>0</v>
      </c>
      <c r="K3553" s="13" t="n">
        <f aca="false">IFERROR(J3553/$L3553,"")</f>
        <v>0</v>
      </c>
      <c r="L3553" s="12" t="n">
        <f aca="false">B3553+D3553+F3553+H3553+J3553</f>
        <v>1</v>
      </c>
    </row>
    <row r="3554" customFormat="false" ht="15" hidden="false" customHeight="false" outlineLevel="0" collapsed="false">
      <c r="A3554" s="12" t="s">
        <v>711</v>
      </c>
      <c r="B3554" s="12" t="n">
        <f aca="false">COUNTIFS(Cleaned!$D$2:$D$125,8,Cleaned!FN$2:FN$125,1)</f>
        <v>0</v>
      </c>
      <c r="C3554" s="13" t="str">
        <f aca="false">IFERROR(B3554/$L3554,"")</f>
        <v/>
      </c>
      <c r="D3554" s="12" t="n">
        <f aca="false">COUNTIFS(Cleaned!$D$2:$D$125,8,Cleaned!FN$2:FN$125,2)</f>
        <v>0</v>
      </c>
      <c r="E3554" s="13" t="str">
        <f aca="false">IFERROR(D3554/$L3554,"")</f>
        <v/>
      </c>
      <c r="F3554" s="12" t="n">
        <f aca="false">COUNTIFS(Cleaned!$D$2:$D$125,8,Cleaned!FN$2:FN$125,3)</f>
        <v>0</v>
      </c>
      <c r="G3554" s="13" t="str">
        <f aca="false">IFERROR(F3554/$L3554,"")</f>
        <v/>
      </c>
      <c r="H3554" s="12" t="n">
        <f aca="false">COUNTIFS(Cleaned!$D$2:$D$125,8,Cleaned!FN$2:FN$125,4)</f>
        <v>0</v>
      </c>
      <c r="I3554" s="13" t="str">
        <f aca="false">IFERROR(H3554/$L3554,"")</f>
        <v/>
      </c>
      <c r="J3554" s="12" t="n">
        <f aca="false">COUNTIFS(Cleaned!$D$2:$D$125,8,Cleaned!FN$2:FN$125,5)</f>
        <v>0</v>
      </c>
      <c r="K3554" s="13" t="str">
        <f aca="false">IFERROR(J3554/$L3554,"")</f>
        <v/>
      </c>
      <c r="L3554" s="12" t="n">
        <f aca="false">B3554+D3554+F3554+H3554+J3554</f>
        <v>0</v>
      </c>
    </row>
    <row r="3555" customFormat="false" ht="15" hidden="false" customHeight="false" outlineLevel="0" collapsed="false">
      <c r="A3555" s="12" t="s">
        <v>712</v>
      </c>
      <c r="B3555" s="12" t="n">
        <f aca="false">COUNTIFS(Cleaned!$D$2:$D$125,9,Cleaned!FN$2:FN$125,1)</f>
        <v>0</v>
      </c>
      <c r="C3555" s="13" t="str">
        <f aca="false">IFERROR(B3555/$L3555,"")</f>
        <v/>
      </c>
      <c r="D3555" s="12" t="n">
        <f aca="false">COUNTIFS(Cleaned!$D$2:$D$125,9,Cleaned!FN$2:FN$125,2)</f>
        <v>0</v>
      </c>
      <c r="E3555" s="13" t="str">
        <f aca="false">IFERROR(D3555/$L3555,"")</f>
        <v/>
      </c>
      <c r="F3555" s="12" t="n">
        <f aca="false">COUNTIFS(Cleaned!$D$2:$D$125,9,Cleaned!FN$2:FN$125,3)</f>
        <v>0</v>
      </c>
      <c r="G3555" s="13" t="str">
        <f aca="false">IFERROR(F3555/$L3555,"")</f>
        <v/>
      </c>
      <c r="H3555" s="12" t="n">
        <f aca="false">COUNTIFS(Cleaned!$D$2:$D$125,9,Cleaned!FN$2:FN$125,4)</f>
        <v>0</v>
      </c>
      <c r="I3555" s="13" t="str">
        <f aca="false">IFERROR(H3555/$L3555,"")</f>
        <v/>
      </c>
      <c r="J3555" s="12" t="n">
        <f aca="false">COUNTIFS(Cleaned!$D$2:$D$125,9,Cleaned!FN$2:FN$125,5)</f>
        <v>0</v>
      </c>
      <c r="K3555" s="13" t="str">
        <f aca="false">IFERROR(J3555/$L3555,"")</f>
        <v/>
      </c>
      <c r="L3555" s="12" t="n">
        <f aca="false">B3555+D3555+F3555+H3555+J3555</f>
        <v>0</v>
      </c>
    </row>
    <row r="3556" customFormat="false" ht="15" hidden="false" customHeight="false" outlineLevel="0" collapsed="false">
      <c r="A3556" s="12" t="s">
        <v>713</v>
      </c>
      <c r="B3556" s="12" t="n">
        <f aca="false">COUNTIFS(Cleaned!$D$2:$D$125,10,Cleaned!FN$2:FN$125,1)</f>
        <v>0</v>
      </c>
      <c r="C3556" s="13" t="str">
        <f aca="false">IFERROR(B3556/$L3556,"")</f>
        <v/>
      </c>
      <c r="D3556" s="12" t="n">
        <f aca="false">COUNTIFS(Cleaned!$D$2:$D$125,10,Cleaned!FN$2:FN$125,2)</f>
        <v>0</v>
      </c>
      <c r="E3556" s="13" t="str">
        <f aca="false">IFERROR(D3556/$L3556,"")</f>
        <v/>
      </c>
      <c r="F3556" s="12" t="n">
        <f aca="false">COUNTIFS(Cleaned!$D$2:$D$125,10,Cleaned!FN$2:FN$125,3)</f>
        <v>0</v>
      </c>
      <c r="G3556" s="13" t="str">
        <f aca="false">IFERROR(F3556/$L3556,"")</f>
        <v/>
      </c>
      <c r="H3556" s="12" t="n">
        <f aca="false">COUNTIFS(Cleaned!$D$2:$D$125,10,Cleaned!FN$2:FN$125,4)</f>
        <v>0</v>
      </c>
      <c r="I3556" s="13" t="str">
        <f aca="false">IFERROR(H3556/$L3556,"")</f>
        <v/>
      </c>
      <c r="J3556" s="12" t="n">
        <f aca="false">COUNTIFS(Cleaned!$D$2:$D$125,10,Cleaned!FN$2:FN$125,5)</f>
        <v>0</v>
      </c>
      <c r="K3556" s="13" t="str">
        <f aca="false">IFERROR(J3556/$L3556,"")</f>
        <v/>
      </c>
      <c r="L3556" s="12" t="n">
        <f aca="false">B3556+D3556+F3556+H3556+J3556</f>
        <v>0</v>
      </c>
    </row>
    <row r="3557" customFormat="false" ht="15" hidden="false" customHeight="false" outlineLevel="0" collapsed="false">
      <c r="A3557" s="12" t="s">
        <v>714</v>
      </c>
      <c r="B3557" s="12" t="n">
        <f aca="false">COUNTIFS(Cleaned!$D$2:$D$125,11,Cleaned!FN$2:FN$125,1)</f>
        <v>1</v>
      </c>
      <c r="C3557" s="13" t="n">
        <f aca="false">IFERROR(B3557/$L3557,"")</f>
        <v>1</v>
      </c>
      <c r="D3557" s="12" t="n">
        <f aca="false">COUNTIFS(Cleaned!$D$2:$D$125,11,Cleaned!FN$2:FN$125,2)</f>
        <v>0</v>
      </c>
      <c r="E3557" s="13" t="n">
        <f aca="false">IFERROR(D3557/$L3557,"")</f>
        <v>0</v>
      </c>
      <c r="F3557" s="12" t="n">
        <f aca="false">COUNTIFS(Cleaned!$D$2:$D$125,11,Cleaned!FN$2:FN$125,3)</f>
        <v>0</v>
      </c>
      <c r="G3557" s="13" t="n">
        <f aca="false">IFERROR(F3557/$L3557,"")</f>
        <v>0</v>
      </c>
      <c r="H3557" s="12" t="n">
        <f aca="false">COUNTIFS(Cleaned!$D$2:$D$125,11,Cleaned!FN$2:FN$125,4)</f>
        <v>0</v>
      </c>
      <c r="I3557" s="13" t="n">
        <f aca="false">IFERROR(H3557/$L3557,"")</f>
        <v>0</v>
      </c>
      <c r="J3557" s="12" t="n">
        <f aca="false">COUNTIFS(Cleaned!$D$2:$D$125,11,Cleaned!FN$2:FN$125,5)</f>
        <v>0</v>
      </c>
      <c r="K3557" s="13" t="n">
        <f aca="false">IFERROR(J3557/$L3557,"")</f>
        <v>0</v>
      </c>
      <c r="L3557" s="12" t="n">
        <f aca="false">B3557+D3557+F3557+H3557+J3557</f>
        <v>1</v>
      </c>
    </row>
    <row r="3558" customFormat="false" ht="15" hidden="false" customHeight="false" outlineLevel="0" collapsed="false">
      <c r="A3558" s="12" t="s">
        <v>715</v>
      </c>
      <c r="B3558" s="12" t="n">
        <f aca="false">COUNTIFS(Cleaned!$D$2:$D$125,12,Cleaned!FN$2:FN$125,1)</f>
        <v>0</v>
      </c>
      <c r="C3558" s="13" t="str">
        <f aca="false">IFERROR(B3558/$L3558,"")</f>
        <v/>
      </c>
      <c r="D3558" s="12" t="n">
        <f aca="false">COUNTIFS(Cleaned!$D$2:$D$125,12,Cleaned!FN$2:FN$125,2)</f>
        <v>0</v>
      </c>
      <c r="E3558" s="13" t="str">
        <f aca="false">IFERROR(D3558/$L3558,"")</f>
        <v/>
      </c>
      <c r="F3558" s="12" t="n">
        <f aca="false">COUNTIFS(Cleaned!$D$2:$D$125,12,Cleaned!FN$2:FN$125,3)</f>
        <v>0</v>
      </c>
      <c r="G3558" s="13" t="str">
        <f aca="false">IFERROR(F3558/$L3558,"")</f>
        <v/>
      </c>
      <c r="H3558" s="12" t="n">
        <f aca="false">COUNTIFS(Cleaned!$D$2:$D$125,12,Cleaned!FN$2:FN$125,4)</f>
        <v>0</v>
      </c>
      <c r="I3558" s="13" t="str">
        <f aca="false">IFERROR(H3558/$L3558,"")</f>
        <v/>
      </c>
      <c r="J3558" s="12" t="n">
        <f aca="false">COUNTIFS(Cleaned!$D$2:$D$125,12,Cleaned!FN$2:FN$125,5)</f>
        <v>0</v>
      </c>
      <c r="K3558" s="13" t="str">
        <f aca="false">IFERROR(J3558/$L3558,"")</f>
        <v/>
      </c>
      <c r="L3558" s="12" t="n">
        <f aca="false">B3558+D3558+F3558+H3558+J3558</f>
        <v>0</v>
      </c>
    </row>
    <row r="3559" customFormat="false" ht="15" hidden="false" customHeight="false" outlineLevel="0" collapsed="false">
      <c r="A3559" s="11" t="s">
        <v>716</v>
      </c>
      <c r="B3559" s="11" t="n">
        <f aca="false">SUM(B3547:B3558)</f>
        <v>9</v>
      </c>
      <c r="C3559" s="14" t="n">
        <f aca="false">IFERROR(B3559/$L3559,"")</f>
        <v>0.642857142857143</v>
      </c>
      <c r="D3559" s="11" t="n">
        <f aca="false">SUM(D3547:D3558)</f>
        <v>1</v>
      </c>
      <c r="E3559" s="14" t="n">
        <f aca="false">IFERROR(D3559/$L3559,"")</f>
        <v>0.0714285714285714</v>
      </c>
      <c r="F3559" s="11" t="n">
        <f aca="false">SUM(F3547:F3558)</f>
        <v>1</v>
      </c>
      <c r="G3559" s="14" t="n">
        <f aca="false">IFERROR(F3559/$L3559,"")</f>
        <v>0.0714285714285714</v>
      </c>
      <c r="H3559" s="11" t="n">
        <f aca="false">SUM(H3547:H3558)</f>
        <v>2</v>
      </c>
      <c r="I3559" s="14" t="n">
        <f aca="false">IFERROR(H3559/$L3559,"")</f>
        <v>0.142857142857143</v>
      </c>
      <c r="J3559" s="11" t="n">
        <f aca="false">SUM(J3547:J3558)</f>
        <v>1</v>
      </c>
      <c r="K3559" s="14" t="n">
        <f aca="false">IFERROR(J3559/$L3559,"")</f>
        <v>0.0714285714285714</v>
      </c>
      <c r="L3559" s="11" t="n">
        <f aca="false">SUM(L3547:L3558)</f>
        <v>14</v>
      </c>
    </row>
    <row r="3562" customFormat="false" ht="15" hidden="false" customHeight="false" outlineLevel="0" collapsed="false">
      <c r="A3562" s="6" t="s">
        <v>160</v>
      </c>
      <c r="B3562" s="7" t="s">
        <v>924</v>
      </c>
    </row>
    <row r="3563" customFormat="false" ht="15" hidden="false" customHeight="false" outlineLevel="0" collapsed="false">
      <c r="A3563" s="11" t="s">
        <v>734</v>
      </c>
      <c r="B3563" s="9" t="s">
        <v>694</v>
      </c>
      <c r="C3563" s="9" t="s">
        <v>735</v>
      </c>
      <c r="D3563" s="9" t="s">
        <v>736</v>
      </c>
      <c r="E3563" s="9" t="s">
        <v>737</v>
      </c>
      <c r="F3563" s="9" t="s">
        <v>738</v>
      </c>
    </row>
    <row r="3564" customFormat="false" ht="15" hidden="false" customHeight="false" outlineLevel="0" collapsed="false">
      <c r="B3564" s="12" t="n">
        <f aca="false">COUNT(Cleaned!$FO$2:$FO$125)</f>
        <v>22</v>
      </c>
      <c r="C3564" s="12" t="n">
        <f aca="false">IFERROR(AVERAGE(Cleaned!$FO$2:$FO$125),"")</f>
        <v>190866.445136364</v>
      </c>
      <c r="D3564" s="12" t="n">
        <f aca="false">IFERROR(MEDIAN(Cleaned!$FO$2:$FO$125),"")</f>
        <v>1947</v>
      </c>
      <c r="E3564" s="12" t="n">
        <f aca="false">IFERROR(MIN(Cleaned!$FO$2:$FO$125),"")</f>
        <v>2.7</v>
      </c>
      <c r="F3564" s="12" t="n">
        <f aca="false">IFERROR(MAX(Cleaned!$FO$2:$FO$125),"")</f>
        <v>3920445</v>
      </c>
    </row>
    <row r="3565" customFormat="false" ht="15" hidden="false" customHeight="false" outlineLevel="0" collapsed="false">
      <c r="A3565" s="11" t="s">
        <v>697</v>
      </c>
      <c r="B3565" s="9" t="s">
        <v>739</v>
      </c>
      <c r="C3565" s="9" t="s">
        <v>735</v>
      </c>
    </row>
    <row r="3566" customFormat="false" ht="15" hidden="false" customHeight="false" outlineLevel="0" collapsed="false">
      <c r="A3566" s="12" t="s">
        <v>698</v>
      </c>
      <c r="B3566" s="12" t="n">
        <f aca="false">COUNTIFS(Cleaned!$C$2:$C$125,1,Cleaned!FO$2:FO$125,"&lt;&gt;")</f>
        <v>2</v>
      </c>
      <c r="C3566" s="15" t="n">
        <f aca="false">IF(B3566=0,"",AVERAGEIF(Cleaned!$C$2:$C$125,1,Cleaned!FO$2:FO$125))</f>
        <v>29010</v>
      </c>
    </row>
    <row r="3567" customFormat="false" ht="15" hidden="false" customHeight="false" outlineLevel="0" collapsed="false">
      <c r="A3567" s="12" t="s">
        <v>699</v>
      </c>
      <c r="B3567" s="12" t="n">
        <f aca="false">COUNTIFS(Cleaned!$C$2:$C$125,2,Cleaned!FO$2:FO$125,"&lt;&gt;")</f>
        <v>0</v>
      </c>
      <c r="C3567" s="15" t="str">
        <f aca="false">IF(B3567=0,"",AVERAGEIF(Cleaned!$C$2:$C$125,2,Cleaned!FO$2:FO$125))</f>
        <v/>
      </c>
    </row>
    <row r="3568" customFormat="false" ht="15" hidden="false" customHeight="false" outlineLevel="0" collapsed="false">
      <c r="A3568" s="12" t="s">
        <v>700</v>
      </c>
      <c r="B3568" s="12" t="n">
        <f aca="false">COUNTIFS(Cleaned!$C$2:$C$125,3,Cleaned!FO$2:FO$125,"&lt;&gt;")</f>
        <v>5</v>
      </c>
      <c r="C3568" s="15" t="n">
        <f aca="false">IF(B3568=0,"",AVERAGEIF(Cleaned!$C$2:$C$125,3,Cleaned!FO$2:FO$125))</f>
        <v>28088</v>
      </c>
    </row>
    <row r="3569" customFormat="false" ht="15" hidden="false" customHeight="false" outlineLevel="0" collapsed="false">
      <c r="A3569" s="12" t="s">
        <v>701</v>
      </c>
      <c r="B3569" s="12" t="n">
        <f aca="false">COUNTIFS(Cleaned!$C$2:$C$125,4,Cleaned!FO$2:FO$125,"&lt;&gt;")</f>
        <v>5</v>
      </c>
      <c r="C3569" s="15" t="n">
        <f aca="false">IF(B3569=0,"",AVERAGEIF(Cleaned!$C$2:$C$125,4,Cleaned!FO$2:FO$125))</f>
        <v>784804.112</v>
      </c>
    </row>
    <row r="3570" customFormat="false" ht="15" hidden="false" customHeight="false" outlineLevel="0" collapsed="false">
      <c r="A3570" s="12" t="s">
        <v>702</v>
      </c>
      <c r="B3570" s="12" t="n">
        <f aca="false">COUNTIFS(Cleaned!$C$2:$C$125,5,Cleaned!FO$2:FO$125,"&lt;&gt;")</f>
        <v>10</v>
      </c>
      <c r="C3570" s="15" t="n">
        <f aca="false">IF(B3570=0,"",AVERAGEIF(Cleaned!$C$2:$C$125,5,Cleaned!FO$2:FO$125))</f>
        <v>7658.1233</v>
      </c>
    </row>
    <row r="3571" customFormat="false" ht="15" hidden="false" customHeight="false" outlineLevel="0" collapsed="false">
      <c r="A3571" s="11" t="s">
        <v>3</v>
      </c>
      <c r="B3571" s="9" t="s">
        <v>739</v>
      </c>
      <c r="C3571" s="9" t="s">
        <v>735</v>
      </c>
    </row>
    <row r="3572" customFormat="false" ht="15" hidden="false" customHeight="false" outlineLevel="0" collapsed="false">
      <c r="A3572" s="12" t="s">
        <v>704</v>
      </c>
      <c r="B3572" s="12" t="n">
        <f aca="false">COUNTIFS(Cleaned!$D$2:$D$125,1,Cleaned!FO$2:FO$125,"&lt;&gt;")</f>
        <v>3</v>
      </c>
      <c r="C3572" s="15" t="n">
        <f aca="false">IF(B3572=0,"",AVERAGEIF(Cleaned!$D$2:$D$125,1,Cleaned!FO$2:FO$125))</f>
        <v>1345148.33333333</v>
      </c>
    </row>
    <row r="3573" customFormat="false" ht="15" hidden="false" customHeight="false" outlineLevel="0" collapsed="false">
      <c r="A3573" s="12" t="s">
        <v>705</v>
      </c>
      <c r="B3573" s="12" t="n">
        <f aca="false">COUNTIFS(Cleaned!$D$2:$D$125,2,Cleaned!FO$2:FO$125,"&lt;&gt;")</f>
        <v>6</v>
      </c>
      <c r="C3573" s="15" t="n">
        <f aca="false">IF(B3573=0,"",AVERAGEIF(Cleaned!$D$2:$D$125,2,Cleaned!FO$2:FO$125))</f>
        <v>12013.3355</v>
      </c>
    </row>
    <row r="3574" customFormat="false" ht="15" hidden="false" customHeight="false" outlineLevel="0" collapsed="false">
      <c r="A3574" s="12" t="s">
        <v>706</v>
      </c>
      <c r="B3574" s="12" t="n">
        <f aca="false">COUNTIFS(Cleaned!$D$2:$D$125,3,Cleaned!FO$2:FO$125,"&lt;&gt;")</f>
        <v>3</v>
      </c>
      <c r="C3574" s="15" t="n">
        <f aca="false">IF(B3574=0,"",AVERAGEIF(Cleaned!$D$2:$D$125,3,Cleaned!FO$2:FO$125))</f>
        <v>203.506666666667</v>
      </c>
    </row>
    <row r="3575" customFormat="false" ht="15" hidden="false" customHeight="false" outlineLevel="0" collapsed="false">
      <c r="A3575" s="12" t="s">
        <v>707</v>
      </c>
      <c r="B3575" s="12" t="n">
        <f aca="false">COUNTIFS(Cleaned!$D$2:$D$125,4,Cleaned!FO$2:FO$125,"&lt;&gt;")</f>
        <v>1</v>
      </c>
      <c r="C3575" s="15" t="n">
        <f aca="false">IF(B3575=0,"",AVERAGEIF(Cleaned!$D$2:$D$125,4,Cleaned!FO$2:FO$125))</f>
        <v>55.56</v>
      </c>
    </row>
    <row r="3576" customFormat="false" ht="15" hidden="false" customHeight="false" outlineLevel="0" collapsed="false">
      <c r="A3576" s="12" t="s">
        <v>708</v>
      </c>
      <c r="B3576" s="12" t="n">
        <f aca="false">COUNTIFS(Cleaned!$D$2:$D$125,5,Cleaned!FO$2:FO$125,"&lt;&gt;")</f>
        <v>1</v>
      </c>
      <c r="C3576" s="15" t="n">
        <f aca="false">IF(B3576=0,"",AVERAGEIF(Cleaned!$D$2:$D$125,5,Cleaned!FO$2:FO$125))</f>
        <v>6</v>
      </c>
    </row>
    <row r="3577" customFormat="false" ht="15" hidden="false" customHeight="false" outlineLevel="0" collapsed="false">
      <c r="A3577" s="12" t="s">
        <v>709</v>
      </c>
      <c r="B3577" s="12" t="n">
        <f aca="false">COUNTIFS(Cleaned!$D$2:$D$125,6,Cleaned!FO$2:FO$125,"&lt;&gt;")</f>
        <v>2</v>
      </c>
      <c r="C3577" s="15" t="n">
        <f aca="false">IF(B3577=0,"",AVERAGEIF(Cleaned!$D$2:$D$125,6,Cleaned!FO$2:FO$125))</f>
        <v>1757</v>
      </c>
    </row>
    <row r="3578" customFormat="false" ht="15" hidden="false" customHeight="false" outlineLevel="0" collapsed="false">
      <c r="A3578" s="12" t="s">
        <v>710</v>
      </c>
      <c r="B3578" s="12" t="n">
        <f aca="false">COUNTIFS(Cleaned!$D$2:$D$125,7,Cleaned!FO$2:FO$125,"&lt;&gt;")</f>
        <v>3</v>
      </c>
      <c r="C3578" s="15" t="n">
        <f aca="false">IF(B3578=0,"",AVERAGEIF(Cleaned!$D$2:$D$125,7,Cleaned!FO$2:FO$125))</f>
        <v>3776.9</v>
      </c>
    </row>
    <row r="3579" customFormat="false" ht="15" hidden="false" customHeight="false" outlineLevel="0" collapsed="false">
      <c r="A3579" s="12" t="s">
        <v>711</v>
      </c>
      <c r="B3579" s="12" t="n">
        <f aca="false">COUNTIFS(Cleaned!$D$2:$D$125,8,Cleaned!FO$2:FO$125,"&lt;&gt;")</f>
        <v>1</v>
      </c>
      <c r="C3579" s="15" t="n">
        <f aca="false">IF(B3579=0,"",AVERAGEIF(Cleaned!$D$2:$D$125,8,Cleaned!FO$2:FO$125))</f>
        <v>58000</v>
      </c>
    </row>
    <row r="3580" customFormat="false" ht="15" hidden="false" customHeight="false" outlineLevel="0" collapsed="false">
      <c r="A3580" s="12" t="s">
        <v>712</v>
      </c>
      <c r="B3580" s="12" t="n">
        <f aca="false">COUNTIFS(Cleaned!$D$2:$D$125,9,Cleaned!FO$2:FO$125,"&lt;&gt;")</f>
        <v>0</v>
      </c>
      <c r="C3580" s="15" t="str">
        <f aca="false">IF(B3580=0,"",AVERAGEIF(Cleaned!$D$2:$D$125,9,Cleaned!FO$2:FO$125))</f>
        <v/>
      </c>
    </row>
    <row r="3581" customFormat="false" ht="15" hidden="false" customHeight="false" outlineLevel="0" collapsed="false">
      <c r="A3581" s="12" t="s">
        <v>713</v>
      </c>
      <c r="B3581" s="12" t="n">
        <f aca="false">COUNTIFS(Cleaned!$D$2:$D$125,10,Cleaned!FO$2:FO$125,"&lt;&gt;")</f>
        <v>0</v>
      </c>
      <c r="C3581" s="15" t="str">
        <f aca="false">IF(B3581=0,"",AVERAGEIF(Cleaned!$D$2:$D$125,10,Cleaned!FO$2:FO$125))</f>
        <v/>
      </c>
    </row>
    <row r="3582" customFormat="false" ht="15" hidden="false" customHeight="false" outlineLevel="0" collapsed="false">
      <c r="A3582" s="12" t="s">
        <v>714</v>
      </c>
      <c r="B3582" s="12" t="n">
        <f aca="false">COUNTIFS(Cleaned!$D$2:$D$125,11,Cleaned!FO$2:FO$125,"&lt;&gt;")</f>
        <v>1</v>
      </c>
      <c r="C3582" s="15" t="n">
        <f aca="false">IF(B3582=0,"",AVERAGEIF(Cleaned!$D$2:$D$125,11,Cleaned!FO$2:FO$125))</f>
        <v>18000</v>
      </c>
    </row>
    <row r="3583" customFormat="false" ht="15" hidden="false" customHeight="false" outlineLevel="0" collapsed="false">
      <c r="A3583" s="12" t="s">
        <v>715</v>
      </c>
      <c r="B3583" s="12" t="n">
        <f aca="false">COUNTIFS(Cleaned!$D$2:$D$125,12,Cleaned!FO$2:FO$125,"&lt;&gt;")</f>
        <v>1</v>
      </c>
      <c r="C3583" s="15" t="n">
        <f aca="false">IF(B3583=0,"",AVERAGEIF(Cleaned!$D$2:$D$125,12,Cleaned!FO$2:FO$125))</f>
        <v>20</v>
      </c>
    </row>
    <row r="3586" customFormat="false" ht="15" hidden="false" customHeight="false" outlineLevel="0" collapsed="false">
      <c r="A3586" s="6" t="s">
        <v>161</v>
      </c>
      <c r="B3586" s="7" t="s">
        <v>925</v>
      </c>
    </row>
    <row r="3587" customFormat="false" ht="15" hidden="false" customHeight="false" outlineLevel="0" collapsed="false">
      <c r="A3587" s="11" t="s">
        <v>734</v>
      </c>
      <c r="B3587" s="9" t="s">
        <v>694</v>
      </c>
      <c r="C3587" s="9" t="s">
        <v>735</v>
      </c>
      <c r="D3587" s="9" t="s">
        <v>736</v>
      </c>
      <c r="E3587" s="9" t="s">
        <v>737</v>
      </c>
      <c r="F3587" s="9" t="s">
        <v>738</v>
      </c>
    </row>
    <row r="3588" customFormat="false" ht="15" hidden="false" customHeight="false" outlineLevel="0" collapsed="false">
      <c r="B3588" s="12" t="n">
        <f aca="false">COUNT(Cleaned!$FP$2:$FP$125)</f>
        <v>34</v>
      </c>
      <c r="C3588" s="12" t="n">
        <f aca="false">IFERROR(AVERAGE(Cleaned!$FP$2:$FP$125),"")</f>
        <v>189.551470588235</v>
      </c>
      <c r="D3588" s="12" t="n">
        <f aca="false">IFERROR(MEDIAN(Cleaned!$FP$2:$FP$125),"")</f>
        <v>40</v>
      </c>
      <c r="E3588" s="12" t="n">
        <f aca="false">IFERROR(MIN(Cleaned!$FP$2:$FP$125),"")</f>
        <v>2.1</v>
      </c>
      <c r="F3588" s="12" t="n">
        <f aca="false">IFERROR(MAX(Cleaned!$FP$2:$FP$125),"")</f>
        <v>2662</v>
      </c>
    </row>
    <row r="3589" customFormat="false" ht="15" hidden="false" customHeight="false" outlineLevel="0" collapsed="false">
      <c r="A3589" s="11" t="s">
        <v>697</v>
      </c>
      <c r="B3589" s="9" t="s">
        <v>739</v>
      </c>
      <c r="C3589" s="9" t="s">
        <v>735</v>
      </c>
    </row>
    <row r="3590" customFormat="false" ht="15" hidden="false" customHeight="false" outlineLevel="0" collapsed="false">
      <c r="A3590" s="12" t="s">
        <v>698</v>
      </c>
      <c r="B3590" s="12" t="n">
        <f aca="false">COUNTIFS(Cleaned!$C$2:$C$125,1,Cleaned!FP$2:FP$125,"&lt;&gt;")</f>
        <v>2</v>
      </c>
      <c r="C3590" s="15" t="n">
        <f aca="false">IF(B3590=0,"",AVERAGEIF(Cleaned!$C$2:$C$125,1,Cleaned!FP$2:FP$125))</f>
        <v>2.67</v>
      </c>
    </row>
    <row r="3591" customFormat="false" ht="15" hidden="false" customHeight="false" outlineLevel="0" collapsed="false">
      <c r="A3591" s="12" t="s">
        <v>699</v>
      </c>
      <c r="B3591" s="12" t="n">
        <f aca="false">COUNTIFS(Cleaned!$C$2:$C$125,2,Cleaned!FP$2:FP$125,"&lt;&gt;")</f>
        <v>1</v>
      </c>
      <c r="C3591" s="15" t="n">
        <f aca="false">IF(B3591=0,"",AVERAGEIF(Cleaned!$C$2:$C$125,2,Cleaned!FP$2:FP$125))</f>
        <v>8.25</v>
      </c>
    </row>
    <row r="3592" customFormat="false" ht="15" hidden="false" customHeight="false" outlineLevel="0" collapsed="false">
      <c r="A3592" s="12" t="s">
        <v>700</v>
      </c>
      <c r="B3592" s="12" t="n">
        <f aca="false">COUNTIFS(Cleaned!$C$2:$C$125,3,Cleaned!FP$2:FP$125,"&lt;&gt;")</f>
        <v>8</v>
      </c>
      <c r="C3592" s="15" t="n">
        <f aca="false">IF(B3592=0,"",AVERAGEIF(Cleaned!$C$2:$C$125,3,Cleaned!FP$2:FP$125))</f>
        <v>11.20875</v>
      </c>
    </row>
    <row r="3593" customFormat="false" ht="15" hidden="false" customHeight="false" outlineLevel="0" collapsed="false">
      <c r="A3593" s="12" t="s">
        <v>701</v>
      </c>
      <c r="B3593" s="12" t="n">
        <f aca="false">COUNTIFS(Cleaned!$C$2:$C$125,4,Cleaned!FP$2:FP$125,"&lt;&gt;")</f>
        <v>7</v>
      </c>
      <c r="C3593" s="15" t="n">
        <f aca="false">IF(B3593=0,"",AVERAGEIF(Cleaned!$C$2:$C$125,4,Cleaned!FP$2:FP$125))</f>
        <v>40.9</v>
      </c>
    </row>
    <row r="3594" customFormat="false" ht="15" hidden="false" customHeight="false" outlineLevel="0" collapsed="false">
      <c r="A3594" s="12" t="s">
        <v>702</v>
      </c>
      <c r="B3594" s="12" t="n">
        <f aca="false">COUNTIFS(Cleaned!$C$2:$C$125,5,Cleaned!FP$2:FP$125,"&lt;&gt;")</f>
        <v>16</v>
      </c>
      <c r="C3594" s="15" t="n">
        <f aca="false">IF(B3594=0,"",AVERAGEIF(Cleaned!$C$2:$C$125,5,Cleaned!FP$2:FP$125))</f>
        <v>378.449375</v>
      </c>
    </row>
    <row r="3595" customFormat="false" ht="15" hidden="false" customHeight="false" outlineLevel="0" collapsed="false">
      <c r="A3595" s="11" t="s">
        <v>3</v>
      </c>
      <c r="B3595" s="9" t="s">
        <v>739</v>
      </c>
      <c r="C3595" s="9" t="s">
        <v>735</v>
      </c>
    </row>
    <row r="3596" customFormat="false" ht="15" hidden="false" customHeight="false" outlineLevel="0" collapsed="false">
      <c r="A3596" s="12" t="s">
        <v>704</v>
      </c>
      <c r="B3596" s="12" t="n">
        <f aca="false">COUNTIFS(Cleaned!$D$2:$D$125,1,Cleaned!FP$2:FP$125,"&lt;&gt;")</f>
        <v>5</v>
      </c>
      <c r="C3596" s="15" t="n">
        <f aca="false">IF(B3596=0,"",AVERAGEIF(Cleaned!$D$2:$D$125,1,Cleaned!FP$2:FP$125))</f>
        <v>23.38</v>
      </c>
    </row>
    <row r="3597" customFormat="false" ht="15" hidden="false" customHeight="false" outlineLevel="0" collapsed="false">
      <c r="A3597" s="12" t="s">
        <v>705</v>
      </c>
      <c r="B3597" s="12" t="n">
        <f aca="false">COUNTIFS(Cleaned!$D$2:$D$125,2,Cleaned!FP$2:FP$125,"&lt;&gt;")</f>
        <v>10</v>
      </c>
      <c r="C3597" s="15" t="n">
        <f aca="false">IF(B3597=0,"",AVERAGEIF(Cleaned!$D$2:$D$125,2,Cleaned!FP$2:FP$125))</f>
        <v>394.249</v>
      </c>
    </row>
    <row r="3598" customFormat="false" ht="15" hidden="false" customHeight="false" outlineLevel="0" collapsed="false">
      <c r="A3598" s="12" t="s">
        <v>706</v>
      </c>
      <c r="B3598" s="12" t="n">
        <f aca="false">COUNTIFS(Cleaned!$D$2:$D$125,3,Cleaned!FP$2:FP$125,"&lt;&gt;")</f>
        <v>5</v>
      </c>
      <c r="C3598" s="15" t="n">
        <f aca="false">IF(B3598=0,"",AVERAGEIF(Cleaned!$D$2:$D$125,3,Cleaned!FP$2:FP$125))</f>
        <v>359.54</v>
      </c>
    </row>
    <row r="3599" customFormat="false" ht="15" hidden="false" customHeight="false" outlineLevel="0" collapsed="false">
      <c r="A3599" s="12" t="s">
        <v>707</v>
      </c>
      <c r="B3599" s="12" t="n">
        <f aca="false">COUNTIFS(Cleaned!$D$2:$D$125,4,Cleaned!FP$2:FP$125,"&lt;&gt;")</f>
        <v>3</v>
      </c>
      <c r="C3599" s="15" t="n">
        <f aca="false">IF(B3599=0,"",AVERAGEIF(Cleaned!$D$2:$D$125,4,Cleaned!FP$2:FP$125))</f>
        <v>23.33</v>
      </c>
    </row>
    <row r="3600" customFormat="false" ht="15" hidden="false" customHeight="false" outlineLevel="0" collapsed="false">
      <c r="A3600" s="12" t="s">
        <v>708</v>
      </c>
      <c r="B3600" s="12" t="n">
        <f aca="false">COUNTIFS(Cleaned!$D$2:$D$125,5,Cleaned!FP$2:FP$125,"&lt;&gt;")</f>
        <v>1</v>
      </c>
      <c r="C3600" s="15" t="n">
        <f aca="false">IF(B3600=0,"",AVERAGEIF(Cleaned!$D$2:$D$125,5,Cleaned!FP$2:FP$125))</f>
        <v>71.56</v>
      </c>
    </row>
    <row r="3601" customFormat="false" ht="15" hidden="false" customHeight="false" outlineLevel="0" collapsed="false">
      <c r="A3601" s="12" t="s">
        <v>709</v>
      </c>
      <c r="B3601" s="12" t="n">
        <f aca="false">COUNTIFS(Cleaned!$D$2:$D$125,6,Cleaned!FP$2:FP$125,"&lt;&gt;")</f>
        <v>1</v>
      </c>
      <c r="C3601" s="15" t="n">
        <f aca="false">IF(B3601=0,"",AVERAGEIF(Cleaned!$D$2:$D$125,6,Cleaned!FP$2:FP$125))</f>
        <v>25</v>
      </c>
    </row>
    <row r="3602" customFormat="false" ht="15" hidden="false" customHeight="false" outlineLevel="0" collapsed="false">
      <c r="A3602" s="12" t="s">
        <v>710</v>
      </c>
      <c r="B3602" s="12" t="n">
        <f aca="false">COUNTIFS(Cleaned!$D$2:$D$125,7,Cleaned!FP$2:FP$125,"&lt;&gt;")</f>
        <v>4</v>
      </c>
      <c r="C3602" s="15" t="n">
        <f aca="false">IF(B3602=0,"",AVERAGEIF(Cleaned!$D$2:$D$125,7,Cleaned!FP$2:FP$125))</f>
        <v>78.4425</v>
      </c>
    </row>
    <row r="3603" customFormat="false" ht="15" hidden="false" customHeight="false" outlineLevel="0" collapsed="false">
      <c r="A3603" s="12" t="s">
        <v>711</v>
      </c>
      <c r="B3603" s="12" t="n">
        <f aca="false">COUNTIFS(Cleaned!$D$2:$D$125,8,Cleaned!FP$2:FP$125,"&lt;&gt;")</f>
        <v>2</v>
      </c>
      <c r="C3603" s="15" t="n">
        <f aca="false">IF(B3603=0,"",AVERAGEIF(Cleaned!$D$2:$D$125,8,Cleaned!FP$2:FP$125))</f>
        <v>31.05</v>
      </c>
    </row>
    <row r="3604" customFormat="false" ht="15" hidden="false" customHeight="false" outlineLevel="0" collapsed="false">
      <c r="A3604" s="12" t="s">
        <v>712</v>
      </c>
      <c r="B3604" s="12" t="n">
        <f aca="false">COUNTIFS(Cleaned!$D$2:$D$125,9,Cleaned!FP$2:FP$125,"&lt;&gt;")</f>
        <v>0</v>
      </c>
      <c r="C3604" s="15" t="str">
        <f aca="false">IF(B3604=0,"",AVERAGEIF(Cleaned!$D$2:$D$125,9,Cleaned!FP$2:FP$125))</f>
        <v/>
      </c>
    </row>
    <row r="3605" customFormat="false" ht="15" hidden="false" customHeight="false" outlineLevel="0" collapsed="false">
      <c r="A3605" s="12" t="s">
        <v>713</v>
      </c>
      <c r="B3605" s="12" t="n">
        <f aca="false">COUNTIFS(Cleaned!$D$2:$D$125,10,Cleaned!FP$2:FP$125,"&lt;&gt;")</f>
        <v>0</v>
      </c>
      <c r="C3605" s="15" t="str">
        <f aca="false">IF(B3605=0,"",AVERAGEIF(Cleaned!$D$2:$D$125,10,Cleaned!FP$2:FP$125))</f>
        <v/>
      </c>
    </row>
    <row r="3606" customFormat="false" ht="15" hidden="false" customHeight="false" outlineLevel="0" collapsed="false">
      <c r="A3606" s="12" t="s">
        <v>714</v>
      </c>
      <c r="B3606" s="12" t="n">
        <f aca="false">COUNTIFS(Cleaned!$D$2:$D$125,11,Cleaned!FP$2:FP$125,"&lt;&gt;")</f>
        <v>2</v>
      </c>
      <c r="C3606" s="15" t="n">
        <f aca="false">IF(B3606=0,"",AVERAGEIF(Cleaned!$D$2:$D$125,11,Cleaned!FP$2:FP$125))</f>
        <v>21</v>
      </c>
    </row>
    <row r="3607" customFormat="false" ht="15" hidden="false" customHeight="false" outlineLevel="0" collapsed="false">
      <c r="A3607" s="12" t="s">
        <v>715</v>
      </c>
      <c r="B3607" s="12" t="n">
        <f aca="false">COUNTIFS(Cleaned!$D$2:$D$125,12,Cleaned!FP$2:FP$125,"&lt;&gt;")</f>
        <v>1</v>
      </c>
      <c r="C3607" s="15" t="n">
        <f aca="false">IF(B3607=0,"",AVERAGEIF(Cleaned!$D$2:$D$125,12,Cleaned!FP$2:FP$125))</f>
        <v>3.24</v>
      </c>
    </row>
    <row r="3610" customFormat="false" ht="15" hidden="false" customHeight="false" outlineLevel="0" collapsed="false">
      <c r="A3610" s="6" t="s">
        <v>162</v>
      </c>
      <c r="B3610" s="7" t="s">
        <v>926</v>
      </c>
    </row>
    <row r="3611" customFormat="false" ht="15" hidden="false" customHeight="false" outlineLevel="0" collapsed="false">
      <c r="A3611" s="11" t="s">
        <v>734</v>
      </c>
      <c r="B3611" s="9" t="s">
        <v>694</v>
      </c>
      <c r="C3611" s="9" t="s">
        <v>735</v>
      </c>
      <c r="D3611" s="9" t="s">
        <v>736</v>
      </c>
      <c r="E3611" s="9" t="s">
        <v>737</v>
      </c>
      <c r="F3611" s="9" t="s">
        <v>738</v>
      </c>
    </row>
    <row r="3612" customFormat="false" ht="15" hidden="false" customHeight="false" outlineLevel="0" collapsed="false">
      <c r="B3612" s="12" t="n">
        <f aca="false">COUNT(Cleaned!$FQ$2:$FQ$125)</f>
        <v>32</v>
      </c>
      <c r="C3612" s="12" t="n">
        <f aca="false">IFERROR(AVERAGE(Cleaned!$FQ$2:$FQ$125),"")</f>
        <v>11.25</v>
      </c>
      <c r="D3612" s="12" t="n">
        <f aca="false">IFERROR(MEDIAN(Cleaned!$FQ$2:$FQ$125),"")</f>
        <v>6</v>
      </c>
      <c r="E3612" s="12" t="n">
        <f aca="false">IFERROR(MIN(Cleaned!$FQ$2:$FQ$125),"")</f>
        <v>0</v>
      </c>
      <c r="F3612" s="12" t="n">
        <f aca="false">IFERROR(MAX(Cleaned!$FQ$2:$FQ$125),"")</f>
        <v>98</v>
      </c>
    </row>
    <row r="3613" customFormat="false" ht="15" hidden="false" customHeight="false" outlineLevel="0" collapsed="false">
      <c r="A3613" s="11" t="s">
        <v>697</v>
      </c>
      <c r="B3613" s="9" t="s">
        <v>739</v>
      </c>
      <c r="C3613" s="9" t="s">
        <v>735</v>
      </c>
    </row>
    <row r="3614" customFormat="false" ht="15" hidden="false" customHeight="false" outlineLevel="0" collapsed="false">
      <c r="A3614" s="12" t="s">
        <v>698</v>
      </c>
      <c r="B3614" s="12" t="n">
        <f aca="false">COUNTIFS(Cleaned!$C$2:$C$125,1,Cleaned!FQ$2:FQ$125,"&lt;&gt;")</f>
        <v>2</v>
      </c>
      <c r="C3614" s="15" t="n">
        <f aca="false">IF(B3614=0,"",AVERAGEIF(Cleaned!$C$2:$C$125,1,Cleaned!FQ$2:FQ$125))</f>
        <v>3.5</v>
      </c>
    </row>
    <row r="3615" customFormat="false" ht="15" hidden="false" customHeight="false" outlineLevel="0" collapsed="false">
      <c r="A3615" s="12" t="s">
        <v>699</v>
      </c>
      <c r="B3615" s="12" t="n">
        <f aca="false">COUNTIFS(Cleaned!$C$2:$C$125,2,Cleaned!FQ$2:FQ$125,"&lt;&gt;")</f>
        <v>1</v>
      </c>
      <c r="C3615" s="15" t="n">
        <f aca="false">IF(B3615=0,"",AVERAGEIF(Cleaned!$C$2:$C$125,2,Cleaned!FQ$2:FQ$125))</f>
        <v>1</v>
      </c>
    </row>
    <row r="3616" customFormat="false" ht="15" hidden="false" customHeight="false" outlineLevel="0" collapsed="false">
      <c r="A3616" s="12" t="s">
        <v>700</v>
      </c>
      <c r="B3616" s="12" t="n">
        <f aca="false">COUNTIFS(Cleaned!$C$2:$C$125,3,Cleaned!FQ$2:FQ$125,"&lt;&gt;")</f>
        <v>8</v>
      </c>
      <c r="C3616" s="15" t="n">
        <f aca="false">IF(B3616=0,"",AVERAGEIF(Cleaned!$C$2:$C$125,3,Cleaned!FQ$2:FQ$125))</f>
        <v>5.125</v>
      </c>
    </row>
    <row r="3617" customFormat="false" ht="15" hidden="false" customHeight="false" outlineLevel="0" collapsed="false">
      <c r="A3617" s="12" t="s">
        <v>701</v>
      </c>
      <c r="B3617" s="12" t="n">
        <f aca="false">COUNTIFS(Cleaned!$C$2:$C$125,4,Cleaned!FQ$2:FQ$125,"&lt;&gt;")</f>
        <v>8</v>
      </c>
      <c r="C3617" s="15" t="n">
        <f aca="false">IF(B3617=0,"",AVERAGEIF(Cleaned!$C$2:$C$125,4,Cleaned!FQ$2:FQ$125))</f>
        <v>11.5</v>
      </c>
    </row>
    <row r="3618" customFormat="false" ht="15" hidden="false" customHeight="false" outlineLevel="0" collapsed="false">
      <c r="A3618" s="12" t="s">
        <v>702</v>
      </c>
      <c r="B3618" s="12" t="n">
        <f aca="false">COUNTIFS(Cleaned!$C$2:$C$125,5,Cleaned!FQ$2:FQ$125,"&lt;&gt;")</f>
        <v>13</v>
      </c>
      <c r="C3618" s="15" t="n">
        <f aca="false">IF(B3618=0,"",AVERAGEIF(Cleaned!$C$2:$C$125,5,Cleaned!FQ$2:FQ$125))</f>
        <v>16.8461538461538</v>
      </c>
    </row>
    <row r="3619" customFormat="false" ht="15" hidden="false" customHeight="false" outlineLevel="0" collapsed="false">
      <c r="A3619" s="11" t="s">
        <v>3</v>
      </c>
      <c r="B3619" s="9" t="s">
        <v>739</v>
      </c>
      <c r="C3619" s="9" t="s">
        <v>735</v>
      </c>
    </row>
    <row r="3620" customFormat="false" ht="15" hidden="false" customHeight="false" outlineLevel="0" collapsed="false">
      <c r="A3620" s="12" t="s">
        <v>704</v>
      </c>
      <c r="B3620" s="12" t="n">
        <f aca="false">COUNTIFS(Cleaned!$D$2:$D$125,1,Cleaned!FQ$2:FQ$125,"&lt;&gt;")</f>
        <v>6</v>
      </c>
      <c r="C3620" s="15" t="n">
        <f aca="false">IF(B3620=0,"",AVERAGEIF(Cleaned!$D$2:$D$125,1,Cleaned!FQ$2:FQ$125))</f>
        <v>9.16666666666667</v>
      </c>
    </row>
    <row r="3621" customFormat="false" ht="15" hidden="false" customHeight="false" outlineLevel="0" collapsed="false">
      <c r="A3621" s="12" t="s">
        <v>705</v>
      </c>
      <c r="B3621" s="12" t="n">
        <f aca="false">COUNTIFS(Cleaned!$D$2:$D$125,2,Cleaned!FQ$2:FQ$125,"&lt;&gt;")</f>
        <v>7</v>
      </c>
      <c r="C3621" s="15" t="n">
        <f aca="false">IF(B3621=0,"",AVERAGEIF(Cleaned!$D$2:$D$125,2,Cleaned!FQ$2:FQ$125))</f>
        <v>18.5714285714286</v>
      </c>
    </row>
    <row r="3622" customFormat="false" ht="15" hidden="false" customHeight="false" outlineLevel="0" collapsed="false">
      <c r="A3622" s="12" t="s">
        <v>706</v>
      </c>
      <c r="B3622" s="12" t="n">
        <f aca="false">COUNTIFS(Cleaned!$D$2:$D$125,3,Cleaned!FQ$2:FQ$125,"&lt;&gt;")</f>
        <v>3</v>
      </c>
      <c r="C3622" s="15" t="n">
        <f aca="false">IF(B3622=0,"",AVERAGEIF(Cleaned!$D$2:$D$125,3,Cleaned!FQ$2:FQ$125))</f>
        <v>22.6666666666667</v>
      </c>
    </row>
    <row r="3623" customFormat="false" ht="15" hidden="false" customHeight="false" outlineLevel="0" collapsed="false">
      <c r="A3623" s="12" t="s">
        <v>707</v>
      </c>
      <c r="B3623" s="12" t="n">
        <f aca="false">COUNTIFS(Cleaned!$D$2:$D$125,4,Cleaned!FQ$2:FQ$125,"&lt;&gt;")</f>
        <v>4</v>
      </c>
      <c r="C3623" s="15" t="n">
        <f aca="false">IF(B3623=0,"",AVERAGEIF(Cleaned!$D$2:$D$125,4,Cleaned!FQ$2:FQ$125))</f>
        <v>2</v>
      </c>
    </row>
    <row r="3624" customFormat="false" ht="15" hidden="false" customHeight="false" outlineLevel="0" collapsed="false">
      <c r="A3624" s="12" t="s">
        <v>708</v>
      </c>
      <c r="B3624" s="12" t="n">
        <f aca="false">COUNTIFS(Cleaned!$D$2:$D$125,5,Cleaned!FQ$2:FQ$125,"&lt;&gt;")</f>
        <v>1</v>
      </c>
      <c r="C3624" s="15" t="n">
        <f aca="false">IF(B3624=0,"",AVERAGEIF(Cleaned!$D$2:$D$125,5,Cleaned!FQ$2:FQ$125))</f>
        <v>39</v>
      </c>
    </row>
    <row r="3625" customFormat="false" ht="15" hidden="false" customHeight="false" outlineLevel="0" collapsed="false">
      <c r="A3625" s="12" t="s">
        <v>709</v>
      </c>
      <c r="B3625" s="12" t="n">
        <f aca="false">COUNTIFS(Cleaned!$D$2:$D$125,6,Cleaned!FQ$2:FQ$125,"&lt;&gt;")</f>
        <v>2</v>
      </c>
      <c r="C3625" s="15" t="n">
        <f aca="false">IF(B3625=0,"",AVERAGEIF(Cleaned!$D$2:$D$125,6,Cleaned!FQ$2:FQ$125))</f>
        <v>7</v>
      </c>
    </row>
    <row r="3626" customFormat="false" ht="15" hidden="false" customHeight="false" outlineLevel="0" collapsed="false">
      <c r="A3626" s="12" t="s">
        <v>710</v>
      </c>
      <c r="B3626" s="12" t="n">
        <f aca="false">COUNTIFS(Cleaned!$D$2:$D$125,7,Cleaned!FQ$2:FQ$125,"&lt;&gt;")</f>
        <v>4</v>
      </c>
      <c r="C3626" s="15" t="n">
        <f aca="false">IF(B3626=0,"",AVERAGEIF(Cleaned!$D$2:$D$125,7,Cleaned!FQ$2:FQ$125))</f>
        <v>4.75</v>
      </c>
    </row>
    <row r="3627" customFormat="false" ht="15" hidden="false" customHeight="false" outlineLevel="0" collapsed="false">
      <c r="A3627" s="12" t="s">
        <v>711</v>
      </c>
      <c r="B3627" s="12" t="n">
        <f aca="false">COUNTIFS(Cleaned!$D$2:$D$125,8,Cleaned!FQ$2:FQ$125,"&lt;&gt;")</f>
        <v>2</v>
      </c>
      <c r="C3627" s="15" t="n">
        <f aca="false">IF(B3627=0,"",AVERAGEIF(Cleaned!$D$2:$D$125,8,Cleaned!FQ$2:FQ$125))</f>
        <v>6</v>
      </c>
    </row>
    <row r="3628" customFormat="false" ht="15" hidden="false" customHeight="false" outlineLevel="0" collapsed="false">
      <c r="A3628" s="12" t="s">
        <v>712</v>
      </c>
      <c r="B3628" s="12" t="n">
        <f aca="false">COUNTIFS(Cleaned!$D$2:$D$125,9,Cleaned!FQ$2:FQ$125,"&lt;&gt;")</f>
        <v>1</v>
      </c>
      <c r="C3628" s="15" t="n">
        <f aca="false">IF(B3628=0,"",AVERAGEIF(Cleaned!$D$2:$D$125,9,Cleaned!FQ$2:FQ$125))</f>
        <v>1</v>
      </c>
    </row>
    <row r="3629" customFormat="false" ht="15" hidden="false" customHeight="false" outlineLevel="0" collapsed="false">
      <c r="A3629" s="12" t="s">
        <v>713</v>
      </c>
      <c r="B3629" s="12" t="n">
        <f aca="false">COUNTIFS(Cleaned!$D$2:$D$125,10,Cleaned!FQ$2:FQ$125,"&lt;&gt;")</f>
        <v>0</v>
      </c>
      <c r="C3629" s="15" t="str">
        <f aca="false">IF(B3629=0,"",AVERAGEIF(Cleaned!$D$2:$D$125,10,Cleaned!FQ$2:FQ$125))</f>
        <v/>
      </c>
    </row>
    <row r="3630" customFormat="false" ht="15" hidden="false" customHeight="false" outlineLevel="0" collapsed="false">
      <c r="A3630" s="12" t="s">
        <v>714</v>
      </c>
      <c r="B3630" s="12" t="n">
        <f aca="false">COUNTIFS(Cleaned!$D$2:$D$125,11,Cleaned!FQ$2:FQ$125,"&lt;&gt;")</f>
        <v>2</v>
      </c>
      <c r="C3630" s="15" t="n">
        <f aca="false">IF(B3630=0,"",AVERAGEIF(Cleaned!$D$2:$D$125,11,Cleaned!FQ$2:FQ$125))</f>
        <v>7</v>
      </c>
    </row>
    <row r="3631" customFormat="false" ht="15" hidden="false" customHeight="false" outlineLevel="0" collapsed="false">
      <c r="A3631" s="12" t="s">
        <v>715</v>
      </c>
      <c r="B3631" s="12" t="n">
        <f aca="false">COUNTIFS(Cleaned!$D$2:$D$125,12,Cleaned!FQ$2:FQ$125,"&lt;&gt;")</f>
        <v>0</v>
      </c>
      <c r="C3631" s="15" t="str">
        <f aca="false">IF(B3631=0,"",AVERAGEIF(Cleaned!$D$2:$D$125,12,Cleaned!FQ$2:FQ$125))</f>
        <v/>
      </c>
    </row>
    <row r="3634" customFormat="false" ht="15" hidden="false" customHeight="false" outlineLevel="0" collapsed="false">
      <c r="A3634" s="6" t="s">
        <v>163</v>
      </c>
      <c r="B3634" s="7" t="s">
        <v>927</v>
      </c>
    </row>
    <row r="3635" customFormat="false" ht="15" hidden="false" customHeight="false" outlineLevel="0" collapsed="false">
      <c r="A3635" s="8"/>
      <c r="B3635" s="9" t="s">
        <v>372</v>
      </c>
      <c r="C3635" s="8"/>
      <c r="D3635" s="9" t="s">
        <v>539</v>
      </c>
      <c r="E3635" s="8"/>
      <c r="F3635" s="9" t="s">
        <v>851</v>
      </c>
      <c r="G3635" s="8"/>
      <c r="H3635" s="9" t="s">
        <v>676</v>
      </c>
      <c r="I3635" s="8"/>
      <c r="J3635" s="9" t="s">
        <v>928</v>
      </c>
      <c r="K3635" s="8"/>
      <c r="L3635" s="9" t="s">
        <v>929</v>
      </c>
      <c r="M3635" s="8"/>
      <c r="N3635" s="9" t="s">
        <v>414</v>
      </c>
      <c r="O3635" s="8"/>
      <c r="P3635" s="9" t="s">
        <v>930</v>
      </c>
      <c r="Q3635" s="8"/>
      <c r="R3635" s="9" t="s">
        <v>694</v>
      </c>
    </row>
    <row r="3636" customFormat="false" ht="15" hidden="false" customHeight="false" outlineLevel="0" collapsed="false">
      <c r="B3636" s="10" t="s">
        <v>695</v>
      </c>
      <c r="C3636" s="10" t="s">
        <v>696</v>
      </c>
      <c r="D3636" s="10" t="s">
        <v>695</v>
      </c>
      <c r="E3636" s="10" t="s">
        <v>696</v>
      </c>
      <c r="F3636" s="10" t="s">
        <v>695</v>
      </c>
      <c r="G3636" s="10" t="s">
        <v>696</v>
      </c>
      <c r="H3636" s="10" t="s">
        <v>695</v>
      </c>
      <c r="I3636" s="10" t="s">
        <v>696</v>
      </c>
      <c r="J3636" s="10" t="s">
        <v>695</v>
      </c>
      <c r="K3636" s="10" t="s">
        <v>696</v>
      </c>
      <c r="L3636" s="10" t="s">
        <v>695</v>
      </c>
      <c r="M3636" s="10" t="s">
        <v>696</v>
      </c>
      <c r="N3636" s="10" t="s">
        <v>695</v>
      </c>
      <c r="O3636" s="10" t="s">
        <v>696</v>
      </c>
      <c r="P3636" s="10" t="s">
        <v>695</v>
      </c>
      <c r="Q3636" s="10" t="s">
        <v>696</v>
      </c>
    </row>
    <row r="3637" customFormat="false" ht="15" hidden="false" customHeight="false" outlineLevel="0" collapsed="false">
      <c r="A3637" s="11" t="s">
        <v>697</v>
      </c>
    </row>
    <row r="3638" customFormat="false" ht="15" hidden="false" customHeight="false" outlineLevel="0" collapsed="false">
      <c r="A3638" s="12" t="s">
        <v>698</v>
      </c>
      <c r="B3638" s="12" t="n">
        <f aca="false">COUNTIFS(Cleaned!$C$2:$C$125,1,Cleaned!FR$2:FR$125,1)</f>
        <v>1</v>
      </c>
      <c r="C3638" s="13" t="n">
        <f aca="false">IFERROR(B3638/$R3638,"")</f>
        <v>0.5</v>
      </c>
      <c r="D3638" s="12" t="n">
        <f aca="false">COUNTIFS(Cleaned!$C$2:$C$125,1,Cleaned!FR$2:FR$125,2)</f>
        <v>1</v>
      </c>
      <c r="E3638" s="13" t="n">
        <f aca="false">IFERROR(D3638/$R3638,"")</f>
        <v>0.5</v>
      </c>
      <c r="F3638" s="12" t="n">
        <f aca="false">COUNTIFS(Cleaned!$C$2:$C$125,1,Cleaned!FR$2:FR$125,3)</f>
        <v>0</v>
      </c>
      <c r="G3638" s="13" t="n">
        <f aca="false">IFERROR(F3638/$R3638,"")</f>
        <v>0</v>
      </c>
      <c r="H3638" s="12" t="n">
        <f aca="false">COUNTIFS(Cleaned!$C$2:$C$125,1,Cleaned!FR$2:FR$125,4)</f>
        <v>0</v>
      </c>
      <c r="I3638" s="13" t="n">
        <f aca="false">IFERROR(H3638/$R3638,"")</f>
        <v>0</v>
      </c>
      <c r="J3638" s="12" t="n">
        <f aca="false">COUNTIFS(Cleaned!$C$2:$C$125,1,Cleaned!FR$2:FR$125,5)</f>
        <v>0</v>
      </c>
      <c r="K3638" s="13" t="n">
        <f aca="false">IFERROR(J3638/$R3638,"")</f>
        <v>0</v>
      </c>
      <c r="L3638" s="12" t="n">
        <f aca="false">COUNTIFS(Cleaned!$C$2:$C$125,1,Cleaned!FR$2:FR$125,6)</f>
        <v>0</v>
      </c>
      <c r="M3638" s="13" t="n">
        <f aca="false">IFERROR(L3638/$R3638,"")</f>
        <v>0</v>
      </c>
      <c r="N3638" s="12" t="n">
        <f aca="false">COUNTIFS(Cleaned!$C$2:$C$125,1,Cleaned!FR$2:FR$125,7)</f>
        <v>0</v>
      </c>
      <c r="O3638" s="13" t="n">
        <f aca="false">IFERROR(N3638/$R3638,"")</f>
        <v>0</v>
      </c>
      <c r="P3638" s="12" t="n">
        <f aca="false">COUNTIFS(Cleaned!$C$2:$C$125,1,Cleaned!FR$2:FR$125,8)</f>
        <v>0</v>
      </c>
      <c r="Q3638" s="13" t="n">
        <f aca="false">IFERROR(P3638/$R3638,"")</f>
        <v>0</v>
      </c>
      <c r="R3638" s="12" t="n">
        <f aca="false">B3638+D3638+F3638+H3638+J3638+L3638+N3638+P3638</f>
        <v>2</v>
      </c>
    </row>
    <row r="3639" customFormat="false" ht="15" hidden="false" customHeight="false" outlineLevel="0" collapsed="false">
      <c r="A3639" s="12" t="s">
        <v>699</v>
      </c>
      <c r="B3639" s="12" t="n">
        <f aca="false">COUNTIFS(Cleaned!$C$2:$C$125,2,Cleaned!FR$2:FR$125,1)</f>
        <v>0</v>
      </c>
      <c r="C3639" s="13" t="n">
        <f aca="false">IFERROR(B3639/$R3639,"")</f>
        <v>0</v>
      </c>
      <c r="D3639" s="12" t="n">
        <f aca="false">COUNTIFS(Cleaned!$C$2:$C$125,2,Cleaned!FR$2:FR$125,2)</f>
        <v>1</v>
      </c>
      <c r="E3639" s="13" t="n">
        <f aca="false">IFERROR(D3639/$R3639,"")</f>
        <v>1</v>
      </c>
      <c r="F3639" s="12" t="n">
        <f aca="false">COUNTIFS(Cleaned!$C$2:$C$125,2,Cleaned!FR$2:FR$125,3)</f>
        <v>0</v>
      </c>
      <c r="G3639" s="13" t="n">
        <f aca="false">IFERROR(F3639/$R3639,"")</f>
        <v>0</v>
      </c>
      <c r="H3639" s="12" t="n">
        <f aca="false">COUNTIFS(Cleaned!$C$2:$C$125,2,Cleaned!FR$2:FR$125,4)</f>
        <v>0</v>
      </c>
      <c r="I3639" s="13" t="n">
        <f aca="false">IFERROR(H3639/$R3639,"")</f>
        <v>0</v>
      </c>
      <c r="J3639" s="12" t="n">
        <f aca="false">COUNTIFS(Cleaned!$C$2:$C$125,2,Cleaned!FR$2:FR$125,5)</f>
        <v>0</v>
      </c>
      <c r="K3639" s="13" t="n">
        <f aca="false">IFERROR(J3639/$R3639,"")</f>
        <v>0</v>
      </c>
      <c r="L3639" s="12" t="n">
        <f aca="false">COUNTIFS(Cleaned!$C$2:$C$125,2,Cleaned!FR$2:FR$125,6)</f>
        <v>0</v>
      </c>
      <c r="M3639" s="13" t="n">
        <f aca="false">IFERROR(L3639/$R3639,"")</f>
        <v>0</v>
      </c>
      <c r="N3639" s="12" t="n">
        <f aca="false">COUNTIFS(Cleaned!$C$2:$C$125,2,Cleaned!FR$2:FR$125,7)</f>
        <v>0</v>
      </c>
      <c r="O3639" s="13" t="n">
        <f aca="false">IFERROR(N3639/$R3639,"")</f>
        <v>0</v>
      </c>
      <c r="P3639" s="12" t="n">
        <f aca="false">COUNTIFS(Cleaned!$C$2:$C$125,2,Cleaned!FR$2:FR$125,8)</f>
        <v>0</v>
      </c>
      <c r="Q3639" s="13" t="n">
        <f aca="false">IFERROR(P3639/$R3639,"")</f>
        <v>0</v>
      </c>
      <c r="R3639" s="12" t="n">
        <f aca="false">B3639+D3639+F3639+H3639+J3639+L3639+N3639+P3639</f>
        <v>1</v>
      </c>
    </row>
    <row r="3640" customFormat="false" ht="15" hidden="false" customHeight="false" outlineLevel="0" collapsed="false">
      <c r="A3640" s="12" t="s">
        <v>700</v>
      </c>
      <c r="B3640" s="12" t="n">
        <f aca="false">COUNTIFS(Cleaned!$C$2:$C$125,3,Cleaned!FR$2:FR$125,1)</f>
        <v>1</v>
      </c>
      <c r="C3640" s="13" t="n">
        <f aca="false">IFERROR(B3640/$R3640,"")</f>
        <v>0.111111111111111</v>
      </c>
      <c r="D3640" s="12" t="n">
        <f aca="false">COUNTIFS(Cleaned!$C$2:$C$125,3,Cleaned!FR$2:FR$125,2)</f>
        <v>8</v>
      </c>
      <c r="E3640" s="13" t="n">
        <f aca="false">IFERROR(D3640/$R3640,"")</f>
        <v>0.888888888888889</v>
      </c>
      <c r="F3640" s="12" t="n">
        <f aca="false">COUNTIFS(Cleaned!$C$2:$C$125,3,Cleaned!FR$2:FR$125,3)</f>
        <v>0</v>
      </c>
      <c r="G3640" s="13" t="n">
        <f aca="false">IFERROR(F3640/$R3640,"")</f>
        <v>0</v>
      </c>
      <c r="H3640" s="12" t="n">
        <f aca="false">COUNTIFS(Cleaned!$C$2:$C$125,3,Cleaned!FR$2:FR$125,4)</f>
        <v>0</v>
      </c>
      <c r="I3640" s="13" t="n">
        <f aca="false">IFERROR(H3640/$R3640,"")</f>
        <v>0</v>
      </c>
      <c r="J3640" s="12" t="n">
        <f aca="false">COUNTIFS(Cleaned!$C$2:$C$125,3,Cleaned!FR$2:FR$125,5)</f>
        <v>0</v>
      </c>
      <c r="K3640" s="13" t="n">
        <f aca="false">IFERROR(J3640/$R3640,"")</f>
        <v>0</v>
      </c>
      <c r="L3640" s="12" t="n">
        <f aca="false">COUNTIFS(Cleaned!$C$2:$C$125,3,Cleaned!FR$2:FR$125,6)</f>
        <v>0</v>
      </c>
      <c r="M3640" s="13" t="n">
        <f aca="false">IFERROR(L3640/$R3640,"")</f>
        <v>0</v>
      </c>
      <c r="N3640" s="12" t="n">
        <f aca="false">COUNTIFS(Cleaned!$C$2:$C$125,3,Cleaned!FR$2:FR$125,7)</f>
        <v>0</v>
      </c>
      <c r="O3640" s="13" t="n">
        <f aca="false">IFERROR(N3640/$R3640,"")</f>
        <v>0</v>
      </c>
      <c r="P3640" s="12" t="n">
        <f aca="false">COUNTIFS(Cleaned!$C$2:$C$125,3,Cleaned!FR$2:FR$125,8)</f>
        <v>0</v>
      </c>
      <c r="Q3640" s="13" t="n">
        <f aca="false">IFERROR(P3640/$R3640,"")</f>
        <v>0</v>
      </c>
      <c r="R3640" s="12" t="n">
        <f aca="false">B3640+D3640+F3640+H3640+J3640+L3640+N3640+P3640</f>
        <v>9</v>
      </c>
    </row>
    <row r="3641" customFormat="false" ht="15" hidden="false" customHeight="false" outlineLevel="0" collapsed="false">
      <c r="A3641" s="12" t="s">
        <v>701</v>
      </c>
      <c r="B3641" s="12" t="n">
        <f aca="false">COUNTIFS(Cleaned!$C$2:$C$125,4,Cleaned!FR$2:FR$125,1)</f>
        <v>0</v>
      </c>
      <c r="C3641" s="13" t="n">
        <f aca="false">IFERROR(B3641/$R3641,"")</f>
        <v>0</v>
      </c>
      <c r="D3641" s="12" t="n">
        <f aca="false">COUNTIFS(Cleaned!$C$2:$C$125,4,Cleaned!FR$2:FR$125,2)</f>
        <v>8</v>
      </c>
      <c r="E3641" s="13" t="n">
        <f aca="false">IFERROR(D3641/$R3641,"")</f>
        <v>0.888888888888889</v>
      </c>
      <c r="F3641" s="12" t="n">
        <f aca="false">COUNTIFS(Cleaned!$C$2:$C$125,4,Cleaned!FR$2:FR$125,3)</f>
        <v>0</v>
      </c>
      <c r="G3641" s="13" t="n">
        <f aca="false">IFERROR(F3641/$R3641,"")</f>
        <v>0</v>
      </c>
      <c r="H3641" s="12" t="n">
        <f aca="false">COUNTIFS(Cleaned!$C$2:$C$125,4,Cleaned!FR$2:FR$125,4)</f>
        <v>0</v>
      </c>
      <c r="I3641" s="13" t="n">
        <f aca="false">IFERROR(H3641/$R3641,"")</f>
        <v>0</v>
      </c>
      <c r="J3641" s="12" t="n">
        <f aca="false">COUNTIFS(Cleaned!$C$2:$C$125,4,Cleaned!FR$2:FR$125,5)</f>
        <v>0</v>
      </c>
      <c r="K3641" s="13" t="n">
        <f aca="false">IFERROR(J3641/$R3641,"")</f>
        <v>0</v>
      </c>
      <c r="L3641" s="12" t="n">
        <f aca="false">COUNTIFS(Cleaned!$C$2:$C$125,4,Cleaned!FR$2:FR$125,6)</f>
        <v>1</v>
      </c>
      <c r="M3641" s="13" t="n">
        <f aca="false">IFERROR(L3641/$R3641,"")</f>
        <v>0.111111111111111</v>
      </c>
      <c r="N3641" s="12" t="n">
        <f aca="false">COUNTIFS(Cleaned!$C$2:$C$125,4,Cleaned!FR$2:FR$125,7)</f>
        <v>0</v>
      </c>
      <c r="O3641" s="13" t="n">
        <f aca="false">IFERROR(N3641/$R3641,"")</f>
        <v>0</v>
      </c>
      <c r="P3641" s="12" t="n">
        <f aca="false">COUNTIFS(Cleaned!$C$2:$C$125,4,Cleaned!FR$2:FR$125,8)</f>
        <v>0</v>
      </c>
      <c r="Q3641" s="13" t="n">
        <f aca="false">IFERROR(P3641/$R3641,"")</f>
        <v>0</v>
      </c>
      <c r="R3641" s="12" t="n">
        <f aca="false">B3641+D3641+F3641+H3641+J3641+L3641+N3641+P3641</f>
        <v>9</v>
      </c>
    </row>
    <row r="3642" customFormat="false" ht="15" hidden="false" customHeight="false" outlineLevel="0" collapsed="false">
      <c r="A3642" s="12" t="s">
        <v>702</v>
      </c>
      <c r="B3642" s="12" t="n">
        <f aca="false">COUNTIFS(Cleaned!$C$2:$C$125,5,Cleaned!FR$2:FR$125,1)</f>
        <v>2</v>
      </c>
      <c r="C3642" s="13" t="n">
        <f aca="false">IFERROR(B3642/$R3642,"")</f>
        <v>0.125</v>
      </c>
      <c r="D3642" s="12" t="n">
        <f aca="false">COUNTIFS(Cleaned!$C$2:$C$125,5,Cleaned!FR$2:FR$125,2)</f>
        <v>7</v>
      </c>
      <c r="E3642" s="13" t="n">
        <f aca="false">IFERROR(D3642/$R3642,"")</f>
        <v>0.4375</v>
      </c>
      <c r="F3642" s="12" t="n">
        <f aca="false">COUNTIFS(Cleaned!$C$2:$C$125,5,Cleaned!FR$2:FR$125,3)</f>
        <v>3</v>
      </c>
      <c r="G3642" s="13" t="n">
        <f aca="false">IFERROR(F3642/$R3642,"")</f>
        <v>0.1875</v>
      </c>
      <c r="H3642" s="12" t="n">
        <f aca="false">COUNTIFS(Cleaned!$C$2:$C$125,5,Cleaned!FR$2:FR$125,4)</f>
        <v>1</v>
      </c>
      <c r="I3642" s="13" t="n">
        <f aca="false">IFERROR(H3642/$R3642,"")</f>
        <v>0.0625</v>
      </c>
      <c r="J3642" s="12" t="n">
        <f aca="false">COUNTIFS(Cleaned!$C$2:$C$125,5,Cleaned!FR$2:FR$125,5)</f>
        <v>1</v>
      </c>
      <c r="K3642" s="13" t="n">
        <f aca="false">IFERROR(J3642/$R3642,"")</f>
        <v>0.0625</v>
      </c>
      <c r="L3642" s="12" t="n">
        <f aca="false">COUNTIFS(Cleaned!$C$2:$C$125,5,Cleaned!FR$2:FR$125,6)</f>
        <v>0</v>
      </c>
      <c r="M3642" s="13" t="n">
        <f aca="false">IFERROR(L3642/$R3642,"")</f>
        <v>0</v>
      </c>
      <c r="N3642" s="12" t="n">
        <f aca="false">COUNTIFS(Cleaned!$C$2:$C$125,5,Cleaned!FR$2:FR$125,7)</f>
        <v>1</v>
      </c>
      <c r="O3642" s="13" t="n">
        <f aca="false">IFERROR(N3642/$R3642,"")</f>
        <v>0.0625</v>
      </c>
      <c r="P3642" s="12" t="n">
        <f aca="false">COUNTIFS(Cleaned!$C$2:$C$125,5,Cleaned!FR$2:FR$125,8)</f>
        <v>1</v>
      </c>
      <c r="Q3642" s="13" t="n">
        <f aca="false">IFERROR(P3642/$R3642,"")</f>
        <v>0.0625</v>
      </c>
      <c r="R3642" s="12" t="n">
        <f aca="false">B3642+D3642+F3642+H3642+J3642+L3642+N3642+P3642</f>
        <v>16</v>
      </c>
    </row>
    <row r="3643" customFormat="false" ht="15" hidden="false" customHeight="false" outlineLevel="0" collapsed="false">
      <c r="A3643" s="11" t="s">
        <v>703</v>
      </c>
      <c r="B3643" s="11" t="n">
        <f aca="false">SUM(B3638:B3642)</f>
        <v>4</v>
      </c>
      <c r="C3643" s="14" t="n">
        <f aca="false">IFERROR(B3643/$R3643,"")</f>
        <v>0.108108108108108</v>
      </c>
      <c r="D3643" s="11" t="n">
        <f aca="false">SUM(D3638:D3642)</f>
        <v>25</v>
      </c>
      <c r="E3643" s="14" t="n">
        <f aca="false">IFERROR(D3643/$R3643,"")</f>
        <v>0.675675675675676</v>
      </c>
      <c r="F3643" s="11" t="n">
        <f aca="false">SUM(F3638:F3642)</f>
        <v>3</v>
      </c>
      <c r="G3643" s="14" t="n">
        <f aca="false">IFERROR(F3643/$R3643,"")</f>
        <v>0.0810810810810811</v>
      </c>
      <c r="H3643" s="11" t="n">
        <f aca="false">SUM(H3638:H3642)</f>
        <v>1</v>
      </c>
      <c r="I3643" s="14" t="n">
        <f aca="false">IFERROR(H3643/$R3643,"")</f>
        <v>0.027027027027027</v>
      </c>
      <c r="J3643" s="11" t="n">
        <f aca="false">SUM(J3638:J3642)</f>
        <v>1</v>
      </c>
      <c r="K3643" s="14" t="n">
        <f aca="false">IFERROR(J3643/$R3643,"")</f>
        <v>0.027027027027027</v>
      </c>
      <c r="L3643" s="11" t="n">
        <f aca="false">SUM(L3638:L3642)</f>
        <v>1</v>
      </c>
      <c r="M3643" s="14" t="n">
        <f aca="false">IFERROR(L3643/$R3643,"")</f>
        <v>0.027027027027027</v>
      </c>
      <c r="N3643" s="11" t="n">
        <f aca="false">SUM(N3638:N3642)</f>
        <v>1</v>
      </c>
      <c r="O3643" s="14" t="n">
        <f aca="false">IFERROR(N3643/$R3643,"")</f>
        <v>0.027027027027027</v>
      </c>
      <c r="P3643" s="11" t="n">
        <f aca="false">SUM(P3638:P3642)</f>
        <v>1</v>
      </c>
      <c r="Q3643" s="14" t="n">
        <f aca="false">IFERROR(P3643/$R3643,"")</f>
        <v>0.027027027027027</v>
      </c>
      <c r="R3643" s="11" t="n">
        <f aca="false">SUM(R3638:R3642)</f>
        <v>37</v>
      </c>
    </row>
    <row r="3644" customFormat="false" ht="15" hidden="false" customHeight="false" outlineLevel="0" collapsed="false">
      <c r="A3644" s="11" t="s">
        <v>3</v>
      </c>
    </row>
    <row r="3645" customFormat="false" ht="15" hidden="false" customHeight="false" outlineLevel="0" collapsed="false">
      <c r="A3645" s="12" t="s">
        <v>704</v>
      </c>
      <c r="B3645" s="12" t="n">
        <f aca="false">COUNTIFS(Cleaned!$D$2:$D$125,1,Cleaned!FR$2:FR$125,1)</f>
        <v>1</v>
      </c>
      <c r="C3645" s="13" t="n">
        <f aca="false">IFERROR(B3645/$R3645,"")</f>
        <v>0.166666666666667</v>
      </c>
      <c r="D3645" s="12" t="n">
        <f aca="false">COUNTIFS(Cleaned!$D$2:$D$125,1,Cleaned!FR$2:FR$125,2)</f>
        <v>4</v>
      </c>
      <c r="E3645" s="13" t="n">
        <f aca="false">IFERROR(D3645/$R3645,"")</f>
        <v>0.666666666666667</v>
      </c>
      <c r="F3645" s="12" t="n">
        <f aca="false">COUNTIFS(Cleaned!$D$2:$D$125,1,Cleaned!FR$2:FR$125,3)</f>
        <v>0</v>
      </c>
      <c r="G3645" s="13" t="n">
        <f aca="false">IFERROR(F3645/$R3645,"")</f>
        <v>0</v>
      </c>
      <c r="H3645" s="12" t="n">
        <f aca="false">COUNTIFS(Cleaned!$D$2:$D$125,1,Cleaned!FR$2:FR$125,4)</f>
        <v>0</v>
      </c>
      <c r="I3645" s="13" t="n">
        <f aca="false">IFERROR(H3645/$R3645,"")</f>
        <v>0</v>
      </c>
      <c r="J3645" s="12" t="n">
        <f aca="false">COUNTIFS(Cleaned!$D$2:$D$125,1,Cleaned!FR$2:FR$125,5)</f>
        <v>0</v>
      </c>
      <c r="K3645" s="13" t="n">
        <f aca="false">IFERROR(J3645/$R3645,"")</f>
        <v>0</v>
      </c>
      <c r="L3645" s="12" t="n">
        <f aca="false">COUNTIFS(Cleaned!$D$2:$D$125,1,Cleaned!FR$2:FR$125,6)</f>
        <v>1</v>
      </c>
      <c r="M3645" s="13" t="n">
        <f aca="false">IFERROR(L3645/$R3645,"")</f>
        <v>0.166666666666667</v>
      </c>
      <c r="N3645" s="12" t="n">
        <f aca="false">COUNTIFS(Cleaned!$D$2:$D$125,1,Cleaned!FR$2:FR$125,7)</f>
        <v>0</v>
      </c>
      <c r="O3645" s="13" t="n">
        <f aca="false">IFERROR(N3645/$R3645,"")</f>
        <v>0</v>
      </c>
      <c r="P3645" s="12" t="n">
        <f aca="false">COUNTIFS(Cleaned!$D$2:$D$125,1,Cleaned!FR$2:FR$125,8)</f>
        <v>0</v>
      </c>
      <c r="Q3645" s="13" t="n">
        <f aca="false">IFERROR(P3645/$R3645,"")</f>
        <v>0</v>
      </c>
      <c r="R3645" s="12" t="n">
        <f aca="false">B3645+D3645+F3645+H3645+J3645+L3645+N3645+P3645</f>
        <v>6</v>
      </c>
    </row>
    <row r="3646" customFormat="false" ht="15" hidden="false" customHeight="false" outlineLevel="0" collapsed="false">
      <c r="A3646" s="12" t="s">
        <v>705</v>
      </c>
      <c r="B3646" s="12" t="n">
        <f aca="false">COUNTIFS(Cleaned!$D$2:$D$125,2,Cleaned!FR$2:FR$125,1)</f>
        <v>2</v>
      </c>
      <c r="C3646" s="13" t="n">
        <f aca="false">IFERROR(B3646/$R3646,"")</f>
        <v>0.2</v>
      </c>
      <c r="D3646" s="12" t="n">
        <f aca="false">COUNTIFS(Cleaned!$D$2:$D$125,2,Cleaned!FR$2:FR$125,2)</f>
        <v>3</v>
      </c>
      <c r="E3646" s="13" t="n">
        <f aca="false">IFERROR(D3646/$R3646,"")</f>
        <v>0.3</v>
      </c>
      <c r="F3646" s="12" t="n">
        <f aca="false">COUNTIFS(Cleaned!$D$2:$D$125,2,Cleaned!FR$2:FR$125,3)</f>
        <v>1</v>
      </c>
      <c r="G3646" s="13" t="n">
        <f aca="false">IFERROR(F3646/$R3646,"")</f>
        <v>0.1</v>
      </c>
      <c r="H3646" s="12" t="n">
        <f aca="false">COUNTIFS(Cleaned!$D$2:$D$125,2,Cleaned!FR$2:FR$125,4)</f>
        <v>1</v>
      </c>
      <c r="I3646" s="13" t="n">
        <f aca="false">IFERROR(H3646/$R3646,"")</f>
        <v>0.1</v>
      </c>
      <c r="J3646" s="12" t="n">
        <f aca="false">COUNTIFS(Cleaned!$D$2:$D$125,2,Cleaned!FR$2:FR$125,5)</f>
        <v>1</v>
      </c>
      <c r="K3646" s="13" t="n">
        <f aca="false">IFERROR(J3646/$R3646,"")</f>
        <v>0.1</v>
      </c>
      <c r="L3646" s="12" t="n">
        <f aca="false">COUNTIFS(Cleaned!$D$2:$D$125,2,Cleaned!FR$2:FR$125,6)</f>
        <v>0</v>
      </c>
      <c r="M3646" s="13" t="n">
        <f aca="false">IFERROR(L3646/$R3646,"")</f>
        <v>0</v>
      </c>
      <c r="N3646" s="12" t="n">
        <f aca="false">COUNTIFS(Cleaned!$D$2:$D$125,2,Cleaned!FR$2:FR$125,7)</f>
        <v>1</v>
      </c>
      <c r="O3646" s="13" t="n">
        <f aca="false">IFERROR(N3646/$R3646,"")</f>
        <v>0.1</v>
      </c>
      <c r="P3646" s="12" t="n">
        <f aca="false">COUNTIFS(Cleaned!$D$2:$D$125,2,Cleaned!FR$2:FR$125,8)</f>
        <v>1</v>
      </c>
      <c r="Q3646" s="13" t="n">
        <f aca="false">IFERROR(P3646/$R3646,"")</f>
        <v>0.1</v>
      </c>
      <c r="R3646" s="12" t="n">
        <f aca="false">B3646+D3646+F3646+H3646+J3646+L3646+N3646+P3646</f>
        <v>10</v>
      </c>
    </row>
    <row r="3647" customFormat="false" ht="15" hidden="false" customHeight="false" outlineLevel="0" collapsed="false">
      <c r="A3647" s="12" t="s">
        <v>706</v>
      </c>
      <c r="B3647" s="12" t="n">
        <f aca="false">COUNTIFS(Cleaned!$D$2:$D$125,3,Cleaned!FR$2:FR$125,1)</f>
        <v>0</v>
      </c>
      <c r="C3647" s="13" t="n">
        <f aca="false">IFERROR(B3647/$R3647,"")</f>
        <v>0</v>
      </c>
      <c r="D3647" s="12" t="n">
        <f aca="false">COUNTIFS(Cleaned!$D$2:$D$125,3,Cleaned!FR$2:FR$125,2)</f>
        <v>3</v>
      </c>
      <c r="E3647" s="13" t="n">
        <f aca="false">IFERROR(D3647/$R3647,"")</f>
        <v>0.6</v>
      </c>
      <c r="F3647" s="12" t="n">
        <f aca="false">COUNTIFS(Cleaned!$D$2:$D$125,3,Cleaned!FR$2:FR$125,3)</f>
        <v>2</v>
      </c>
      <c r="G3647" s="13" t="n">
        <f aca="false">IFERROR(F3647/$R3647,"")</f>
        <v>0.4</v>
      </c>
      <c r="H3647" s="12" t="n">
        <f aca="false">COUNTIFS(Cleaned!$D$2:$D$125,3,Cleaned!FR$2:FR$125,4)</f>
        <v>0</v>
      </c>
      <c r="I3647" s="13" t="n">
        <f aca="false">IFERROR(H3647/$R3647,"")</f>
        <v>0</v>
      </c>
      <c r="J3647" s="12" t="n">
        <f aca="false">COUNTIFS(Cleaned!$D$2:$D$125,3,Cleaned!FR$2:FR$125,5)</f>
        <v>0</v>
      </c>
      <c r="K3647" s="13" t="n">
        <f aca="false">IFERROR(J3647/$R3647,"")</f>
        <v>0</v>
      </c>
      <c r="L3647" s="12" t="n">
        <f aca="false">COUNTIFS(Cleaned!$D$2:$D$125,3,Cleaned!FR$2:FR$125,6)</f>
        <v>0</v>
      </c>
      <c r="M3647" s="13" t="n">
        <f aca="false">IFERROR(L3647/$R3647,"")</f>
        <v>0</v>
      </c>
      <c r="N3647" s="12" t="n">
        <f aca="false">COUNTIFS(Cleaned!$D$2:$D$125,3,Cleaned!FR$2:FR$125,7)</f>
        <v>0</v>
      </c>
      <c r="O3647" s="13" t="n">
        <f aca="false">IFERROR(N3647/$R3647,"")</f>
        <v>0</v>
      </c>
      <c r="P3647" s="12" t="n">
        <f aca="false">COUNTIFS(Cleaned!$D$2:$D$125,3,Cleaned!FR$2:FR$125,8)</f>
        <v>0</v>
      </c>
      <c r="Q3647" s="13" t="n">
        <f aca="false">IFERROR(P3647/$R3647,"")</f>
        <v>0</v>
      </c>
      <c r="R3647" s="12" t="n">
        <f aca="false">B3647+D3647+F3647+H3647+J3647+L3647+N3647+P3647</f>
        <v>5</v>
      </c>
    </row>
    <row r="3648" customFormat="false" ht="15" hidden="false" customHeight="false" outlineLevel="0" collapsed="false">
      <c r="A3648" s="12" t="s">
        <v>707</v>
      </c>
      <c r="B3648" s="12" t="n">
        <f aca="false">COUNTIFS(Cleaned!$D$2:$D$125,4,Cleaned!FR$2:FR$125,1)</f>
        <v>0</v>
      </c>
      <c r="C3648" s="13" t="n">
        <f aca="false">IFERROR(B3648/$R3648,"")</f>
        <v>0</v>
      </c>
      <c r="D3648" s="12" t="n">
        <f aca="false">COUNTIFS(Cleaned!$D$2:$D$125,4,Cleaned!FR$2:FR$125,2)</f>
        <v>4</v>
      </c>
      <c r="E3648" s="13" t="n">
        <f aca="false">IFERROR(D3648/$R3648,"")</f>
        <v>1</v>
      </c>
      <c r="F3648" s="12" t="n">
        <f aca="false">COUNTIFS(Cleaned!$D$2:$D$125,4,Cleaned!FR$2:FR$125,3)</f>
        <v>0</v>
      </c>
      <c r="G3648" s="13" t="n">
        <f aca="false">IFERROR(F3648/$R3648,"")</f>
        <v>0</v>
      </c>
      <c r="H3648" s="12" t="n">
        <f aca="false">COUNTIFS(Cleaned!$D$2:$D$125,4,Cleaned!FR$2:FR$125,4)</f>
        <v>0</v>
      </c>
      <c r="I3648" s="13" t="n">
        <f aca="false">IFERROR(H3648/$R3648,"")</f>
        <v>0</v>
      </c>
      <c r="J3648" s="12" t="n">
        <f aca="false">COUNTIFS(Cleaned!$D$2:$D$125,4,Cleaned!FR$2:FR$125,5)</f>
        <v>0</v>
      </c>
      <c r="K3648" s="13" t="n">
        <f aca="false">IFERROR(J3648/$R3648,"")</f>
        <v>0</v>
      </c>
      <c r="L3648" s="12" t="n">
        <f aca="false">COUNTIFS(Cleaned!$D$2:$D$125,4,Cleaned!FR$2:FR$125,6)</f>
        <v>0</v>
      </c>
      <c r="M3648" s="13" t="n">
        <f aca="false">IFERROR(L3648/$R3648,"")</f>
        <v>0</v>
      </c>
      <c r="N3648" s="12" t="n">
        <f aca="false">COUNTIFS(Cleaned!$D$2:$D$125,4,Cleaned!FR$2:FR$125,7)</f>
        <v>0</v>
      </c>
      <c r="O3648" s="13" t="n">
        <f aca="false">IFERROR(N3648/$R3648,"")</f>
        <v>0</v>
      </c>
      <c r="P3648" s="12" t="n">
        <f aca="false">COUNTIFS(Cleaned!$D$2:$D$125,4,Cleaned!FR$2:FR$125,8)</f>
        <v>0</v>
      </c>
      <c r="Q3648" s="13" t="n">
        <f aca="false">IFERROR(P3648/$R3648,"")</f>
        <v>0</v>
      </c>
      <c r="R3648" s="12" t="n">
        <f aca="false">B3648+D3648+F3648+H3648+J3648+L3648+N3648+P3648</f>
        <v>4</v>
      </c>
    </row>
    <row r="3649" customFormat="false" ht="15" hidden="false" customHeight="false" outlineLevel="0" collapsed="false">
      <c r="A3649" s="12" t="s">
        <v>708</v>
      </c>
      <c r="B3649" s="12" t="n">
        <f aca="false">COUNTIFS(Cleaned!$D$2:$D$125,5,Cleaned!FR$2:FR$125,1)</f>
        <v>0</v>
      </c>
      <c r="C3649" s="13" t="n">
        <f aca="false">IFERROR(B3649/$R3649,"")</f>
        <v>0</v>
      </c>
      <c r="D3649" s="12" t="n">
        <f aca="false">COUNTIFS(Cleaned!$D$2:$D$125,5,Cleaned!FR$2:FR$125,2)</f>
        <v>1</v>
      </c>
      <c r="E3649" s="13" t="n">
        <f aca="false">IFERROR(D3649/$R3649,"")</f>
        <v>1</v>
      </c>
      <c r="F3649" s="12" t="n">
        <f aca="false">COUNTIFS(Cleaned!$D$2:$D$125,5,Cleaned!FR$2:FR$125,3)</f>
        <v>0</v>
      </c>
      <c r="G3649" s="13" t="n">
        <f aca="false">IFERROR(F3649/$R3649,"")</f>
        <v>0</v>
      </c>
      <c r="H3649" s="12" t="n">
        <f aca="false">COUNTIFS(Cleaned!$D$2:$D$125,5,Cleaned!FR$2:FR$125,4)</f>
        <v>0</v>
      </c>
      <c r="I3649" s="13" t="n">
        <f aca="false">IFERROR(H3649/$R3649,"")</f>
        <v>0</v>
      </c>
      <c r="J3649" s="12" t="n">
        <f aca="false">COUNTIFS(Cleaned!$D$2:$D$125,5,Cleaned!FR$2:FR$125,5)</f>
        <v>0</v>
      </c>
      <c r="K3649" s="13" t="n">
        <f aca="false">IFERROR(J3649/$R3649,"")</f>
        <v>0</v>
      </c>
      <c r="L3649" s="12" t="n">
        <f aca="false">COUNTIFS(Cleaned!$D$2:$D$125,5,Cleaned!FR$2:FR$125,6)</f>
        <v>0</v>
      </c>
      <c r="M3649" s="13" t="n">
        <f aca="false">IFERROR(L3649/$R3649,"")</f>
        <v>0</v>
      </c>
      <c r="N3649" s="12" t="n">
        <f aca="false">COUNTIFS(Cleaned!$D$2:$D$125,5,Cleaned!FR$2:FR$125,7)</f>
        <v>0</v>
      </c>
      <c r="O3649" s="13" t="n">
        <f aca="false">IFERROR(N3649/$R3649,"")</f>
        <v>0</v>
      </c>
      <c r="P3649" s="12" t="n">
        <f aca="false">COUNTIFS(Cleaned!$D$2:$D$125,5,Cleaned!FR$2:FR$125,8)</f>
        <v>0</v>
      </c>
      <c r="Q3649" s="13" t="n">
        <f aca="false">IFERROR(P3649/$R3649,"")</f>
        <v>0</v>
      </c>
      <c r="R3649" s="12" t="n">
        <f aca="false">B3649+D3649+F3649+H3649+J3649+L3649+N3649+P3649</f>
        <v>1</v>
      </c>
    </row>
    <row r="3650" customFormat="false" ht="15" hidden="false" customHeight="false" outlineLevel="0" collapsed="false">
      <c r="A3650" s="12" t="s">
        <v>709</v>
      </c>
      <c r="B3650" s="12" t="n">
        <f aca="false">COUNTIFS(Cleaned!$D$2:$D$125,6,Cleaned!FR$2:FR$125,1)</f>
        <v>0</v>
      </c>
      <c r="C3650" s="13" t="n">
        <f aca="false">IFERROR(B3650/$R3650,"")</f>
        <v>0</v>
      </c>
      <c r="D3650" s="12" t="n">
        <f aca="false">COUNTIFS(Cleaned!$D$2:$D$125,6,Cleaned!FR$2:FR$125,2)</f>
        <v>2</v>
      </c>
      <c r="E3650" s="13" t="n">
        <f aca="false">IFERROR(D3650/$R3650,"")</f>
        <v>1</v>
      </c>
      <c r="F3650" s="12" t="n">
        <f aca="false">COUNTIFS(Cleaned!$D$2:$D$125,6,Cleaned!FR$2:FR$125,3)</f>
        <v>0</v>
      </c>
      <c r="G3650" s="13" t="n">
        <f aca="false">IFERROR(F3650/$R3650,"")</f>
        <v>0</v>
      </c>
      <c r="H3650" s="12" t="n">
        <f aca="false">COUNTIFS(Cleaned!$D$2:$D$125,6,Cleaned!FR$2:FR$125,4)</f>
        <v>0</v>
      </c>
      <c r="I3650" s="13" t="n">
        <f aca="false">IFERROR(H3650/$R3650,"")</f>
        <v>0</v>
      </c>
      <c r="J3650" s="12" t="n">
        <f aca="false">COUNTIFS(Cleaned!$D$2:$D$125,6,Cleaned!FR$2:FR$125,5)</f>
        <v>0</v>
      </c>
      <c r="K3650" s="13" t="n">
        <f aca="false">IFERROR(J3650/$R3650,"")</f>
        <v>0</v>
      </c>
      <c r="L3650" s="12" t="n">
        <f aca="false">COUNTIFS(Cleaned!$D$2:$D$125,6,Cleaned!FR$2:FR$125,6)</f>
        <v>0</v>
      </c>
      <c r="M3650" s="13" t="n">
        <f aca="false">IFERROR(L3650/$R3650,"")</f>
        <v>0</v>
      </c>
      <c r="N3650" s="12" t="n">
        <f aca="false">COUNTIFS(Cleaned!$D$2:$D$125,6,Cleaned!FR$2:FR$125,7)</f>
        <v>0</v>
      </c>
      <c r="O3650" s="13" t="n">
        <f aca="false">IFERROR(N3650/$R3650,"")</f>
        <v>0</v>
      </c>
      <c r="P3650" s="12" t="n">
        <f aca="false">COUNTIFS(Cleaned!$D$2:$D$125,6,Cleaned!FR$2:FR$125,8)</f>
        <v>0</v>
      </c>
      <c r="Q3650" s="13" t="n">
        <f aca="false">IFERROR(P3650/$R3650,"")</f>
        <v>0</v>
      </c>
      <c r="R3650" s="12" t="n">
        <f aca="false">B3650+D3650+F3650+H3650+J3650+L3650+N3650+P3650</f>
        <v>2</v>
      </c>
    </row>
    <row r="3651" customFormat="false" ht="15" hidden="false" customHeight="false" outlineLevel="0" collapsed="false">
      <c r="A3651" s="12" t="s">
        <v>710</v>
      </c>
      <c r="B3651" s="12" t="n">
        <f aca="false">COUNTIFS(Cleaned!$D$2:$D$125,7,Cleaned!FR$2:FR$125,1)</f>
        <v>0</v>
      </c>
      <c r="C3651" s="13" t="n">
        <f aca="false">IFERROR(B3651/$R3651,"")</f>
        <v>0</v>
      </c>
      <c r="D3651" s="12" t="n">
        <f aca="false">COUNTIFS(Cleaned!$D$2:$D$125,7,Cleaned!FR$2:FR$125,2)</f>
        <v>4</v>
      </c>
      <c r="E3651" s="13" t="n">
        <f aca="false">IFERROR(D3651/$R3651,"")</f>
        <v>1</v>
      </c>
      <c r="F3651" s="12" t="n">
        <f aca="false">COUNTIFS(Cleaned!$D$2:$D$125,7,Cleaned!FR$2:FR$125,3)</f>
        <v>0</v>
      </c>
      <c r="G3651" s="13" t="n">
        <f aca="false">IFERROR(F3651/$R3651,"")</f>
        <v>0</v>
      </c>
      <c r="H3651" s="12" t="n">
        <f aca="false">COUNTIFS(Cleaned!$D$2:$D$125,7,Cleaned!FR$2:FR$125,4)</f>
        <v>0</v>
      </c>
      <c r="I3651" s="13" t="n">
        <f aca="false">IFERROR(H3651/$R3651,"")</f>
        <v>0</v>
      </c>
      <c r="J3651" s="12" t="n">
        <f aca="false">COUNTIFS(Cleaned!$D$2:$D$125,7,Cleaned!FR$2:FR$125,5)</f>
        <v>0</v>
      </c>
      <c r="K3651" s="13" t="n">
        <f aca="false">IFERROR(J3651/$R3651,"")</f>
        <v>0</v>
      </c>
      <c r="L3651" s="12" t="n">
        <f aca="false">COUNTIFS(Cleaned!$D$2:$D$125,7,Cleaned!FR$2:FR$125,6)</f>
        <v>0</v>
      </c>
      <c r="M3651" s="13" t="n">
        <f aca="false">IFERROR(L3651/$R3651,"")</f>
        <v>0</v>
      </c>
      <c r="N3651" s="12" t="n">
        <f aca="false">COUNTIFS(Cleaned!$D$2:$D$125,7,Cleaned!FR$2:FR$125,7)</f>
        <v>0</v>
      </c>
      <c r="O3651" s="13" t="n">
        <f aca="false">IFERROR(N3651/$R3651,"")</f>
        <v>0</v>
      </c>
      <c r="P3651" s="12" t="n">
        <f aca="false">COUNTIFS(Cleaned!$D$2:$D$125,7,Cleaned!FR$2:FR$125,8)</f>
        <v>0</v>
      </c>
      <c r="Q3651" s="13" t="n">
        <f aca="false">IFERROR(P3651/$R3651,"")</f>
        <v>0</v>
      </c>
      <c r="R3651" s="12" t="n">
        <f aca="false">B3651+D3651+F3651+H3651+J3651+L3651+N3651+P3651</f>
        <v>4</v>
      </c>
    </row>
    <row r="3652" customFormat="false" ht="15" hidden="false" customHeight="false" outlineLevel="0" collapsed="false">
      <c r="A3652" s="12" t="s">
        <v>711</v>
      </c>
      <c r="B3652" s="12" t="n">
        <f aca="false">COUNTIFS(Cleaned!$D$2:$D$125,8,Cleaned!FR$2:FR$125,1)</f>
        <v>0</v>
      </c>
      <c r="C3652" s="13" t="n">
        <f aca="false">IFERROR(B3652/$R3652,"")</f>
        <v>0</v>
      </c>
      <c r="D3652" s="12" t="n">
        <f aca="false">COUNTIFS(Cleaned!$D$2:$D$125,8,Cleaned!FR$2:FR$125,2)</f>
        <v>2</v>
      </c>
      <c r="E3652" s="13" t="n">
        <f aca="false">IFERROR(D3652/$R3652,"")</f>
        <v>1</v>
      </c>
      <c r="F3652" s="12" t="n">
        <f aca="false">COUNTIFS(Cleaned!$D$2:$D$125,8,Cleaned!FR$2:FR$125,3)</f>
        <v>0</v>
      </c>
      <c r="G3652" s="13" t="n">
        <f aca="false">IFERROR(F3652/$R3652,"")</f>
        <v>0</v>
      </c>
      <c r="H3652" s="12" t="n">
        <f aca="false">COUNTIFS(Cleaned!$D$2:$D$125,8,Cleaned!FR$2:FR$125,4)</f>
        <v>0</v>
      </c>
      <c r="I3652" s="13" t="n">
        <f aca="false">IFERROR(H3652/$R3652,"")</f>
        <v>0</v>
      </c>
      <c r="J3652" s="12" t="n">
        <f aca="false">COUNTIFS(Cleaned!$D$2:$D$125,8,Cleaned!FR$2:FR$125,5)</f>
        <v>0</v>
      </c>
      <c r="K3652" s="13" t="n">
        <f aca="false">IFERROR(J3652/$R3652,"")</f>
        <v>0</v>
      </c>
      <c r="L3652" s="12" t="n">
        <f aca="false">COUNTIFS(Cleaned!$D$2:$D$125,8,Cleaned!FR$2:FR$125,6)</f>
        <v>0</v>
      </c>
      <c r="M3652" s="13" t="n">
        <f aca="false">IFERROR(L3652/$R3652,"")</f>
        <v>0</v>
      </c>
      <c r="N3652" s="12" t="n">
        <f aca="false">COUNTIFS(Cleaned!$D$2:$D$125,8,Cleaned!FR$2:FR$125,7)</f>
        <v>0</v>
      </c>
      <c r="O3652" s="13" t="n">
        <f aca="false">IFERROR(N3652/$R3652,"")</f>
        <v>0</v>
      </c>
      <c r="P3652" s="12" t="n">
        <f aca="false">COUNTIFS(Cleaned!$D$2:$D$125,8,Cleaned!FR$2:FR$125,8)</f>
        <v>0</v>
      </c>
      <c r="Q3652" s="13" t="n">
        <f aca="false">IFERROR(P3652/$R3652,"")</f>
        <v>0</v>
      </c>
      <c r="R3652" s="12" t="n">
        <f aca="false">B3652+D3652+F3652+H3652+J3652+L3652+N3652+P3652</f>
        <v>2</v>
      </c>
    </row>
    <row r="3653" customFormat="false" ht="15" hidden="false" customHeight="false" outlineLevel="0" collapsed="false">
      <c r="A3653" s="12" t="s">
        <v>712</v>
      </c>
      <c r="B3653" s="12" t="n">
        <f aca="false">COUNTIFS(Cleaned!$D$2:$D$125,9,Cleaned!FR$2:FR$125,1)</f>
        <v>0</v>
      </c>
      <c r="C3653" s="13" t="str">
        <f aca="false">IFERROR(B3653/$R3653,"")</f>
        <v/>
      </c>
      <c r="D3653" s="12" t="n">
        <f aca="false">COUNTIFS(Cleaned!$D$2:$D$125,9,Cleaned!FR$2:FR$125,2)</f>
        <v>0</v>
      </c>
      <c r="E3653" s="13" t="str">
        <f aca="false">IFERROR(D3653/$R3653,"")</f>
        <v/>
      </c>
      <c r="F3653" s="12" t="n">
        <f aca="false">COUNTIFS(Cleaned!$D$2:$D$125,9,Cleaned!FR$2:FR$125,3)</f>
        <v>0</v>
      </c>
      <c r="G3653" s="13" t="str">
        <f aca="false">IFERROR(F3653/$R3653,"")</f>
        <v/>
      </c>
      <c r="H3653" s="12" t="n">
        <f aca="false">COUNTIFS(Cleaned!$D$2:$D$125,9,Cleaned!FR$2:FR$125,4)</f>
        <v>0</v>
      </c>
      <c r="I3653" s="13" t="str">
        <f aca="false">IFERROR(H3653/$R3653,"")</f>
        <v/>
      </c>
      <c r="J3653" s="12" t="n">
        <f aca="false">COUNTIFS(Cleaned!$D$2:$D$125,9,Cleaned!FR$2:FR$125,5)</f>
        <v>0</v>
      </c>
      <c r="K3653" s="13" t="str">
        <f aca="false">IFERROR(J3653/$R3653,"")</f>
        <v/>
      </c>
      <c r="L3653" s="12" t="n">
        <f aca="false">COUNTIFS(Cleaned!$D$2:$D$125,9,Cleaned!FR$2:FR$125,6)</f>
        <v>0</v>
      </c>
      <c r="M3653" s="13" t="str">
        <f aca="false">IFERROR(L3653/$R3653,"")</f>
        <v/>
      </c>
      <c r="N3653" s="12" t="n">
        <f aca="false">COUNTIFS(Cleaned!$D$2:$D$125,9,Cleaned!FR$2:FR$125,7)</f>
        <v>0</v>
      </c>
      <c r="O3653" s="13" t="str">
        <f aca="false">IFERROR(N3653/$R3653,"")</f>
        <v/>
      </c>
      <c r="P3653" s="12" t="n">
        <f aca="false">COUNTIFS(Cleaned!$D$2:$D$125,9,Cleaned!FR$2:FR$125,8)</f>
        <v>0</v>
      </c>
      <c r="Q3653" s="13" t="str">
        <f aca="false">IFERROR(P3653/$R3653,"")</f>
        <v/>
      </c>
      <c r="R3653" s="12" t="n">
        <f aca="false">B3653+D3653+F3653+H3653+J3653+L3653+N3653+P3653</f>
        <v>0</v>
      </c>
    </row>
    <row r="3654" customFormat="false" ht="15" hidden="false" customHeight="false" outlineLevel="0" collapsed="false">
      <c r="A3654" s="12" t="s">
        <v>713</v>
      </c>
      <c r="B3654" s="12" t="n">
        <f aca="false">COUNTIFS(Cleaned!$D$2:$D$125,10,Cleaned!FR$2:FR$125,1)</f>
        <v>0</v>
      </c>
      <c r="C3654" s="13" t="str">
        <f aca="false">IFERROR(B3654/$R3654,"")</f>
        <v/>
      </c>
      <c r="D3654" s="12" t="n">
        <f aca="false">COUNTIFS(Cleaned!$D$2:$D$125,10,Cleaned!FR$2:FR$125,2)</f>
        <v>0</v>
      </c>
      <c r="E3654" s="13" t="str">
        <f aca="false">IFERROR(D3654/$R3654,"")</f>
        <v/>
      </c>
      <c r="F3654" s="12" t="n">
        <f aca="false">COUNTIFS(Cleaned!$D$2:$D$125,10,Cleaned!FR$2:FR$125,3)</f>
        <v>0</v>
      </c>
      <c r="G3654" s="13" t="str">
        <f aca="false">IFERROR(F3654/$R3654,"")</f>
        <v/>
      </c>
      <c r="H3654" s="12" t="n">
        <f aca="false">COUNTIFS(Cleaned!$D$2:$D$125,10,Cleaned!FR$2:FR$125,4)</f>
        <v>0</v>
      </c>
      <c r="I3654" s="13" t="str">
        <f aca="false">IFERROR(H3654/$R3654,"")</f>
        <v/>
      </c>
      <c r="J3654" s="12" t="n">
        <f aca="false">COUNTIFS(Cleaned!$D$2:$D$125,10,Cleaned!FR$2:FR$125,5)</f>
        <v>0</v>
      </c>
      <c r="K3654" s="13" t="str">
        <f aca="false">IFERROR(J3654/$R3654,"")</f>
        <v/>
      </c>
      <c r="L3654" s="12" t="n">
        <f aca="false">COUNTIFS(Cleaned!$D$2:$D$125,10,Cleaned!FR$2:FR$125,6)</f>
        <v>0</v>
      </c>
      <c r="M3654" s="13" t="str">
        <f aca="false">IFERROR(L3654/$R3654,"")</f>
        <v/>
      </c>
      <c r="N3654" s="12" t="n">
        <f aca="false">COUNTIFS(Cleaned!$D$2:$D$125,10,Cleaned!FR$2:FR$125,7)</f>
        <v>0</v>
      </c>
      <c r="O3654" s="13" t="str">
        <f aca="false">IFERROR(N3654/$R3654,"")</f>
        <v/>
      </c>
      <c r="P3654" s="12" t="n">
        <f aca="false">COUNTIFS(Cleaned!$D$2:$D$125,10,Cleaned!FR$2:FR$125,8)</f>
        <v>0</v>
      </c>
      <c r="Q3654" s="13" t="str">
        <f aca="false">IFERROR(P3654/$R3654,"")</f>
        <v/>
      </c>
      <c r="R3654" s="12" t="n">
        <f aca="false">B3654+D3654+F3654+H3654+J3654+L3654+N3654+P3654</f>
        <v>0</v>
      </c>
    </row>
    <row r="3655" customFormat="false" ht="15" hidden="false" customHeight="false" outlineLevel="0" collapsed="false">
      <c r="A3655" s="12" t="s">
        <v>714</v>
      </c>
      <c r="B3655" s="12" t="n">
        <f aca="false">COUNTIFS(Cleaned!$D$2:$D$125,11,Cleaned!FR$2:FR$125,1)</f>
        <v>0</v>
      </c>
      <c r="C3655" s="13" t="n">
        <f aca="false">IFERROR(B3655/$R3655,"")</f>
        <v>0</v>
      </c>
      <c r="D3655" s="12" t="n">
        <f aca="false">COUNTIFS(Cleaned!$D$2:$D$125,11,Cleaned!FR$2:FR$125,2)</f>
        <v>2</v>
      </c>
      <c r="E3655" s="13" t="n">
        <f aca="false">IFERROR(D3655/$R3655,"")</f>
        <v>1</v>
      </c>
      <c r="F3655" s="12" t="n">
        <f aca="false">COUNTIFS(Cleaned!$D$2:$D$125,11,Cleaned!FR$2:FR$125,3)</f>
        <v>0</v>
      </c>
      <c r="G3655" s="13" t="n">
        <f aca="false">IFERROR(F3655/$R3655,"")</f>
        <v>0</v>
      </c>
      <c r="H3655" s="12" t="n">
        <f aca="false">COUNTIFS(Cleaned!$D$2:$D$125,11,Cleaned!FR$2:FR$125,4)</f>
        <v>0</v>
      </c>
      <c r="I3655" s="13" t="n">
        <f aca="false">IFERROR(H3655/$R3655,"")</f>
        <v>0</v>
      </c>
      <c r="J3655" s="12" t="n">
        <f aca="false">COUNTIFS(Cleaned!$D$2:$D$125,11,Cleaned!FR$2:FR$125,5)</f>
        <v>0</v>
      </c>
      <c r="K3655" s="13" t="n">
        <f aca="false">IFERROR(J3655/$R3655,"")</f>
        <v>0</v>
      </c>
      <c r="L3655" s="12" t="n">
        <f aca="false">COUNTIFS(Cleaned!$D$2:$D$125,11,Cleaned!FR$2:FR$125,6)</f>
        <v>0</v>
      </c>
      <c r="M3655" s="13" t="n">
        <f aca="false">IFERROR(L3655/$R3655,"")</f>
        <v>0</v>
      </c>
      <c r="N3655" s="12" t="n">
        <f aca="false">COUNTIFS(Cleaned!$D$2:$D$125,11,Cleaned!FR$2:FR$125,7)</f>
        <v>0</v>
      </c>
      <c r="O3655" s="13" t="n">
        <f aca="false">IFERROR(N3655/$R3655,"")</f>
        <v>0</v>
      </c>
      <c r="P3655" s="12" t="n">
        <f aca="false">COUNTIFS(Cleaned!$D$2:$D$125,11,Cleaned!FR$2:FR$125,8)</f>
        <v>0</v>
      </c>
      <c r="Q3655" s="13" t="n">
        <f aca="false">IFERROR(P3655/$R3655,"")</f>
        <v>0</v>
      </c>
      <c r="R3655" s="12" t="n">
        <f aca="false">B3655+D3655+F3655+H3655+J3655+L3655+N3655+P3655</f>
        <v>2</v>
      </c>
    </row>
    <row r="3656" customFormat="false" ht="15" hidden="false" customHeight="false" outlineLevel="0" collapsed="false">
      <c r="A3656" s="12" t="s">
        <v>715</v>
      </c>
      <c r="B3656" s="12" t="n">
        <f aca="false">COUNTIFS(Cleaned!$D$2:$D$125,12,Cleaned!FR$2:FR$125,1)</f>
        <v>1</v>
      </c>
      <c r="C3656" s="13" t="n">
        <f aca="false">IFERROR(B3656/$R3656,"")</f>
        <v>1</v>
      </c>
      <c r="D3656" s="12" t="n">
        <f aca="false">COUNTIFS(Cleaned!$D$2:$D$125,12,Cleaned!FR$2:FR$125,2)</f>
        <v>0</v>
      </c>
      <c r="E3656" s="13" t="n">
        <f aca="false">IFERROR(D3656/$R3656,"")</f>
        <v>0</v>
      </c>
      <c r="F3656" s="12" t="n">
        <f aca="false">COUNTIFS(Cleaned!$D$2:$D$125,12,Cleaned!FR$2:FR$125,3)</f>
        <v>0</v>
      </c>
      <c r="G3656" s="13" t="n">
        <f aca="false">IFERROR(F3656/$R3656,"")</f>
        <v>0</v>
      </c>
      <c r="H3656" s="12" t="n">
        <f aca="false">COUNTIFS(Cleaned!$D$2:$D$125,12,Cleaned!FR$2:FR$125,4)</f>
        <v>0</v>
      </c>
      <c r="I3656" s="13" t="n">
        <f aca="false">IFERROR(H3656/$R3656,"")</f>
        <v>0</v>
      </c>
      <c r="J3656" s="12" t="n">
        <f aca="false">COUNTIFS(Cleaned!$D$2:$D$125,12,Cleaned!FR$2:FR$125,5)</f>
        <v>0</v>
      </c>
      <c r="K3656" s="13" t="n">
        <f aca="false">IFERROR(J3656/$R3656,"")</f>
        <v>0</v>
      </c>
      <c r="L3656" s="12" t="n">
        <f aca="false">COUNTIFS(Cleaned!$D$2:$D$125,12,Cleaned!FR$2:FR$125,6)</f>
        <v>0</v>
      </c>
      <c r="M3656" s="13" t="n">
        <f aca="false">IFERROR(L3656/$R3656,"")</f>
        <v>0</v>
      </c>
      <c r="N3656" s="12" t="n">
        <f aca="false">COUNTIFS(Cleaned!$D$2:$D$125,12,Cleaned!FR$2:FR$125,7)</f>
        <v>0</v>
      </c>
      <c r="O3656" s="13" t="n">
        <f aca="false">IFERROR(N3656/$R3656,"")</f>
        <v>0</v>
      </c>
      <c r="P3656" s="12" t="n">
        <f aca="false">COUNTIFS(Cleaned!$D$2:$D$125,12,Cleaned!FR$2:FR$125,8)</f>
        <v>0</v>
      </c>
      <c r="Q3656" s="13" t="n">
        <f aca="false">IFERROR(P3656/$R3656,"")</f>
        <v>0</v>
      </c>
      <c r="R3656" s="12" t="n">
        <f aca="false">B3656+D3656+F3656+H3656+J3656+L3656+N3656+P3656</f>
        <v>1</v>
      </c>
    </row>
    <row r="3657" customFormat="false" ht="15" hidden="false" customHeight="false" outlineLevel="0" collapsed="false">
      <c r="A3657" s="11" t="s">
        <v>716</v>
      </c>
      <c r="B3657" s="11" t="n">
        <f aca="false">SUM(B3645:B3656)</f>
        <v>4</v>
      </c>
      <c r="C3657" s="14" t="n">
        <f aca="false">IFERROR(B3657/$R3657,"")</f>
        <v>0.108108108108108</v>
      </c>
      <c r="D3657" s="11" t="n">
        <f aca="false">SUM(D3645:D3656)</f>
        <v>25</v>
      </c>
      <c r="E3657" s="14" t="n">
        <f aca="false">IFERROR(D3657/$R3657,"")</f>
        <v>0.675675675675676</v>
      </c>
      <c r="F3657" s="11" t="n">
        <f aca="false">SUM(F3645:F3656)</f>
        <v>3</v>
      </c>
      <c r="G3657" s="14" t="n">
        <f aca="false">IFERROR(F3657/$R3657,"")</f>
        <v>0.0810810810810811</v>
      </c>
      <c r="H3657" s="11" t="n">
        <f aca="false">SUM(H3645:H3656)</f>
        <v>1</v>
      </c>
      <c r="I3657" s="14" t="n">
        <f aca="false">IFERROR(H3657/$R3657,"")</f>
        <v>0.027027027027027</v>
      </c>
      <c r="J3657" s="11" t="n">
        <f aca="false">SUM(J3645:J3656)</f>
        <v>1</v>
      </c>
      <c r="K3657" s="14" t="n">
        <f aca="false">IFERROR(J3657/$R3657,"")</f>
        <v>0.027027027027027</v>
      </c>
      <c r="L3657" s="11" t="n">
        <f aca="false">SUM(L3645:L3656)</f>
        <v>1</v>
      </c>
      <c r="M3657" s="14" t="n">
        <f aca="false">IFERROR(L3657/$R3657,"")</f>
        <v>0.027027027027027</v>
      </c>
      <c r="N3657" s="11" t="n">
        <f aca="false">SUM(N3645:N3656)</f>
        <v>1</v>
      </c>
      <c r="O3657" s="14" t="n">
        <f aca="false">IFERROR(N3657/$R3657,"")</f>
        <v>0.027027027027027</v>
      </c>
      <c r="P3657" s="11" t="n">
        <f aca="false">SUM(P3645:P3656)</f>
        <v>1</v>
      </c>
      <c r="Q3657" s="14" t="n">
        <f aca="false">IFERROR(P3657/$R3657,"")</f>
        <v>0.027027027027027</v>
      </c>
      <c r="R3657" s="11" t="n">
        <f aca="false">SUM(R3645:R3656)</f>
        <v>37</v>
      </c>
    </row>
    <row r="3660" customFormat="false" ht="15" hidden="false" customHeight="false" outlineLevel="0" collapsed="false">
      <c r="A3660" s="6" t="s">
        <v>164</v>
      </c>
      <c r="B3660" s="7" t="s">
        <v>931</v>
      </c>
    </row>
    <row r="3661" customFormat="false" ht="15" hidden="false" customHeight="false" outlineLevel="0" collapsed="false">
      <c r="A3661" s="8"/>
      <c r="B3661" s="9" t="s">
        <v>932</v>
      </c>
      <c r="C3661" s="8"/>
      <c r="D3661" s="9" t="s">
        <v>372</v>
      </c>
      <c r="E3661" s="8"/>
      <c r="F3661" s="9" t="s">
        <v>247</v>
      </c>
      <c r="G3661" s="8"/>
      <c r="H3661" s="9" t="s">
        <v>851</v>
      </c>
      <c r="I3661" s="8"/>
      <c r="J3661" s="9" t="s">
        <v>933</v>
      </c>
      <c r="K3661" s="8"/>
      <c r="L3661" s="9" t="s">
        <v>934</v>
      </c>
      <c r="M3661" s="8"/>
      <c r="N3661" s="9" t="s">
        <v>935</v>
      </c>
      <c r="O3661" s="8"/>
      <c r="P3661" s="9" t="s">
        <v>250</v>
      </c>
      <c r="Q3661" s="8"/>
      <c r="R3661" s="9" t="s">
        <v>252</v>
      </c>
      <c r="S3661" s="8"/>
      <c r="T3661" s="9" t="s">
        <v>207</v>
      </c>
      <c r="U3661" s="8"/>
      <c r="V3661" s="9" t="s">
        <v>936</v>
      </c>
      <c r="W3661" s="8"/>
      <c r="X3661" s="9" t="s">
        <v>694</v>
      </c>
    </row>
    <row r="3662" customFormat="false" ht="15" hidden="false" customHeight="false" outlineLevel="0" collapsed="false">
      <c r="B3662" s="10" t="s">
        <v>695</v>
      </c>
      <c r="C3662" s="10" t="s">
        <v>696</v>
      </c>
      <c r="D3662" s="10" t="s">
        <v>695</v>
      </c>
      <c r="E3662" s="10" t="s">
        <v>696</v>
      </c>
      <c r="F3662" s="10" t="s">
        <v>695</v>
      </c>
      <c r="G3662" s="10" t="s">
        <v>696</v>
      </c>
      <c r="H3662" s="10" t="s">
        <v>695</v>
      </c>
      <c r="I3662" s="10" t="s">
        <v>696</v>
      </c>
      <c r="J3662" s="10" t="s">
        <v>695</v>
      </c>
      <c r="K3662" s="10" t="s">
        <v>696</v>
      </c>
      <c r="L3662" s="10" t="s">
        <v>695</v>
      </c>
      <c r="M3662" s="10" t="s">
        <v>696</v>
      </c>
      <c r="N3662" s="10" t="s">
        <v>695</v>
      </c>
      <c r="O3662" s="10" t="s">
        <v>696</v>
      </c>
      <c r="P3662" s="10" t="s">
        <v>695</v>
      </c>
      <c r="Q3662" s="10" t="s">
        <v>696</v>
      </c>
      <c r="R3662" s="10" t="s">
        <v>695</v>
      </c>
      <c r="S3662" s="10" t="s">
        <v>696</v>
      </c>
      <c r="T3662" s="10" t="s">
        <v>695</v>
      </c>
      <c r="U3662" s="10" t="s">
        <v>696</v>
      </c>
      <c r="V3662" s="10" t="s">
        <v>695</v>
      </c>
      <c r="W3662" s="10" t="s">
        <v>696</v>
      </c>
    </row>
    <row r="3663" customFormat="false" ht="15" hidden="false" customHeight="false" outlineLevel="0" collapsed="false">
      <c r="A3663" s="11" t="s">
        <v>697</v>
      </c>
    </row>
    <row r="3664" customFormat="false" ht="15" hidden="false" customHeight="false" outlineLevel="0" collapsed="false">
      <c r="A3664" s="12" t="s">
        <v>698</v>
      </c>
      <c r="B3664" s="12" t="n">
        <f aca="false">COUNTIFS(Cleaned!$C$2:$C$125,1,Cleaned!FS$2:FS$125,1)</f>
        <v>0</v>
      </c>
      <c r="C3664" s="13" t="n">
        <f aca="false">IFERROR(B3664/$X3664,"")</f>
        <v>0</v>
      </c>
      <c r="D3664" s="12" t="n">
        <f aca="false">COUNTIFS(Cleaned!$C$2:$C$125,1,Cleaned!FS$2:FS$125,2)</f>
        <v>1</v>
      </c>
      <c r="E3664" s="13" t="n">
        <f aca="false">IFERROR(D3664/$X3664,"")</f>
        <v>0.5</v>
      </c>
      <c r="F3664" s="12" t="n">
        <f aca="false">COUNTIFS(Cleaned!$C$2:$C$125,1,Cleaned!FS$2:FS$125,3)</f>
        <v>0</v>
      </c>
      <c r="G3664" s="13" t="n">
        <f aca="false">IFERROR(F3664/$X3664,"")</f>
        <v>0</v>
      </c>
      <c r="H3664" s="12" t="n">
        <f aca="false">COUNTIFS(Cleaned!$C$2:$C$125,1,Cleaned!FS$2:FS$125,4)</f>
        <v>1</v>
      </c>
      <c r="I3664" s="13" t="n">
        <f aca="false">IFERROR(H3664/$X3664,"")</f>
        <v>0.5</v>
      </c>
      <c r="J3664" s="12" t="n">
        <f aca="false">COUNTIFS(Cleaned!$C$2:$C$125,1,Cleaned!FS$2:FS$125,5)</f>
        <v>0</v>
      </c>
      <c r="K3664" s="13" t="n">
        <f aca="false">IFERROR(J3664/$X3664,"")</f>
        <v>0</v>
      </c>
      <c r="L3664" s="12" t="n">
        <f aca="false">COUNTIFS(Cleaned!$C$2:$C$125,1,Cleaned!FS$2:FS$125,6)</f>
        <v>0</v>
      </c>
      <c r="M3664" s="13" t="n">
        <f aca="false">IFERROR(L3664/$X3664,"")</f>
        <v>0</v>
      </c>
      <c r="N3664" s="12" t="n">
        <f aca="false">COUNTIFS(Cleaned!$C$2:$C$125,1,Cleaned!FS$2:FS$125,7)</f>
        <v>0</v>
      </c>
      <c r="O3664" s="13" t="n">
        <f aca="false">IFERROR(N3664/$X3664,"")</f>
        <v>0</v>
      </c>
      <c r="P3664" s="12" t="n">
        <f aca="false">COUNTIFS(Cleaned!$C$2:$C$125,1,Cleaned!FS$2:FS$125,8)</f>
        <v>0</v>
      </c>
      <c r="Q3664" s="13" t="n">
        <f aca="false">IFERROR(P3664/$X3664,"")</f>
        <v>0</v>
      </c>
      <c r="R3664" s="12" t="n">
        <f aca="false">COUNTIFS(Cleaned!$C$2:$C$125,1,Cleaned!FS$2:FS$125,9)</f>
        <v>0</v>
      </c>
      <c r="S3664" s="13" t="n">
        <f aca="false">IFERROR(R3664/$X3664,"")</f>
        <v>0</v>
      </c>
      <c r="T3664" s="12" t="n">
        <f aca="false">COUNTIFS(Cleaned!$C$2:$C$125,1,Cleaned!FS$2:FS$125,10)</f>
        <v>0</v>
      </c>
      <c r="U3664" s="13" t="n">
        <f aca="false">IFERROR(T3664/$X3664,"")</f>
        <v>0</v>
      </c>
      <c r="V3664" s="12" t="n">
        <f aca="false">COUNTIFS(Cleaned!$C$2:$C$125,1,Cleaned!FS$2:FS$125,11)</f>
        <v>0</v>
      </c>
      <c r="W3664" s="13" t="n">
        <f aca="false">IFERROR(V3664/$X3664,"")</f>
        <v>0</v>
      </c>
      <c r="X3664" s="12" t="n">
        <f aca="false">B3664+D3664+F3664+H3664+J3664+L3664+N3664+P3664+R3664+T3664+V3664</f>
        <v>2</v>
      </c>
    </row>
    <row r="3665" customFormat="false" ht="15" hidden="false" customHeight="false" outlineLevel="0" collapsed="false">
      <c r="A3665" s="12" t="s">
        <v>699</v>
      </c>
      <c r="B3665" s="12" t="n">
        <f aca="false">COUNTIFS(Cleaned!$C$2:$C$125,2,Cleaned!FS$2:FS$125,1)</f>
        <v>0</v>
      </c>
      <c r="C3665" s="13" t="n">
        <f aca="false">IFERROR(B3665/$X3665,"")</f>
        <v>0</v>
      </c>
      <c r="D3665" s="12" t="n">
        <f aca="false">COUNTIFS(Cleaned!$C$2:$C$125,2,Cleaned!FS$2:FS$125,2)</f>
        <v>1</v>
      </c>
      <c r="E3665" s="13" t="n">
        <f aca="false">IFERROR(D3665/$X3665,"")</f>
        <v>1</v>
      </c>
      <c r="F3665" s="12" t="n">
        <f aca="false">COUNTIFS(Cleaned!$C$2:$C$125,2,Cleaned!FS$2:FS$125,3)</f>
        <v>0</v>
      </c>
      <c r="G3665" s="13" t="n">
        <f aca="false">IFERROR(F3665/$X3665,"")</f>
        <v>0</v>
      </c>
      <c r="H3665" s="12" t="n">
        <f aca="false">COUNTIFS(Cleaned!$C$2:$C$125,2,Cleaned!FS$2:FS$125,4)</f>
        <v>0</v>
      </c>
      <c r="I3665" s="13" t="n">
        <f aca="false">IFERROR(H3665/$X3665,"")</f>
        <v>0</v>
      </c>
      <c r="J3665" s="12" t="n">
        <f aca="false">COUNTIFS(Cleaned!$C$2:$C$125,2,Cleaned!FS$2:FS$125,5)</f>
        <v>0</v>
      </c>
      <c r="K3665" s="13" t="n">
        <f aca="false">IFERROR(J3665/$X3665,"")</f>
        <v>0</v>
      </c>
      <c r="L3665" s="12" t="n">
        <f aca="false">COUNTIFS(Cleaned!$C$2:$C$125,2,Cleaned!FS$2:FS$125,6)</f>
        <v>0</v>
      </c>
      <c r="M3665" s="13" t="n">
        <f aca="false">IFERROR(L3665/$X3665,"")</f>
        <v>0</v>
      </c>
      <c r="N3665" s="12" t="n">
        <f aca="false">COUNTIFS(Cleaned!$C$2:$C$125,2,Cleaned!FS$2:FS$125,7)</f>
        <v>0</v>
      </c>
      <c r="O3665" s="13" t="n">
        <f aca="false">IFERROR(N3665/$X3665,"")</f>
        <v>0</v>
      </c>
      <c r="P3665" s="12" t="n">
        <f aca="false">COUNTIFS(Cleaned!$C$2:$C$125,2,Cleaned!FS$2:FS$125,8)</f>
        <v>0</v>
      </c>
      <c r="Q3665" s="13" t="n">
        <f aca="false">IFERROR(P3665/$X3665,"")</f>
        <v>0</v>
      </c>
      <c r="R3665" s="12" t="n">
        <f aca="false">COUNTIFS(Cleaned!$C$2:$C$125,2,Cleaned!FS$2:FS$125,9)</f>
        <v>0</v>
      </c>
      <c r="S3665" s="13" t="n">
        <f aca="false">IFERROR(R3665/$X3665,"")</f>
        <v>0</v>
      </c>
      <c r="T3665" s="12" t="n">
        <f aca="false">COUNTIFS(Cleaned!$C$2:$C$125,2,Cleaned!FS$2:FS$125,10)</f>
        <v>0</v>
      </c>
      <c r="U3665" s="13" t="n">
        <f aca="false">IFERROR(T3665/$X3665,"")</f>
        <v>0</v>
      </c>
      <c r="V3665" s="12" t="n">
        <f aca="false">COUNTIFS(Cleaned!$C$2:$C$125,2,Cleaned!FS$2:FS$125,11)</f>
        <v>0</v>
      </c>
      <c r="W3665" s="13" t="n">
        <f aca="false">IFERROR(V3665/$X3665,"")</f>
        <v>0</v>
      </c>
      <c r="X3665" s="12" t="n">
        <f aca="false">B3665+D3665+F3665+H3665+J3665+L3665+N3665+P3665+R3665+T3665+V3665</f>
        <v>1</v>
      </c>
    </row>
    <row r="3666" customFormat="false" ht="15" hidden="false" customHeight="false" outlineLevel="0" collapsed="false">
      <c r="A3666" s="12" t="s">
        <v>700</v>
      </c>
      <c r="B3666" s="12" t="n">
        <f aca="false">COUNTIFS(Cleaned!$C$2:$C$125,3,Cleaned!FS$2:FS$125,1)</f>
        <v>0</v>
      </c>
      <c r="C3666" s="13" t="n">
        <f aca="false">IFERROR(B3666/$X3666,"")</f>
        <v>0</v>
      </c>
      <c r="D3666" s="12" t="n">
        <f aca="false">COUNTIFS(Cleaned!$C$2:$C$125,3,Cleaned!FS$2:FS$125,2)</f>
        <v>8</v>
      </c>
      <c r="E3666" s="13" t="n">
        <f aca="false">IFERROR(D3666/$X3666,"")</f>
        <v>1</v>
      </c>
      <c r="F3666" s="12" t="n">
        <f aca="false">COUNTIFS(Cleaned!$C$2:$C$125,3,Cleaned!FS$2:FS$125,3)</f>
        <v>0</v>
      </c>
      <c r="G3666" s="13" t="n">
        <f aca="false">IFERROR(F3666/$X3666,"")</f>
        <v>0</v>
      </c>
      <c r="H3666" s="12" t="n">
        <f aca="false">COUNTIFS(Cleaned!$C$2:$C$125,3,Cleaned!FS$2:FS$125,4)</f>
        <v>0</v>
      </c>
      <c r="I3666" s="13" t="n">
        <f aca="false">IFERROR(H3666/$X3666,"")</f>
        <v>0</v>
      </c>
      <c r="J3666" s="12" t="n">
        <f aca="false">COUNTIFS(Cleaned!$C$2:$C$125,3,Cleaned!FS$2:FS$125,5)</f>
        <v>0</v>
      </c>
      <c r="K3666" s="13" t="n">
        <f aca="false">IFERROR(J3666/$X3666,"")</f>
        <v>0</v>
      </c>
      <c r="L3666" s="12" t="n">
        <f aca="false">COUNTIFS(Cleaned!$C$2:$C$125,3,Cleaned!FS$2:FS$125,6)</f>
        <v>0</v>
      </c>
      <c r="M3666" s="13" t="n">
        <f aca="false">IFERROR(L3666/$X3666,"")</f>
        <v>0</v>
      </c>
      <c r="N3666" s="12" t="n">
        <f aca="false">COUNTIFS(Cleaned!$C$2:$C$125,3,Cleaned!FS$2:FS$125,7)</f>
        <v>0</v>
      </c>
      <c r="O3666" s="13" t="n">
        <f aca="false">IFERROR(N3666/$X3666,"")</f>
        <v>0</v>
      </c>
      <c r="P3666" s="12" t="n">
        <f aca="false">COUNTIFS(Cleaned!$C$2:$C$125,3,Cleaned!FS$2:FS$125,8)</f>
        <v>0</v>
      </c>
      <c r="Q3666" s="13" t="n">
        <f aca="false">IFERROR(P3666/$X3666,"")</f>
        <v>0</v>
      </c>
      <c r="R3666" s="12" t="n">
        <f aca="false">COUNTIFS(Cleaned!$C$2:$C$125,3,Cleaned!FS$2:FS$125,9)</f>
        <v>0</v>
      </c>
      <c r="S3666" s="13" t="n">
        <f aca="false">IFERROR(R3666/$X3666,"")</f>
        <v>0</v>
      </c>
      <c r="T3666" s="12" t="n">
        <f aca="false">COUNTIFS(Cleaned!$C$2:$C$125,3,Cleaned!FS$2:FS$125,10)</f>
        <v>0</v>
      </c>
      <c r="U3666" s="13" t="n">
        <f aca="false">IFERROR(T3666/$X3666,"")</f>
        <v>0</v>
      </c>
      <c r="V3666" s="12" t="n">
        <f aca="false">COUNTIFS(Cleaned!$C$2:$C$125,3,Cleaned!FS$2:FS$125,11)</f>
        <v>0</v>
      </c>
      <c r="W3666" s="13" t="n">
        <f aca="false">IFERROR(V3666/$X3666,"")</f>
        <v>0</v>
      </c>
      <c r="X3666" s="12" t="n">
        <f aca="false">B3666+D3666+F3666+H3666+J3666+L3666+N3666+P3666+R3666+T3666+V3666</f>
        <v>8</v>
      </c>
    </row>
    <row r="3667" customFormat="false" ht="15" hidden="false" customHeight="false" outlineLevel="0" collapsed="false">
      <c r="A3667" s="12" t="s">
        <v>701</v>
      </c>
      <c r="B3667" s="12" t="n">
        <f aca="false">COUNTIFS(Cleaned!$C$2:$C$125,4,Cleaned!FS$2:FS$125,1)</f>
        <v>0</v>
      </c>
      <c r="C3667" s="13" t="n">
        <f aca="false">IFERROR(B3667/$X3667,"")</f>
        <v>0</v>
      </c>
      <c r="D3667" s="12" t="n">
        <f aca="false">COUNTIFS(Cleaned!$C$2:$C$125,4,Cleaned!FS$2:FS$125,2)</f>
        <v>6</v>
      </c>
      <c r="E3667" s="13" t="n">
        <f aca="false">IFERROR(D3667/$X3667,"")</f>
        <v>0.666666666666667</v>
      </c>
      <c r="F3667" s="12" t="n">
        <f aca="false">COUNTIFS(Cleaned!$C$2:$C$125,4,Cleaned!FS$2:FS$125,3)</f>
        <v>1</v>
      </c>
      <c r="G3667" s="13" t="n">
        <f aca="false">IFERROR(F3667/$X3667,"")</f>
        <v>0.111111111111111</v>
      </c>
      <c r="H3667" s="12" t="n">
        <f aca="false">COUNTIFS(Cleaned!$C$2:$C$125,4,Cleaned!FS$2:FS$125,4)</f>
        <v>0</v>
      </c>
      <c r="I3667" s="13" t="n">
        <f aca="false">IFERROR(H3667/$X3667,"")</f>
        <v>0</v>
      </c>
      <c r="J3667" s="12" t="n">
        <f aca="false">COUNTIFS(Cleaned!$C$2:$C$125,4,Cleaned!FS$2:FS$125,5)</f>
        <v>0</v>
      </c>
      <c r="K3667" s="13" t="n">
        <f aca="false">IFERROR(J3667/$X3667,"")</f>
        <v>0</v>
      </c>
      <c r="L3667" s="12" t="n">
        <f aca="false">COUNTIFS(Cleaned!$C$2:$C$125,4,Cleaned!FS$2:FS$125,6)</f>
        <v>1</v>
      </c>
      <c r="M3667" s="13" t="n">
        <f aca="false">IFERROR(L3667/$X3667,"")</f>
        <v>0.111111111111111</v>
      </c>
      <c r="N3667" s="12" t="n">
        <f aca="false">COUNTIFS(Cleaned!$C$2:$C$125,4,Cleaned!FS$2:FS$125,7)</f>
        <v>0</v>
      </c>
      <c r="O3667" s="13" t="n">
        <f aca="false">IFERROR(N3667/$X3667,"")</f>
        <v>0</v>
      </c>
      <c r="P3667" s="12" t="n">
        <f aca="false">COUNTIFS(Cleaned!$C$2:$C$125,4,Cleaned!FS$2:FS$125,8)</f>
        <v>1</v>
      </c>
      <c r="Q3667" s="13" t="n">
        <f aca="false">IFERROR(P3667/$X3667,"")</f>
        <v>0.111111111111111</v>
      </c>
      <c r="R3667" s="12" t="n">
        <f aca="false">COUNTIFS(Cleaned!$C$2:$C$125,4,Cleaned!FS$2:FS$125,9)</f>
        <v>0</v>
      </c>
      <c r="S3667" s="13" t="n">
        <f aca="false">IFERROR(R3667/$X3667,"")</f>
        <v>0</v>
      </c>
      <c r="T3667" s="12" t="n">
        <f aca="false">COUNTIFS(Cleaned!$C$2:$C$125,4,Cleaned!FS$2:FS$125,10)</f>
        <v>0</v>
      </c>
      <c r="U3667" s="13" t="n">
        <f aca="false">IFERROR(T3667/$X3667,"")</f>
        <v>0</v>
      </c>
      <c r="V3667" s="12" t="n">
        <f aca="false">COUNTIFS(Cleaned!$C$2:$C$125,4,Cleaned!FS$2:FS$125,11)</f>
        <v>0</v>
      </c>
      <c r="W3667" s="13" t="n">
        <f aca="false">IFERROR(V3667/$X3667,"")</f>
        <v>0</v>
      </c>
      <c r="X3667" s="12" t="n">
        <f aca="false">B3667+D3667+F3667+H3667+J3667+L3667+N3667+P3667+R3667+T3667+V3667</f>
        <v>9</v>
      </c>
    </row>
    <row r="3668" customFormat="false" ht="15" hidden="false" customHeight="false" outlineLevel="0" collapsed="false">
      <c r="A3668" s="12" t="s">
        <v>702</v>
      </c>
      <c r="B3668" s="12" t="n">
        <f aca="false">COUNTIFS(Cleaned!$C$2:$C$125,5,Cleaned!FS$2:FS$125,1)</f>
        <v>1</v>
      </c>
      <c r="C3668" s="13" t="n">
        <f aca="false">IFERROR(B3668/$X3668,"")</f>
        <v>0.0625</v>
      </c>
      <c r="D3668" s="12" t="n">
        <f aca="false">COUNTIFS(Cleaned!$C$2:$C$125,5,Cleaned!FS$2:FS$125,2)</f>
        <v>8</v>
      </c>
      <c r="E3668" s="13" t="n">
        <f aca="false">IFERROR(D3668/$X3668,"")</f>
        <v>0.5</v>
      </c>
      <c r="F3668" s="12" t="n">
        <f aca="false">COUNTIFS(Cleaned!$C$2:$C$125,5,Cleaned!FS$2:FS$125,3)</f>
        <v>2</v>
      </c>
      <c r="G3668" s="13" t="n">
        <f aca="false">IFERROR(F3668/$X3668,"")</f>
        <v>0.125</v>
      </c>
      <c r="H3668" s="12" t="n">
        <f aca="false">COUNTIFS(Cleaned!$C$2:$C$125,5,Cleaned!FS$2:FS$125,4)</f>
        <v>0</v>
      </c>
      <c r="I3668" s="13" t="n">
        <f aca="false">IFERROR(H3668/$X3668,"")</f>
        <v>0</v>
      </c>
      <c r="J3668" s="12" t="n">
        <f aca="false">COUNTIFS(Cleaned!$C$2:$C$125,5,Cleaned!FS$2:FS$125,5)</f>
        <v>0</v>
      </c>
      <c r="K3668" s="13" t="n">
        <f aca="false">IFERROR(J3668/$X3668,"")</f>
        <v>0</v>
      </c>
      <c r="L3668" s="12" t="n">
        <f aca="false">COUNTIFS(Cleaned!$C$2:$C$125,5,Cleaned!FS$2:FS$125,6)</f>
        <v>0</v>
      </c>
      <c r="M3668" s="13" t="n">
        <f aca="false">IFERROR(L3668/$X3668,"")</f>
        <v>0</v>
      </c>
      <c r="N3668" s="12" t="n">
        <f aca="false">COUNTIFS(Cleaned!$C$2:$C$125,5,Cleaned!FS$2:FS$125,7)</f>
        <v>1</v>
      </c>
      <c r="O3668" s="13" t="n">
        <f aca="false">IFERROR(N3668/$X3668,"")</f>
        <v>0.0625</v>
      </c>
      <c r="P3668" s="12" t="n">
        <f aca="false">COUNTIFS(Cleaned!$C$2:$C$125,5,Cleaned!FS$2:FS$125,8)</f>
        <v>0</v>
      </c>
      <c r="Q3668" s="13" t="n">
        <f aca="false">IFERROR(P3668/$X3668,"")</f>
        <v>0</v>
      </c>
      <c r="R3668" s="12" t="n">
        <f aca="false">COUNTIFS(Cleaned!$C$2:$C$125,5,Cleaned!FS$2:FS$125,9)</f>
        <v>1</v>
      </c>
      <c r="S3668" s="13" t="n">
        <f aca="false">IFERROR(R3668/$X3668,"")</f>
        <v>0.0625</v>
      </c>
      <c r="T3668" s="12" t="n">
        <f aca="false">COUNTIFS(Cleaned!$C$2:$C$125,5,Cleaned!FS$2:FS$125,10)</f>
        <v>2</v>
      </c>
      <c r="U3668" s="13" t="n">
        <f aca="false">IFERROR(T3668/$X3668,"")</f>
        <v>0.125</v>
      </c>
      <c r="V3668" s="12" t="n">
        <f aca="false">COUNTIFS(Cleaned!$C$2:$C$125,5,Cleaned!FS$2:FS$125,11)</f>
        <v>1</v>
      </c>
      <c r="W3668" s="13" t="n">
        <f aca="false">IFERROR(V3668/$X3668,"")</f>
        <v>0.0625</v>
      </c>
      <c r="X3668" s="12" t="n">
        <f aca="false">B3668+D3668+F3668+H3668+J3668+L3668+N3668+P3668+R3668+T3668+V3668</f>
        <v>16</v>
      </c>
    </row>
    <row r="3669" customFormat="false" ht="15" hidden="false" customHeight="false" outlineLevel="0" collapsed="false">
      <c r="A3669" s="11" t="s">
        <v>703</v>
      </c>
      <c r="B3669" s="11" t="n">
        <f aca="false">SUM(B3664:B3668)</f>
        <v>1</v>
      </c>
      <c r="C3669" s="14" t="n">
        <f aca="false">IFERROR(B3669/$X3669,"")</f>
        <v>0.0277777777777778</v>
      </c>
      <c r="D3669" s="11" t="n">
        <f aca="false">SUM(D3664:D3668)</f>
        <v>24</v>
      </c>
      <c r="E3669" s="14" t="n">
        <f aca="false">IFERROR(D3669/$X3669,"")</f>
        <v>0.666666666666667</v>
      </c>
      <c r="F3669" s="11" t="n">
        <f aca="false">SUM(F3664:F3668)</f>
        <v>3</v>
      </c>
      <c r="G3669" s="14" t="n">
        <f aca="false">IFERROR(F3669/$X3669,"")</f>
        <v>0.0833333333333333</v>
      </c>
      <c r="H3669" s="11" t="n">
        <f aca="false">SUM(H3664:H3668)</f>
        <v>1</v>
      </c>
      <c r="I3669" s="14" t="n">
        <f aca="false">IFERROR(H3669/$X3669,"")</f>
        <v>0.0277777777777778</v>
      </c>
      <c r="J3669" s="11" t="n">
        <f aca="false">SUM(J3664:J3668)</f>
        <v>0</v>
      </c>
      <c r="K3669" s="14" t="n">
        <f aca="false">IFERROR(J3669/$X3669,"")</f>
        <v>0</v>
      </c>
      <c r="L3669" s="11" t="n">
        <f aca="false">SUM(L3664:L3668)</f>
        <v>1</v>
      </c>
      <c r="M3669" s="14" t="n">
        <f aca="false">IFERROR(L3669/$X3669,"")</f>
        <v>0.0277777777777778</v>
      </c>
      <c r="N3669" s="11" t="n">
        <f aca="false">SUM(N3664:N3668)</f>
        <v>1</v>
      </c>
      <c r="O3669" s="14" t="n">
        <f aca="false">IFERROR(N3669/$X3669,"")</f>
        <v>0.0277777777777778</v>
      </c>
      <c r="P3669" s="11" t="n">
        <f aca="false">SUM(P3664:P3668)</f>
        <v>1</v>
      </c>
      <c r="Q3669" s="14" t="n">
        <f aca="false">IFERROR(P3669/$X3669,"")</f>
        <v>0.0277777777777778</v>
      </c>
      <c r="R3669" s="11" t="n">
        <f aca="false">SUM(R3664:R3668)</f>
        <v>1</v>
      </c>
      <c r="S3669" s="14" t="n">
        <f aca="false">IFERROR(R3669/$X3669,"")</f>
        <v>0.0277777777777778</v>
      </c>
      <c r="T3669" s="11" t="n">
        <f aca="false">SUM(T3664:T3668)</f>
        <v>2</v>
      </c>
      <c r="U3669" s="14" t="n">
        <f aca="false">IFERROR(T3669/$X3669,"")</f>
        <v>0.0555555555555556</v>
      </c>
      <c r="V3669" s="11" t="n">
        <f aca="false">SUM(V3664:V3668)</f>
        <v>1</v>
      </c>
      <c r="W3669" s="14" t="n">
        <f aca="false">IFERROR(V3669/$X3669,"")</f>
        <v>0.0277777777777778</v>
      </c>
      <c r="X3669" s="11" t="n">
        <f aca="false">SUM(X3664:X3668)</f>
        <v>36</v>
      </c>
    </row>
    <row r="3670" customFormat="false" ht="15" hidden="false" customHeight="false" outlineLevel="0" collapsed="false">
      <c r="A3670" s="11" t="s">
        <v>3</v>
      </c>
    </row>
    <row r="3671" customFormat="false" ht="15" hidden="false" customHeight="false" outlineLevel="0" collapsed="false">
      <c r="A3671" s="12" t="s">
        <v>704</v>
      </c>
      <c r="B3671" s="12" t="n">
        <f aca="false">COUNTIFS(Cleaned!$D$2:$D$125,1,Cleaned!FS$2:FS$125,1)</f>
        <v>0</v>
      </c>
      <c r="C3671" s="13" t="n">
        <f aca="false">IFERROR(B3671/$X3671,"")</f>
        <v>0</v>
      </c>
      <c r="D3671" s="12" t="n">
        <f aca="false">COUNTIFS(Cleaned!$D$2:$D$125,1,Cleaned!FS$2:FS$125,2)</f>
        <v>4</v>
      </c>
      <c r="E3671" s="13" t="n">
        <f aca="false">IFERROR(D3671/$X3671,"")</f>
        <v>0.8</v>
      </c>
      <c r="F3671" s="12" t="n">
        <f aca="false">COUNTIFS(Cleaned!$D$2:$D$125,1,Cleaned!FS$2:FS$125,3)</f>
        <v>0</v>
      </c>
      <c r="G3671" s="13" t="n">
        <f aca="false">IFERROR(F3671/$X3671,"")</f>
        <v>0</v>
      </c>
      <c r="H3671" s="12" t="n">
        <f aca="false">COUNTIFS(Cleaned!$D$2:$D$125,1,Cleaned!FS$2:FS$125,4)</f>
        <v>0</v>
      </c>
      <c r="I3671" s="13" t="n">
        <f aca="false">IFERROR(H3671/$X3671,"")</f>
        <v>0</v>
      </c>
      <c r="J3671" s="12" t="n">
        <f aca="false">COUNTIFS(Cleaned!$D$2:$D$125,1,Cleaned!FS$2:FS$125,5)</f>
        <v>0</v>
      </c>
      <c r="K3671" s="13" t="n">
        <f aca="false">IFERROR(J3671/$X3671,"")</f>
        <v>0</v>
      </c>
      <c r="L3671" s="12" t="n">
        <f aca="false">COUNTIFS(Cleaned!$D$2:$D$125,1,Cleaned!FS$2:FS$125,6)</f>
        <v>0</v>
      </c>
      <c r="M3671" s="13" t="n">
        <f aca="false">IFERROR(L3671/$X3671,"")</f>
        <v>0</v>
      </c>
      <c r="N3671" s="12" t="n">
        <f aca="false">COUNTIFS(Cleaned!$D$2:$D$125,1,Cleaned!FS$2:FS$125,7)</f>
        <v>0</v>
      </c>
      <c r="O3671" s="13" t="n">
        <f aca="false">IFERROR(N3671/$X3671,"")</f>
        <v>0</v>
      </c>
      <c r="P3671" s="12" t="n">
        <f aca="false">COUNTIFS(Cleaned!$D$2:$D$125,1,Cleaned!FS$2:FS$125,8)</f>
        <v>1</v>
      </c>
      <c r="Q3671" s="13" t="n">
        <f aca="false">IFERROR(P3671/$X3671,"")</f>
        <v>0.2</v>
      </c>
      <c r="R3671" s="12" t="n">
        <f aca="false">COUNTIFS(Cleaned!$D$2:$D$125,1,Cleaned!FS$2:FS$125,9)</f>
        <v>0</v>
      </c>
      <c r="S3671" s="13" t="n">
        <f aca="false">IFERROR(R3671/$X3671,"")</f>
        <v>0</v>
      </c>
      <c r="T3671" s="12" t="n">
        <f aca="false">COUNTIFS(Cleaned!$D$2:$D$125,1,Cleaned!FS$2:FS$125,10)</f>
        <v>0</v>
      </c>
      <c r="U3671" s="13" t="n">
        <f aca="false">IFERROR(T3671/$X3671,"")</f>
        <v>0</v>
      </c>
      <c r="V3671" s="12" t="n">
        <f aca="false">COUNTIFS(Cleaned!$D$2:$D$125,1,Cleaned!FS$2:FS$125,11)</f>
        <v>0</v>
      </c>
      <c r="W3671" s="13" t="n">
        <f aca="false">IFERROR(V3671/$X3671,"")</f>
        <v>0</v>
      </c>
      <c r="X3671" s="12" t="n">
        <f aca="false">B3671+D3671+F3671+H3671+J3671+L3671+N3671+P3671+R3671+T3671+V3671</f>
        <v>5</v>
      </c>
    </row>
    <row r="3672" customFormat="false" ht="15" hidden="false" customHeight="false" outlineLevel="0" collapsed="false">
      <c r="A3672" s="12" t="s">
        <v>705</v>
      </c>
      <c r="B3672" s="12" t="n">
        <f aca="false">COUNTIFS(Cleaned!$D$2:$D$125,2,Cleaned!FS$2:FS$125,1)</f>
        <v>1</v>
      </c>
      <c r="C3672" s="13" t="n">
        <f aca="false">IFERROR(B3672/$X3672,"")</f>
        <v>0.1</v>
      </c>
      <c r="D3672" s="12" t="n">
        <f aca="false">COUNTIFS(Cleaned!$D$2:$D$125,2,Cleaned!FS$2:FS$125,2)</f>
        <v>5</v>
      </c>
      <c r="E3672" s="13" t="n">
        <f aca="false">IFERROR(D3672/$X3672,"")</f>
        <v>0.5</v>
      </c>
      <c r="F3672" s="12" t="n">
        <f aca="false">COUNTIFS(Cleaned!$D$2:$D$125,2,Cleaned!FS$2:FS$125,3)</f>
        <v>1</v>
      </c>
      <c r="G3672" s="13" t="n">
        <f aca="false">IFERROR(F3672/$X3672,"")</f>
        <v>0.1</v>
      </c>
      <c r="H3672" s="12" t="n">
        <f aca="false">COUNTIFS(Cleaned!$D$2:$D$125,2,Cleaned!FS$2:FS$125,4)</f>
        <v>0</v>
      </c>
      <c r="I3672" s="13" t="n">
        <f aca="false">IFERROR(H3672/$X3672,"")</f>
        <v>0</v>
      </c>
      <c r="J3672" s="12" t="n">
        <f aca="false">COUNTIFS(Cleaned!$D$2:$D$125,2,Cleaned!FS$2:FS$125,5)</f>
        <v>0</v>
      </c>
      <c r="K3672" s="13" t="n">
        <f aca="false">IFERROR(J3672/$X3672,"")</f>
        <v>0</v>
      </c>
      <c r="L3672" s="12" t="n">
        <f aca="false">COUNTIFS(Cleaned!$D$2:$D$125,2,Cleaned!FS$2:FS$125,6)</f>
        <v>0</v>
      </c>
      <c r="M3672" s="13" t="n">
        <f aca="false">IFERROR(L3672/$X3672,"")</f>
        <v>0</v>
      </c>
      <c r="N3672" s="12" t="n">
        <f aca="false">COUNTIFS(Cleaned!$D$2:$D$125,2,Cleaned!FS$2:FS$125,7)</f>
        <v>1</v>
      </c>
      <c r="O3672" s="13" t="n">
        <f aca="false">IFERROR(N3672/$X3672,"")</f>
        <v>0.1</v>
      </c>
      <c r="P3672" s="12" t="n">
        <f aca="false">COUNTIFS(Cleaned!$D$2:$D$125,2,Cleaned!FS$2:FS$125,8)</f>
        <v>0</v>
      </c>
      <c r="Q3672" s="13" t="n">
        <f aca="false">IFERROR(P3672/$X3672,"")</f>
        <v>0</v>
      </c>
      <c r="R3672" s="12" t="n">
        <f aca="false">COUNTIFS(Cleaned!$D$2:$D$125,2,Cleaned!FS$2:FS$125,9)</f>
        <v>1</v>
      </c>
      <c r="S3672" s="13" t="n">
        <f aca="false">IFERROR(R3672/$X3672,"")</f>
        <v>0.1</v>
      </c>
      <c r="T3672" s="12" t="n">
        <f aca="false">COUNTIFS(Cleaned!$D$2:$D$125,2,Cleaned!FS$2:FS$125,10)</f>
        <v>0</v>
      </c>
      <c r="U3672" s="13" t="n">
        <f aca="false">IFERROR(T3672/$X3672,"")</f>
        <v>0</v>
      </c>
      <c r="V3672" s="12" t="n">
        <f aca="false">COUNTIFS(Cleaned!$D$2:$D$125,2,Cleaned!FS$2:FS$125,11)</f>
        <v>1</v>
      </c>
      <c r="W3672" s="13" t="n">
        <f aca="false">IFERROR(V3672/$X3672,"")</f>
        <v>0.1</v>
      </c>
      <c r="X3672" s="12" t="n">
        <f aca="false">B3672+D3672+F3672+H3672+J3672+L3672+N3672+P3672+R3672+T3672+V3672</f>
        <v>10</v>
      </c>
    </row>
    <row r="3673" customFormat="false" ht="15" hidden="false" customHeight="false" outlineLevel="0" collapsed="false">
      <c r="A3673" s="12" t="s">
        <v>706</v>
      </c>
      <c r="B3673" s="12" t="n">
        <f aca="false">COUNTIFS(Cleaned!$D$2:$D$125,3,Cleaned!FS$2:FS$125,1)</f>
        <v>0</v>
      </c>
      <c r="C3673" s="13" t="n">
        <f aca="false">IFERROR(B3673/$X3673,"")</f>
        <v>0</v>
      </c>
      <c r="D3673" s="12" t="n">
        <f aca="false">COUNTIFS(Cleaned!$D$2:$D$125,3,Cleaned!FS$2:FS$125,2)</f>
        <v>3</v>
      </c>
      <c r="E3673" s="13" t="n">
        <f aca="false">IFERROR(D3673/$X3673,"")</f>
        <v>0.6</v>
      </c>
      <c r="F3673" s="12" t="n">
        <f aca="false">COUNTIFS(Cleaned!$D$2:$D$125,3,Cleaned!FS$2:FS$125,3)</f>
        <v>0</v>
      </c>
      <c r="G3673" s="13" t="n">
        <f aca="false">IFERROR(F3673/$X3673,"")</f>
        <v>0</v>
      </c>
      <c r="H3673" s="12" t="n">
        <f aca="false">COUNTIFS(Cleaned!$D$2:$D$125,3,Cleaned!FS$2:FS$125,4)</f>
        <v>0</v>
      </c>
      <c r="I3673" s="13" t="n">
        <f aca="false">IFERROR(H3673/$X3673,"")</f>
        <v>0</v>
      </c>
      <c r="J3673" s="12" t="n">
        <f aca="false">COUNTIFS(Cleaned!$D$2:$D$125,3,Cleaned!FS$2:FS$125,5)</f>
        <v>0</v>
      </c>
      <c r="K3673" s="13" t="n">
        <f aca="false">IFERROR(J3673/$X3673,"")</f>
        <v>0</v>
      </c>
      <c r="L3673" s="12" t="n">
        <f aca="false">COUNTIFS(Cleaned!$D$2:$D$125,3,Cleaned!FS$2:FS$125,6)</f>
        <v>0</v>
      </c>
      <c r="M3673" s="13" t="n">
        <f aca="false">IFERROR(L3673/$X3673,"")</f>
        <v>0</v>
      </c>
      <c r="N3673" s="12" t="n">
        <f aca="false">COUNTIFS(Cleaned!$D$2:$D$125,3,Cleaned!FS$2:FS$125,7)</f>
        <v>0</v>
      </c>
      <c r="O3673" s="13" t="n">
        <f aca="false">IFERROR(N3673/$X3673,"")</f>
        <v>0</v>
      </c>
      <c r="P3673" s="12" t="n">
        <f aca="false">COUNTIFS(Cleaned!$D$2:$D$125,3,Cleaned!FS$2:FS$125,8)</f>
        <v>0</v>
      </c>
      <c r="Q3673" s="13" t="n">
        <f aca="false">IFERROR(P3673/$X3673,"")</f>
        <v>0</v>
      </c>
      <c r="R3673" s="12" t="n">
        <f aca="false">COUNTIFS(Cleaned!$D$2:$D$125,3,Cleaned!FS$2:FS$125,9)</f>
        <v>0</v>
      </c>
      <c r="S3673" s="13" t="n">
        <f aca="false">IFERROR(R3673/$X3673,"")</f>
        <v>0</v>
      </c>
      <c r="T3673" s="12" t="n">
        <f aca="false">COUNTIFS(Cleaned!$D$2:$D$125,3,Cleaned!FS$2:FS$125,10)</f>
        <v>2</v>
      </c>
      <c r="U3673" s="13" t="n">
        <f aca="false">IFERROR(T3673/$X3673,"")</f>
        <v>0.4</v>
      </c>
      <c r="V3673" s="12" t="n">
        <f aca="false">COUNTIFS(Cleaned!$D$2:$D$125,3,Cleaned!FS$2:FS$125,11)</f>
        <v>0</v>
      </c>
      <c r="W3673" s="13" t="n">
        <f aca="false">IFERROR(V3673/$X3673,"")</f>
        <v>0</v>
      </c>
      <c r="X3673" s="12" t="n">
        <f aca="false">B3673+D3673+F3673+H3673+J3673+L3673+N3673+P3673+R3673+T3673+V3673</f>
        <v>5</v>
      </c>
    </row>
    <row r="3674" customFormat="false" ht="15" hidden="false" customHeight="false" outlineLevel="0" collapsed="false">
      <c r="A3674" s="12" t="s">
        <v>707</v>
      </c>
      <c r="B3674" s="12" t="n">
        <f aca="false">COUNTIFS(Cleaned!$D$2:$D$125,4,Cleaned!FS$2:FS$125,1)</f>
        <v>0</v>
      </c>
      <c r="C3674" s="13" t="n">
        <f aca="false">IFERROR(B3674/$X3674,"")</f>
        <v>0</v>
      </c>
      <c r="D3674" s="12" t="n">
        <f aca="false">COUNTIFS(Cleaned!$D$2:$D$125,4,Cleaned!FS$2:FS$125,2)</f>
        <v>4</v>
      </c>
      <c r="E3674" s="13" t="n">
        <f aca="false">IFERROR(D3674/$X3674,"")</f>
        <v>1</v>
      </c>
      <c r="F3674" s="12" t="n">
        <f aca="false">COUNTIFS(Cleaned!$D$2:$D$125,4,Cleaned!FS$2:FS$125,3)</f>
        <v>0</v>
      </c>
      <c r="G3674" s="13" t="n">
        <f aca="false">IFERROR(F3674/$X3674,"")</f>
        <v>0</v>
      </c>
      <c r="H3674" s="12" t="n">
        <f aca="false">COUNTIFS(Cleaned!$D$2:$D$125,4,Cleaned!FS$2:FS$125,4)</f>
        <v>0</v>
      </c>
      <c r="I3674" s="13" t="n">
        <f aca="false">IFERROR(H3674/$X3674,"")</f>
        <v>0</v>
      </c>
      <c r="J3674" s="12" t="n">
        <f aca="false">COUNTIFS(Cleaned!$D$2:$D$125,4,Cleaned!FS$2:FS$125,5)</f>
        <v>0</v>
      </c>
      <c r="K3674" s="13" t="n">
        <f aca="false">IFERROR(J3674/$X3674,"")</f>
        <v>0</v>
      </c>
      <c r="L3674" s="12" t="n">
        <f aca="false">COUNTIFS(Cleaned!$D$2:$D$125,4,Cleaned!FS$2:FS$125,6)</f>
        <v>0</v>
      </c>
      <c r="M3674" s="13" t="n">
        <f aca="false">IFERROR(L3674/$X3674,"")</f>
        <v>0</v>
      </c>
      <c r="N3674" s="12" t="n">
        <f aca="false">COUNTIFS(Cleaned!$D$2:$D$125,4,Cleaned!FS$2:FS$125,7)</f>
        <v>0</v>
      </c>
      <c r="O3674" s="13" t="n">
        <f aca="false">IFERROR(N3674/$X3674,"")</f>
        <v>0</v>
      </c>
      <c r="P3674" s="12" t="n">
        <f aca="false">COUNTIFS(Cleaned!$D$2:$D$125,4,Cleaned!FS$2:FS$125,8)</f>
        <v>0</v>
      </c>
      <c r="Q3674" s="13" t="n">
        <f aca="false">IFERROR(P3674/$X3674,"")</f>
        <v>0</v>
      </c>
      <c r="R3674" s="12" t="n">
        <f aca="false">COUNTIFS(Cleaned!$D$2:$D$125,4,Cleaned!FS$2:FS$125,9)</f>
        <v>0</v>
      </c>
      <c r="S3674" s="13" t="n">
        <f aca="false">IFERROR(R3674/$X3674,"")</f>
        <v>0</v>
      </c>
      <c r="T3674" s="12" t="n">
        <f aca="false">COUNTIFS(Cleaned!$D$2:$D$125,4,Cleaned!FS$2:FS$125,10)</f>
        <v>0</v>
      </c>
      <c r="U3674" s="13" t="n">
        <f aca="false">IFERROR(T3674/$X3674,"")</f>
        <v>0</v>
      </c>
      <c r="V3674" s="12" t="n">
        <f aca="false">COUNTIFS(Cleaned!$D$2:$D$125,4,Cleaned!FS$2:FS$125,11)</f>
        <v>0</v>
      </c>
      <c r="W3674" s="13" t="n">
        <f aca="false">IFERROR(V3674/$X3674,"")</f>
        <v>0</v>
      </c>
      <c r="X3674" s="12" t="n">
        <f aca="false">B3674+D3674+F3674+H3674+J3674+L3674+N3674+P3674+R3674+T3674+V3674</f>
        <v>4</v>
      </c>
    </row>
    <row r="3675" customFormat="false" ht="15" hidden="false" customHeight="false" outlineLevel="0" collapsed="false">
      <c r="A3675" s="12" t="s">
        <v>708</v>
      </c>
      <c r="B3675" s="12" t="n">
        <f aca="false">COUNTIFS(Cleaned!$D$2:$D$125,5,Cleaned!FS$2:FS$125,1)</f>
        <v>0</v>
      </c>
      <c r="C3675" s="13" t="n">
        <f aca="false">IFERROR(B3675/$X3675,"")</f>
        <v>0</v>
      </c>
      <c r="D3675" s="12" t="n">
        <f aca="false">COUNTIFS(Cleaned!$D$2:$D$125,5,Cleaned!FS$2:FS$125,2)</f>
        <v>1</v>
      </c>
      <c r="E3675" s="13" t="n">
        <f aca="false">IFERROR(D3675/$X3675,"")</f>
        <v>1</v>
      </c>
      <c r="F3675" s="12" t="n">
        <f aca="false">COUNTIFS(Cleaned!$D$2:$D$125,5,Cleaned!FS$2:FS$125,3)</f>
        <v>0</v>
      </c>
      <c r="G3675" s="13" t="n">
        <f aca="false">IFERROR(F3675/$X3675,"")</f>
        <v>0</v>
      </c>
      <c r="H3675" s="12" t="n">
        <f aca="false">COUNTIFS(Cleaned!$D$2:$D$125,5,Cleaned!FS$2:FS$125,4)</f>
        <v>0</v>
      </c>
      <c r="I3675" s="13" t="n">
        <f aca="false">IFERROR(H3675/$X3675,"")</f>
        <v>0</v>
      </c>
      <c r="J3675" s="12" t="n">
        <f aca="false">COUNTIFS(Cleaned!$D$2:$D$125,5,Cleaned!FS$2:FS$125,5)</f>
        <v>0</v>
      </c>
      <c r="K3675" s="13" t="n">
        <f aca="false">IFERROR(J3675/$X3675,"")</f>
        <v>0</v>
      </c>
      <c r="L3675" s="12" t="n">
        <f aca="false">COUNTIFS(Cleaned!$D$2:$D$125,5,Cleaned!FS$2:FS$125,6)</f>
        <v>0</v>
      </c>
      <c r="M3675" s="13" t="n">
        <f aca="false">IFERROR(L3675/$X3675,"")</f>
        <v>0</v>
      </c>
      <c r="N3675" s="12" t="n">
        <f aca="false">COUNTIFS(Cleaned!$D$2:$D$125,5,Cleaned!FS$2:FS$125,7)</f>
        <v>0</v>
      </c>
      <c r="O3675" s="13" t="n">
        <f aca="false">IFERROR(N3675/$X3675,"")</f>
        <v>0</v>
      </c>
      <c r="P3675" s="12" t="n">
        <f aca="false">COUNTIFS(Cleaned!$D$2:$D$125,5,Cleaned!FS$2:FS$125,8)</f>
        <v>0</v>
      </c>
      <c r="Q3675" s="13" t="n">
        <f aca="false">IFERROR(P3675/$X3675,"")</f>
        <v>0</v>
      </c>
      <c r="R3675" s="12" t="n">
        <f aca="false">COUNTIFS(Cleaned!$D$2:$D$125,5,Cleaned!FS$2:FS$125,9)</f>
        <v>0</v>
      </c>
      <c r="S3675" s="13" t="n">
        <f aca="false">IFERROR(R3675/$X3675,"")</f>
        <v>0</v>
      </c>
      <c r="T3675" s="12" t="n">
        <f aca="false">COUNTIFS(Cleaned!$D$2:$D$125,5,Cleaned!FS$2:FS$125,10)</f>
        <v>0</v>
      </c>
      <c r="U3675" s="13" t="n">
        <f aca="false">IFERROR(T3675/$X3675,"")</f>
        <v>0</v>
      </c>
      <c r="V3675" s="12" t="n">
        <f aca="false">COUNTIFS(Cleaned!$D$2:$D$125,5,Cleaned!FS$2:FS$125,11)</f>
        <v>0</v>
      </c>
      <c r="W3675" s="13" t="n">
        <f aca="false">IFERROR(V3675/$X3675,"")</f>
        <v>0</v>
      </c>
      <c r="X3675" s="12" t="n">
        <f aca="false">B3675+D3675+F3675+H3675+J3675+L3675+N3675+P3675+R3675+T3675+V3675</f>
        <v>1</v>
      </c>
    </row>
    <row r="3676" customFormat="false" ht="15" hidden="false" customHeight="false" outlineLevel="0" collapsed="false">
      <c r="A3676" s="12" t="s">
        <v>709</v>
      </c>
      <c r="B3676" s="12" t="n">
        <f aca="false">COUNTIFS(Cleaned!$D$2:$D$125,6,Cleaned!FS$2:FS$125,1)</f>
        <v>0</v>
      </c>
      <c r="C3676" s="13" t="n">
        <f aca="false">IFERROR(B3676/$X3676,"")</f>
        <v>0</v>
      </c>
      <c r="D3676" s="12" t="n">
        <f aca="false">COUNTIFS(Cleaned!$D$2:$D$125,6,Cleaned!FS$2:FS$125,2)</f>
        <v>1</v>
      </c>
      <c r="E3676" s="13" t="n">
        <f aca="false">IFERROR(D3676/$X3676,"")</f>
        <v>0.5</v>
      </c>
      <c r="F3676" s="12" t="n">
        <f aca="false">COUNTIFS(Cleaned!$D$2:$D$125,6,Cleaned!FS$2:FS$125,3)</f>
        <v>1</v>
      </c>
      <c r="G3676" s="13" t="n">
        <f aca="false">IFERROR(F3676/$X3676,"")</f>
        <v>0.5</v>
      </c>
      <c r="H3676" s="12" t="n">
        <f aca="false">COUNTIFS(Cleaned!$D$2:$D$125,6,Cleaned!FS$2:FS$125,4)</f>
        <v>0</v>
      </c>
      <c r="I3676" s="13" t="n">
        <f aca="false">IFERROR(H3676/$X3676,"")</f>
        <v>0</v>
      </c>
      <c r="J3676" s="12" t="n">
        <f aca="false">COUNTIFS(Cleaned!$D$2:$D$125,6,Cleaned!FS$2:FS$125,5)</f>
        <v>0</v>
      </c>
      <c r="K3676" s="13" t="n">
        <f aca="false">IFERROR(J3676/$X3676,"")</f>
        <v>0</v>
      </c>
      <c r="L3676" s="12" t="n">
        <f aca="false">COUNTIFS(Cleaned!$D$2:$D$125,6,Cleaned!FS$2:FS$125,6)</f>
        <v>0</v>
      </c>
      <c r="M3676" s="13" t="n">
        <f aca="false">IFERROR(L3676/$X3676,"")</f>
        <v>0</v>
      </c>
      <c r="N3676" s="12" t="n">
        <f aca="false">COUNTIFS(Cleaned!$D$2:$D$125,6,Cleaned!FS$2:FS$125,7)</f>
        <v>0</v>
      </c>
      <c r="O3676" s="13" t="n">
        <f aca="false">IFERROR(N3676/$X3676,"")</f>
        <v>0</v>
      </c>
      <c r="P3676" s="12" t="n">
        <f aca="false">COUNTIFS(Cleaned!$D$2:$D$125,6,Cleaned!FS$2:FS$125,8)</f>
        <v>0</v>
      </c>
      <c r="Q3676" s="13" t="n">
        <f aca="false">IFERROR(P3676/$X3676,"")</f>
        <v>0</v>
      </c>
      <c r="R3676" s="12" t="n">
        <f aca="false">COUNTIFS(Cleaned!$D$2:$D$125,6,Cleaned!FS$2:FS$125,9)</f>
        <v>0</v>
      </c>
      <c r="S3676" s="13" t="n">
        <f aca="false">IFERROR(R3676/$X3676,"")</f>
        <v>0</v>
      </c>
      <c r="T3676" s="12" t="n">
        <f aca="false">COUNTIFS(Cleaned!$D$2:$D$125,6,Cleaned!FS$2:FS$125,10)</f>
        <v>0</v>
      </c>
      <c r="U3676" s="13" t="n">
        <f aca="false">IFERROR(T3676/$X3676,"")</f>
        <v>0</v>
      </c>
      <c r="V3676" s="12" t="n">
        <f aca="false">COUNTIFS(Cleaned!$D$2:$D$125,6,Cleaned!FS$2:FS$125,11)</f>
        <v>0</v>
      </c>
      <c r="W3676" s="13" t="n">
        <f aca="false">IFERROR(V3676/$X3676,"")</f>
        <v>0</v>
      </c>
      <c r="X3676" s="12" t="n">
        <f aca="false">B3676+D3676+F3676+H3676+J3676+L3676+N3676+P3676+R3676+T3676+V3676</f>
        <v>2</v>
      </c>
    </row>
    <row r="3677" customFormat="false" ht="15" hidden="false" customHeight="false" outlineLevel="0" collapsed="false">
      <c r="A3677" s="12" t="s">
        <v>710</v>
      </c>
      <c r="B3677" s="12" t="n">
        <f aca="false">COUNTIFS(Cleaned!$D$2:$D$125,7,Cleaned!FS$2:FS$125,1)</f>
        <v>0</v>
      </c>
      <c r="C3677" s="13" t="n">
        <f aca="false">IFERROR(B3677/$X3677,"")</f>
        <v>0</v>
      </c>
      <c r="D3677" s="12" t="n">
        <f aca="false">COUNTIFS(Cleaned!$D$2:$D$125,7,Cleaned!FS$2:FS$125,2)</f>
        <v>3</v>
      </c>
      <c r="E3677" s="13" t="n">
        <f aca="false">IFERROR(D3677/$X3677,"")</f>
        <v>0.75</v>
      </c>
      <c r="F3677" s="12" t="n">
        <f aca="false">COUNTIFS(Cleaned!$D$2:$D$125,7,Cleaned!FS$2:FS$125,3)</f>
        <v>1</v>
      </c>
      <c r="G3677" s="13" t="n">
        <f aca="false">IFERROR(F3677/$X3677,"")</f>
        <v>0.25</v>
      </c>
      <c r="H3677" s="12" t="n">
        <f aca="false">COUNTIFS(Cleaned!$D$2:$D$125,7,Cleaned!FS$2:FS$125,4)</f>
        <v>0</v>
      </c>
      <c r="I3677" s="13" t="n">
        <f aca="false">IFERROR(H3677/$X3677,"")</f>
        <v>0</v>
      </c>
      <c r="J3677" s="12" t="n">
        <f aca="false">COUNTIFS(Cleaned!$D$2:$D$125,7,Cleaned!FS$2:FS$125,5)</f>
        <v>0</v>
      </c>
      <c r="K3677" s="13" t="n">
        <f aca="false">IFERROR(J3677/$X3677,"")</f>
        <v>0</v>
      </c>
      <c r="L3677" s="12" t="n">
        <f aca="false">COUNTIFS(Cleaned!$D$2:$D$125,7,Cleaned!FS$2:FS$125,6)</f>
        <v>0</v>
      </c>
      <c r="M3677" s="13" t="n">
        <f aca="false">IFERROR(L3677/$X3677,"")</f>
        <v>0</v>
      </c>
      <c r="N3677" s="12" t="n">
        <f aca="false">COUNTIFS(Cleaned!$D$2:$D$125,7,Cleaned!FS$2:FS$125,7)</f>
        <v>0</v>
      </c>
      <c r="O3677" s="13" t="n">
        <f aca="false">IFERROR(N3677/$X3677,"")</f>
        <v>0</v>
      </c>
      <c r="P3677" s="12" t="n">
        <f aca="false">COUNTIFS(Cleaned!$D$2:$D$125,7,Cleaned!FS$2:FS$125,8)</f>
        <v>0</v>
      </c>
      <c r="Q3677" s="13" t="n">
        <f aca="false">IFERROR(P3677/$X3677,"")</f>
        <v>0</v>
      </c>
      <c r="R3677" s="12" t="n">
        <f aca="false">COUNTIFS(Cleaned!$D$2:$D$125,7,Cleaned!FS$2:FS$125,9)</f>
        <v>0</v>
      </c>
      <c r="S3677" s="13" t="n">
        <f aca="false">IFERROR(R3677/$X3677,"")</f>
        <v>0</v>
      </c>
      <c r="T3677" s="12" t="n">
        <f aca="false">COUNTIFS(Cleaned!$D$2:$D$125,7,Cleaned!FS$2:FS$125,10)</f>
        <v>0</v>
      </c>
      <c r="U3677" s="13" t="n">
        <f aca="false">IFERROR(T3677/$X3677,"")</f>
        <v>0</v>
      </c>
      <c r="V3677" s="12" t="n">
        <f aca="false">COUNTIFS(Cleaned!$D$2:$D$125,7,Cleaned!FS$2:FS$125,11)</f>
        <v>0</v>
      </c>
      <c r="W3677" s="13" t="n">
        <f aca="false">IFERROR(V3677/$X3677,"")</f>
        <v>0</v>
      </c>
      <c r="X3677" s="12" t="n">
        <f aca="false">B3677+D3677+F3677+H3677+J3677+L3677+N3677+P3677+R3677+T3677+V3677</f>
        <v>4</v>
      </c>
    </row>
    <row r="3678" customFormat="false" ht="15" hidden="false" customHeight="false" outlineLevel="0" collapsed="false">
      <c r="A3678" s="12" t="s">
        <v>711</v>
      </c>
      <c r="B3678" s="12" t="n">
        <f aca="false">COUNTIFS(Cleaned!$D$2:$D$125,8,Cleaned!FS$2:FS$125,1)</f>
        <v>0</v>
      </c>
      <c r="C3678" s="13" t="n">
        <f aca="false">IFERROR(B3678/$X3678,"")</f>
        <v>0</v>
      </c>
      <c r="D3678" s="12" t="n">
        <f aca="false">COUNTIFS(Cleaned!$D$2:$D$125,8,Cleaned!FS$2:FS$125,2)</f>
        <v>2</v>
      </c>
      <c r="E3678" s="13" t="n">
        <f aca="false">IFERROR(D3678/$X3678,"")</f>
        <v>1</v>
      </c>
      <c r="F3678" s="12" t="n">
        <f aca="false">COUNTIFS(Cleaned!$D$2:$D$125,8,Cleaned!FS$2:FS$125,3)</f>
        <v>0</v>
      </c>
      <c r="G3678" s="13" t="n">
        <f aca="false">IFERROR(F3678/$X3678,"")</f>
        <v>0</v>
      </c>
      <c r="H3678" s="12" t="n">
        <f aca="false">COUNTIFS(Cleaned!$D$2:$D$125,8,Cleaned!FS$2:FS$125,4)</f>
        <v>0</v>
      </c>
      <c r="I3678" s="13" t="n">
        <f aca="false">IFERROR(H3678/$X3678,"")</f>
        <v>0</v>
      </c>
      <c r="J3678" s="12" t="n">
        <f aca="false">COUNTIFS(Cleaned!$D$2:$D$125,8,Cleaned!FS$2:FS$125,5)</f>
        <v>0</v>
      </c>
      <c r="K3678" s="13" t="n">
        <f aca="false">IFERROR(J3678/$X3678,"")</f>
        <v>0</v>
      </c>
      <c r="L3678" s="12" t="n">
        <f aca="false">COUNTIFS(Cleaned!$D$2:$D$125,8,Cleaned!FS$2:FS$125,6)</f>
        <v>0</v>
      </c>
      <c r="M3678" s="13" t="n">
        <f aca="false">IFERROR(L3678/$X3678,"")</f>
        <v>0</v>
      </c>
      <c r="N3678" s="12" t="n">
        <f aca="false">COUNTIFS(Cleaned!$D$2:$D$125,8,Cleaned!FS$2:FS$125,7)</f>
        <v>0</v>
      </c>
      <c r="O3678" s="13" t="n">
        <f aca="false">IFERROR(N3678/$X3678,"")</f>
        <v>0</v>
      </c>
      <c r="P3678" s="12" t="n">
        <f aca="false">COUNTIFS(Cleaned!$D$2:$D$125,8,Cleaned!FS$2:FS$125,8)</f>
        <v>0</v>
      </c>
      <c r="Q3678" s="13" t="n">
        <f aca="false">IFERROR(P3678/$X3678,"")</f>
        <v>0</v>
      </c>
      <c r="R3678" s="12" t="n">
        <f aca="false">COUNTIFS(Cleaned!$D$2:$D$125,8,Cleaned!FS$2:FS$125,9)</f>
        <v>0</v>
      </c>
      <c r="S3678" s="13" t="n">
        <f aca="false">IFERROR(R3678/$X3678,"")</f>
        <v>0</v>
      </c>
      <c r="T3678" s="12" t="n">
        <f aca="false">COUNTIFS(Cleaned!$D$2:$D$125,8,Cleaned!FS$2:FS$125,10)</f>
        <v>0</v>
      </c>
      <c r="U3678" s="13" t="n">
        <f aca="false">IFERROR(T3678/$X3678,"")</f>
        <v>0</v>
      </c>
      <c r="V3678" s="12" t="n">
        <f aca="false">COUNTIFS(Cleaned!$D$2:$D$125,8,Cleaned!FS$2:FS$125,11)</f>
        <v>0</v>
      </c>
      <c r="W3678" s="13" t="n">
        <f aca="false">IFERROR(V3678/$X3678,"")</f>
        <v>0</v>
      </c>
      <c r="X3678" s="12" t="n">
        <f aca="false">B3678+D3678+F3678+H3678+J3678+L3678+N3678+P3678+R3678+T3678+V3678</f>
        <v>2</v>
      </c>
    </row>
    <row r="3679" customFormat="false" ht="15" hidden="false" customHeight="false" outlineLevel="0" collapsed="false">
      <c r="A3679" s="12" t="s">
        <v>712</v>
      </c>
      <c r="B3679" s="12" t="n">
        <f aca="false">COUNTIFS(Cleaned!$D$2:$D$125,9,Cleaned!FS$2:FS$125,1)</f>
        <v>0</v>
      </c>
      <c r="C3679" s="13" t="str">
        <f aca="false">IFERROR(B3679/$X3679,"")</f>
        <v/>
      </c>
      <c r="D3679" s="12" t="n">
        <f aca="false">COUNTIFS(Cleaned!$D$2:$D$125,9,Cleaned!FS$2:FS$125,2)</f>
        <v>0</v>
      </c>
      <c r="E3679" s="13" t="str">
        <f aca="false">IFERROR(D3679/$X3679,"")</f>
        <v/>
      </c>
      <c r="F3679" s="12" t="n">
        <f aca="false">COUNTIFS(Cleaned!$D$2:$D$125,9,Cleaned!FS$2:FS$125,3)</f>
        <v>0</v>
      </c>
      <c r="G3679" s="13" t="str">
        <f aca="false">IFERROR(F3679/$X3679,"")</f>
        <v/>
      </c>
      <c r="H3679" s="12" t="n">
        <f aca="false">COUNTIFS(Cleaned!$D$2:$D$125,9,Cleaned!FS$2:FS$125,4)</f>
        <v>0</v>
      </c>
      <c r="I3679" s="13" t="str">
        <f aca="false">IFERROR(H3679/$X3679,"")</f>
        <v/>
      </c>
      <c r="J3679" s="12" t="n">
        <f aca="false">COUNTIFS(Cleaned!$D$2:$D$125,9,Cleaned!FS$2:FS$125,5)</f>
        <v>0</v>
      </c>
      <c r="K3679" s="13" t="str">
        <f aca="false">IFERROR(J3679/$X3679,"")</f>
        <v/>
      </c>
      <c r="L3679" s="12" t="n">
        <f aca="false">COUNTIFS(Cleaned!$D$2:$D$125,9,Cleaned!FS$2:FS$125,6)</f>
        <v>0</v>
      </c>
      <c r="M3679" s="13" t="str">
        <f aca="false">IFERROR(L3679/$X3679,"")</f>
        <v/>
      </c>
      <c r="N3679" s="12" t="n">
        <f aca="false">COUNTIFS(Cleaned!$D$2:$D$125,9,Cleaned!FS$2:FS$125,7)</f>
        <v>0</v>
      </c>
      <c r="O3679" s="13" t="str">
        <f aca="false">IFERROR(N3679/$X3679,"")</f>
        <v/>
      </c>
      <c r="P3679" s="12" t="n">
        <f aca="false">COUNTIFS(Cleaned!$D$2:$D$125,9,Cleaned!FS$2:FS$125,8)</f>
        <v>0</v>
      </c>
      <c r="Q3679" s="13" t="str">
        <f aca="false">IFERROR(P3679/$X3679,"")</f>
        <v/>
      </c>
      <c r="R3679" s="12" t="n">
        <f aca="false">COUNTIFS(Cleaned!$D$2:$D$125,9,Cleaned!FS$2:FS$125,9)</f>
        <v>0</v>
      </c>
      <c r="S3679" s="13" t="str">
        <f aca="false">IFERROR(R3679/$X3679,"")</f>
        <v/>
      </c>
      <c r="T3679" s="12" t="n">
        <f aca="false">COUNTIFS(Cleaned!$D$2:$D$125,9,Cleaned!FS$2:FS$125,10)</f>
        <v>0</v>
      </c>
      <c r="U3679" s="13" t="str">
        <f aca="false">IFERROR(T3679/$X3679,"")</f>
        <v/>
      </c>
      <c r="V3679" s="12" t="n">
        <f aca="false">COUNTIFS(Cleaned!$D$2:$D$125,9,Cleaned!FS$2:FS$125,11)</f>
        <v>0</v>
      </c>
      <c r="W3679" s="13" t="str">
        <f aca="false">IFERROR(V3679/$X3679,"")</f>
        <v/>
      </c>
      <c r="X3679" s="12" t="n">
        <f aca="false">B3679+D3679+F3679+H3679+J3679+L3679+N3679+P3679+R3679+T3679+V3679</f>
        <v>0</v>
      </c>
    </row>
    <row r="3680" customFormat="false" ht="15" hidden="false" customHeight="false" outlineLevel="0" collapsed="false">
      <c r="A3680" s="12" t="s">
        <v>713</v>
      </c>
      <c r="B3680" s="12" t="n">
        <f aca="false">COUNTIFS(Cleaned!$D$2:$D$125,10,Cleaned!FS$2:FS$125,1)</f>
        <v>0</v>
      </c>
      <c r="C3680" s="13" t="str">
        <f aca="false">IFERROR(B3680/$X3680,"")</f>
        <v/>
      </c>
      <c r="D3680" s="12" t="n">
        <f aca="false">COUNTIFS(Cleaned!$D$2:$D$125,10,Cleaned!FS$2:FS$125,2)</f>
        <v>0</v>
      </c>
      <c r="E3680" s="13" t="str">
        <f aca="false">IFERROR(D3680/$X3680,"")</f>
        <v/>
      </c>
      <c r="F3680" s="12" t="n">
        <f aca="false">COUNTIFS(Cleaned!$D$2:$D$125,10,Cleaned!FS$2:FS$125,3)</f>
        <v>0</v>
      </c>
      <c r="G3680" s="13" t="str">
        <f aca="false">IFERROR(F3680/$X3680,"")</f>
        <v/>
      </c>
      <c r="H3680" s="12" t="n">
        <f aca="false">COUNTIFS(Cleaned!$D$2:$D$125,10,Cleaned!FS$2:FS$125,4)</f>
        <v>0</v>
      </c>
      <c r="I3680" s="13" t="str">
        <f aca="false">IFERROR(H3680/$X3680,"")</f>
        <v/>
      </c>
      <c r="J3680" s="12" t="n">
        <f aca="false">COUNTIFS(Cleaned!$D$2:$D$125,10,Cleaned!FS$2:FS$125,5)</f>
        <v>0</v>
      </c>
      <c r="K3680" s="13" t="str">
        <f aca="false">IFERROR(J3680/$X3680,"")</f>
        <v/>
      </c>
      <c r="L3680" s="12" t="n">
        <f aca="false">COUNTIFS(Cleaned!$D$2:$D$125,10,Cleaned!FS$2:FS$125,6)</f>
        <v>0</v>
      </c>
      <c r="M3680" s="13" t="str">
        <f aca="false">IFERROR(L3680/$X3680,"")</f>
        <v/>
      </c>
      <c r="N3680" s="12" t="n">
        <f aca="false">COUNTIFS(Cleaned!$D$2:$D$125,10,Cleaned!FS$2:FS$125,7)</f>
        <v>0</v>
      </c>
      <c r="O3680" s="13" t="str">
        <f aca="false">IFERROR(N3680/$X3680,"")</f>
        <v/>
      </c>
      <c r="P3680" s="12" t="n">
        <f aca="false">COUNTIFS(Cleaned!$D$2:$D$125,10,Cleaned!FS$2:FS$125,8)</f>
        <v>0</v>
      </c>
      <c r="Q3680" s="13" t="str">
        <f aca="false">IFERROR(P3680/$X3680,"")</f>
        <v/>
      </c>
      <c r="R3680" s="12" t="n">
        <f aca="false">COUNTIFS(Cleaned!$D$2:$D$125,10,Cleaned!FS$2:FS$125,9)</f>
        <v>0</v>
      </c>
      <c r="S3680" s="13" t="str">
        <f aca="false">IFERROR(R3680/$X3680,"")</f>
        <v/>
      </c>
      <c r="T3680" s="12" t="n">
        <f aca="false">COUNTIFS(Cleaned!$D$2:$D$125,10,Cleaned!FS$2:FS$125,10)</f>
        <v>0</v>
      </c>
      <c r="U3680" s="13" t="str">
        <f aca="false">IFERROR(T3680/$X3680,"")</f>
        <v/>
      </c>
      <c r="V3680" s="12" t="n">
        <f aca="false">COUNTIFS(Cleaned!$D$2:$D$125,10,Cleaned!FS$2:FS$125,11)</f>
        <v>0</v>
      </c>
      <c r="W3680" s="13" t="str">
        <f aca="false">IFERROR(V3680/$X3680,"")</f>
        <v/>
      </c>
      <c r="X3680" s="12" t="n">
        <f aca="false">B3680+D3680+F3680+H3680+J3680+L3680+N3680+P3680+R3680+T3680+V3680</f>
        <v>0</v>
      </c>
    </row>
    <row r="3681" customFormat="false" ht="15" hidden="false" customHeight="false" outlineLevel="0" collapsed="false">
      <c r="A3681" s="12" t="s">
        <v>714</v>
      </c>
      <c r="B3681" s="12" t="n">
        <f aca="false">COUNTIFS(Cleaned!$D$2:$D$125,11,Cleaned!FS$2:FS$125,1)</f>
        <v>0</v>
      </c>
      <c r="C3681" s="13" t="n">
        <f aca="false">IFERROR(B3681/$X3681,"")</f>
        <v>0</v>
      </c>
      <c r="D3681" s="12" t="n">
        <f aca="false">COUNTIFS(Cleaned!$D$2:$D$125,11,Cleaned!FS$2:FS$125,2)</f>
        <v>1</v>
      </c>
      <c r="E3681" s="13" t="n">
        <f aca="false">IFERROR(D3681/$X3681,"")</f>
        <v>0.5</v>
      </c>
      <c r="F3681" s="12" t="n">
        <f aca="false">COUNTIFS(Cleaned!$D$2:$D$125,11,Cleaned!FS$2:FS$125,3)</f>
        <v>0</v>
      </c>
      <c r="G3681" s="13" t="n">
        <f aca="false">IFERROR(F3681/$X3681,"")</f>
        <v>0</v>
      </c>
      <c r="H3681" s="12" t="n">
        <f aca="false">COUNTIFS(Cleaned!$D$2:$D$125,11,Cleaned!FS$2:FS$125,4)</f>
        <v>0</v>
      </c>
      <c r="I3681" s="13" t="n">
        <f aca="false">IFERROR(H3681/$X3681,"")</f>
        <v>0</v>
      </c>
      <c r="J3681" s="12" t="n">
        <f aca="false">COUNTIFS(Cleaned!$D$2:$D$125,11,Cleaned!FS$2:FS$125,5)</f>
        <v>0</v>
      </c>
      <c r="K3681" s="13" t="n">
        <f aca="false">IFERROR(J3681/$X3681,"")</f>
        <v>0</v>
      </c>
      <c r="L3681" s="12" t="n">
        <f aca="false">COUNTIFS(Cleaned!$D$2:$D$125,11,Cleaned!FS$2:FS$125,6)</f>
        <v>1</v>
      </c>
      <c r="M3681" s="13" t="n">
        <f aca="false">IFERROR(L3681/$X3681,"")</f>
        <v>0.5</v>
      </c>
      <c r="N3681" s="12" t="n">
        <f aca="false">COUNTIFS(Cleaned!$D$2:$D$125,11,Cleaned!FS$2:FS$125,7)</f>
        <v>0</v>
      </c>
      <c r="O3681" s="13" t="n">
        <f aca="false">IFERROR(N3681/$X3681,"")</f>
        <v>0</v>
      </c>
      <c r="P3681" s="12" t="n">
        <f aca="false">COUNTIFS(Cleaned!$D$2:$D$125,11,Cleaned!FS$2:FS$125,8)</f>
        <v>0</v>
      </c>
      <c r="Q3681" s="13" t="n">
        <f aca="false">IFERROR(P3681/$X3681,"")</f>
        <v>0</v>
      </c>
      <c r="R3681" s="12" t="n">
        <f aca="false">COUNTIFS(Cleaned!$D$2:$D$125,11,Cleaned!FS$2:FS$125,9)</f>
        <v>0</v>
      </c>
      <c r="S3681" s="13" t="n">
        <f aca="false">IFERROR(R3681/$X3681,"")</f>
        <v>0</v>
      </c>
      <c r="T3681" s="12" t="n">
        <f aca="false">COUNTIFS(Cleaned!$D$2:$D$125,11,Cleaned!FS$2:FS$125,10)</f>
        <v>0</v>
      </c>
      <c r="U3681" s="13" t="n">
        <f aca="false">IFERROR(T3681/$X3681,"")</f>
        <v>0</v>
      </c>
      <c r="V3681" s="12" t="n">
        <f aca="false">COUNTIFS(Cleaned!$D$2:$D$125,11,Cleaned!FS$2:FS$125,11)</f>
        <v>0</v>
      </c>
      <c r="W3681" s="13" t="n">
        <f aca="false">IFERROR(V3681/$X3681,"")</f>
        <v>0</v>
      </c>
      <c r="X3681" s="12" t="n">
        <f aca="false">B3681+D3681+F3681+H3681+J3681+L3681+N3681+P3681+R3681+T3681+V3681</f>
        <v>2</v>
      </c>
    </row>
    <row r="3682" customFormat="false" ht="15" hidden="false" customHeight="false" outlineLevel="0" collapsed="false">
      <c r="A3682" s="12" t="s">
        <v>715</v>
      </c>
      <c r="B3682" s="12" t="n">
        <f aca="false">COUNTIFS(Cleaned!$D$2:$D$125,12,Cleaned!FS$2:FS$125,1)</f>
        <v>0</v>
      </c>
      <c r="C3682" s="13" t="n">
        <f aca="false">IFERROR(B3682/$X3682,"")</f>
        <v>0</v>
      </c>
      <c r="D3682" s="12" t="n">
        <f aca="false">COUNTIFS(Cleaned!$D$2:$D$125,12,Cleaned!FS$2:FS$125,2)</f>
        <v>0</v>
      </c>
      <c r="E3682" s="13" t="n">
        <f aca="false">IFERROR(D3682/$X3682,"")</f>
        <v>0</v>
      </c>
      <c r="F3682" s="12" t="n">
        <f aca="false">COUNTIFS(Cleaned!$D$2:$D$125,12,Cleaned!FS$2:FS$125,3)</f>
        <v>0</v>
      </c>
      <c r="G3682" s="13" t="n">
        <f aca="false">IFERROR(F3682/$X3682,"")</f>
        <v>0</v>
      </c>
      <c r="H3682" s="12" t="n">
        <f aca="false">COUNTIFS(Cleaned!$D$2:$D$125,12,Cleaned!FS$2:FS$125,4)</f>
        <v>1</v>
      </c>
      <c r="I3682" s="13" t="n">
        <f aca="false">IFERROR(H3682/$X3682,"")</f>
        <v>1</v>
      </c>
      <c r="J3682" s="12" t="n">
        <f aca="false">COUNTIFS(Cleaned!$D$2:$D$125,12,Cleaned!FS$2:FS$125,5)</f>
        <v>0</v>
      </c>
      <c r="K3682" s="13" t="n">
        <f aca="false">IFERROR(J3682/$X3682,"")</f>
        <v>0</v>
      </c>
      <c r="L3682" s="12" t="n">
        <f aca="false">COUNTIFS(Cleaned!$D$2:$D$125,12,Cleaned!FS$2:FS$125,6)</f>
        <v>0</v>
      </c>
      <c r="M3682" s="13" t="n">
        <f aca="false">IFERROR(L3682/$X3682,"")</f>
        <v>0</v>
      </c>
      <c r="N3682" s="12" t="n">
        <f aca="false">COUNTIFS(Cleaned!$D$2:$D$125,12,Cleaned!FS$2:FS$125,7)</f>
        <v>0</v>
      </c>
      <c r="O3682" s="13" t="n">
        <f aca="false">IFERROR(N3682/$X3682,"")</f>
        <v>0</v>
      </c>
      <c r="P3682" s="12" t="n">
        <f aca="false">COUNTIFS(Cleaned!$D$2:$D$125,12,Cleaned!FS$2:FS$125,8)</f>
        <v>0</v>
      </c>
      <c r="Q3682" s="13" t="n">
        <f aca="false">IFERROR(P3682/$X3682,"")</f>
        <v>0</v>
      </c>
      <c r="R3682" s="12" t="n">
        <f aca="false">COUNTIFS(Cleaned!$D$2:$D$125,12,Cleaned!FS$2:FS$125,9)</f>
        <v>0</v>
      </c>
      <c r="S3682" s="13" t="n">
        <f aca="false">IFERROR(R3682/$X3682,"")</f>
        <v>0</v>
      </c>
      <c r="T3682" s="12" t="n">
        <f aca="false">COUNTIFS(Cleaned!$D$2:$D$125,12,Cleaned!FS$2:FS$125,10)</f>
        <v>0</v>
      </c>
      <c r="U3682" s="13" t="n">
        <f aca="false">IFERROR(T3682/$X3682,"")</f>
        <v>0</v>
      </c>
      <c r="V3682" s="12" t="n">
        <f aca="false">COUNTIFS(Cleaned!$D$2:$D$125,12,Cleaned!FS$2:FS$125,11)</f>
        <v>0</v>
      </c>
      <c r="W3682" s="13" t="n">
        <f aca="false">IFERROR(V3682/$X3682,"")</f>
        <v>0</v>
      </c>
      <c r="X3682" s="12" t="n">
        <f aca="false">B3682+D3682+F3682+H3682+J3682+L3682+N3682+P3682+R3682+T3682+V3682</f>
        <v>1</v>
      </c>
    </row>
    <row r="3683" customFormat="false" ht="15" hidden="false" customHeight="false" outlineLevel="0" collapsed="false">
      <c r="A3683" s="11" t="s">
        <v>716</v>
      </c>
      <c r="B3683" s="11" t="n">
        <f aca="false">SUM(B3671:B3682)</f>
        <v>1</v>
      </c>
      <c r="C3683" s="14" t="n">
        <f aca="false">IFERROR(B3683/$X3683,"")</f>
        <v>0.0277777777777778</v>
      </c>
      <c r="D3683" s="11" t="n">
        <f aca="false">SUM(D3671:D3682)</f>
        <v>24</v>
      </c>
      <c r="E3683" s="14" t="n">
        <f aca="false">IFERROR(D3683/$X3683,"")</f>
        <v>0.666666666666667</v>
      </c>
      <c r="F3683" s="11" t="n">
        <f aca="false">SUM(F3671:F3682)</f>
        <v>3</v>
      </c>
      <c r="G3683" s="14" t="n">
        <f aca="false">IFERROR(F3683/$X3683,"")</f>
        <v>0.0833333333333333</v>
      </c>
      <c r="H3683" s="11" t="n">
        <f aca="false">SUM(H3671:H3682)</f>
        <v>1</v>
      </c>
      <c r="I3683" s="14" t="n">
        <f aca="false">IFERROR(H3683/$X3683,"")</f>
        <v>0.0277777777777778</v>
      </c>
      <c r="J3683" s="11" t="n">
        <f aca="false">SUM(J3671:J3682)</f>
        <v>0</v>
      </c>
      <c r="K3683" s="14" t="n">
        <f aca="false">IFERROR(J3683/$X3683,"")</f>
        <v>0</v>
      </c>
      <c r="L3683" s="11" t="n">
        <f aca="false">SUM(L3671:L3682)</f>
        <v>1</v>
      </c>
      <c r="M3683" s="14" t="n">
        <f aca="false">IFERROR(L3683/$X3683,"")</f>
        <v>0.0277777777777778</v>
      </c>
      <c r="N3683" s="11" t="n">
        <f aca="false">SUM(N3671:N3682)</f>
        <v>1</v>
      </c>
      <c r="O3683" s="14" t="n">
        <f aca="false">IFERROR(N3683/$X3683,"")</f>
        <v>0.0277777777777778</v>
      </c>
      <c r="P3683" s="11" t="n">
        <f aca="false">SUM(P3671:P3682)</f>
        <v>1</v>
      </c>
      <c r="Q3683" s="14" t="n">
        <f aca="false">IFERROR(P3683/$X3683,"")</f>
        <v>0.0277777777777778</v>
      </c>
      <c r="R3683" s="11" t="n">
        <f aca="false">SUM(R3671:R3682)</f>
        <v>1</v>
      </c>
      <c r="S3683" s="14" t="n">
        <f aca="false">IFERROR(R3683/$X3683,"")</f>
        <v>0.0277777777777778</v>
      </c>
      <c r="T3683" s="11" t="n">
        <f aca="false">SUM(T3671:T3682)</f>
        <v>2</v>
      </c>
      <c r="U3683" s="14" t="n">
        <f aca="false">IFERROR(T3683/$X3683,"")</f>
        <v>0.0555555555555556</v>
      </c>
      <c r="V3683" s="11" t="n">
        <f aca="false">SUM(V3671:V3682)</f>
        <v>1</v>
      </c>
      <c r="W3683" s="14" t="n">
        <f aca="false">IFERROR(V3683/$X3683,"")</f>
        <v>0.0277777777777778</v>
      </c>
      <c r="X3683" s="11" t="n">
        <f aca="false">SUM(X3671:X3682)</f>
        <v>36</v>
      </c>
    </row>
    <row r="3686" customFormat="false" ht="15" hidden="false" customHeight="false" outlineLevel="0" collapsed="false">
      <c r="A3686" s="6" t="s">
        <v>165</v>
      </c>
      <c r="B3686" s="7" t="s">
        <v>937</v>
      </c>
    </row>
    <row r="3687" customFormat="false" ht="15" hidden="false" customHeight="false" outlineLevel="0" collapsed="false">
      <c r="A3687" s="8"/>
      <c r="B3687" s="9" t="s">
        <v>718</v>
      </c>
      <c r="C3687" s="8"/>
      <c r="D3687" s="9" t="s">
        <v>719</v>
      </c>
      <c r="E3687" s="8"/>
      <c r="F3687" s="9" t="s">
        <v>694</v>
      </c>
    </row>
    <row r="3688" customFormat="false" ht="15" hidden="false" customHeight="false" outlineLevel="0" collapsed="false">
      <c r="B3688" s="10" t="s">
        <v>695</v>
      </c>
      <c r="C3688" s="10" t="s">
        <v>696</v>
      </c>
      <c r="D3688" s="10" t="s">
        <v>695</v>
      </c>
      <c r="E3688" s="10" t="s">
        <v>696</v>
      </c>
    </row>
    <row r="3689" customFormat="false" ht="15" hidden="false" customHeight="false" outlineLevel="0" collapsed="false">
      <c r="A3689" s="11" t="s">
        <v>697</v>
      </c>
    </row>
    <row r="3690" customFormat="false" ht="15" hidden="false" customHeight="false" outlineLevel="0" collapsed="false">
      <c r="A3690" s="12" t="s">
        <v>698</v>
      </c>
      <c r="B3690" s="12" t="n">
        <f aca="false">COUNTIFS(Cleaned!$C$2:$C$125,1,Cleaned!FT$2:FT$125,0)</f>
        <v>2</v>
      </c>
      <c r="C3690" s="13" t="n">
        <f aca="false">IFERROR(B3690/$F3690,"")</f>
        <v>1</v>
      </c>
      <c r="D3690" s="12" t="n">
        <f aca="false">COUNTIFS(Cleaned!$C$2:$C$125,1,Cleaned!FT$2:FT$125,1)</f>
        <v>0</v>
      </c>
      <c r="E3690" s="13" t="n">
        <f aca="false">IFERROR(D3690/$F3690,"")</f>
        <v>0</v>
      </c>
      <c r="F3690" s="12" t="n">
        <f aca="false">B3690+D3690</f>
        <v>2</v>
      </c>
    </row>
    <row r="3691" customFormat="false" ht="15" hidden="false" customHeight="false" outlineLevel="0" collapsed="false">
      <c r="A3691" s="12" t="s">
        <v>699</v>
      </c>
      <c r="B3691" s="12" t="n">
        <f aca="false">COUNTIFS(Cleaned!$C$2:$C$125,2,Cleaned!FT$2:FT$125,0)</f>
        <v>1</v>
      </c>
      <c r="C3691" s="13" t="n">
        <f aca="false">IFERROR(B3691/$F3691,"")</f>
        <v>0.5</v>
      </c>
      <c r="D3691" s="12" t="n">
        <f aca="false">COUNTIFS(Cleaned!$C$2:$C$125,2,Cleaned!FT$2:FT$125,1)</f>
        <v>1</v>
      </c>
      <c r="E3691" s="13" t="n">
        <f aca="false">IFERROR(D3691/$F3691,"")</f>
        <v>0.5</v>
      </c>
      <c r="F3691" s="12" t="n">
        <f aca="false">B3691+D3691</f>
        <v>2</v>
      </c>
    </row>
    <row r="3692" customFormat="false" ht="15" hidden="false" customHeight="false" outlineLevel="0" collapsed="false">
      <c r="A3692" s="12" t="s">
        <v>700</v>
      </c>
      <c r="B3692" s="12" t="n">
        <f aca="false">COUNTIFS(Cleaned!$C$2:$C$125,3,Cleaned!FT$2:FT$125,0)</f>
        <v>7</v>
      </c>
      <c r="C3692" s="13" t="n">
        <f aca="false">IFERROR(B3692/$F3692,"")</f>
        <v>0.777777777777778</v>
      </c>
      <c r="D3692" s="12" t="n">
        <f aca="false">COUNTIFS(Cleaned!$C$2:$C$125,3,Cleaned!FT$2:FT$125,1)</f>
        <v>2</v>
      </c>
      <c r="E3692" s="13" t="n">
        <f aca="false">IFERROR(D3692/$F3692,"")</f>
        <v>0.222222222222222</v>
      </c>
      <c r="F3692" s="12" t="n">
        <f aca="false">B3692+D3692</f>
        <v>9</v>
      </c>
    </row>
    <row r="3693" customFormat="false" ht="15" hidden="false" customHeight="false" outlineLevel="0" collapsed="false">
      <c r="A3693" s="12" t="s">
        <v>701</v>
      </c>
      <c r="B3693" s="12" t="n">
        <f aca="false">COUNTIFS(Cleaned!$C$2:$C$125,4,Cleaned!FT$2:FT$125,0)</f>
        <v>6</v>
      </c>
      <c r="C3693" s="13" t="n">
        <f aca="false">IFERROR(B3693/$F3693,"")</f>
        <v>0.75</v>
      </c>
      <c r="D3693" s="12" t="n">
        <f aca="false">COUNTIFS(Cleaned!$C$2:$C$125,4,Cleaned!FT$2:FT$125,1)</f>
        <v>2</v>
      </c>
      <c r="E3693" s="13" t="n">
        <f aca="false">IFERROR(D3693/$F3693,"")</f>
        <v>0.25</v>
      </c>
      <c r="F3693" s="12" t="n">
        <f aca="false">B3693+D3693</f>
        <v>8</v>
      </c>
    </row>
    <row r="3694" customFormat="false" ht="15" hidden="false" customHeight="false" outlineLevel="0" collapsed="false">
      <c r="A3694" s="12" t="s">
        <v>702</v>
      </c>
      <c r="B3694" s="12" t="n">
        <f aca="false">COUNTIFS(Cleaned!$C$2:$C$125,5,Cleaned!FT$2:FT$125,0)</f>
        <v>13</v>
      </c>
      <c r="C3694" s="13" t="n">
        <f aca="false">IFERROR(B3694/$F3694,"")</f>
        <v>0.8125</v>
      </c>
      <c r="D3694" s="12" t="n">
        <f aca="false">COUNTIFS(Cleaned!$C$2:$C$125,5,Cleaned!FT$2:FT$125,1)</f>
        <v>3</v>
      </c>
      <c r="E3694" s="13" t="n">
        <f aca="false">IFERROR(D3694/$F3694,"")</f>
        <v>0.1875</v>
      </c>
      <c r="F3694" s="12" t="n">
        <f aca="false">B3694+D3694</f>
        <v>16</v>
      </c>
    </row>
    <row r="3695" customFormat="false" ht="15" hidden="false" customHeight="false" outlineLevel="0" collapsed="false">
      <c r="A3695" s="11" t="s">
        <v>703</v>
      </c>
      <c r="B3695" s="11" t="n">
        <f aca="false">SUM(B3690:B3694)</f>
        <v>29</v>
      </c>
      <c r="C3695" s="14" t="n">
        <f aca="false">IFERROR(B3695/$F3695,"")</f>
        <v>0.783783783783784</v>
      </c>
      <c r="D3695" s="11" t="n">
        <f aca="false">SUM(D3690:D3694)</f>
        <v>8</v>
      </c>
      <c r="E3695" s="14" t="n">
        <f aca="false">IFERROR(D3695/$F3695,"")</f>
        <v>0.216216216216216</v>
      </c>
      <c r="F3695" s="11" t="n">
        <f aca="false">SUM(F3690:F3694)</f>
        <v>37</v>
      </c>
    </row>
    <row r="3696" customFormat="false" ht="15" hidden="false" customHeight="false" outlineLevel="0" collapsed="false">
      <c r="A3696" s="11" t="s">
        <v>3</v>
      </c>
    </row>
    <row r="3697" customFormat="false" ht="15" hidden="false" customHeight="false" outlineLevel="0" collapsed="false">
      <c r="A3697" s="12" t="s">
        <v>704</v>
      </c>
      <c r="B3697" s="12" t="n">
        <f aca="false">COUNTIFS(Cleaned!$D$2:$D$125,1,Cleaned!FT$2:FT$125,0)</f>
        <v>6</v>
      </c>
      <c r="C3697" s="13" t="n">
        <f aca="false">IFERROR(B3697/$F3697,"")</f>
        <v>1</v>
      </c>
      <c r="D3697" s="12" t="n">
        <f aca="false">COUNTIFS(Cleaned!$D$2:$D$125,1,Cleaned!FT$2:FT$125,1)</f>
        <v>0</v>
      </c>
      <c r="E3697" s="13" t="n">
        <f aca="false">IFERROR(D3697/$F3697,"")</f>
        <v>0</v>
      </c>
      <c r="F3697" s="12" t="n">
        <f aca="false">B3697+D3697</f>
        <v>6</v>
      </c>
    </row>
    <row r="3698" customFormat="false" ht="15" hidden="false" customHeight="false" outlineLevel="0" collapsed="false">
      <c r="A3698" s="12" t="s">
        <v>705</v>
      </c>
      <c r="B3698" s="12" t="n">
        <f aca="false">COUNTIFS(Cleaned!$D$2:$D$125,2,Cleaned!FT$2:FT$125,0)</f>
        <v>8</v>
      </c>
      <c r="C3698" s="13" t="n">
        <f aca="false">IFERROR(B3698/$F3698,"")</f>
        <v>0.8</v>
      </c>
      <c r="D3698" s="12" t="n">
        <f aca="false">COUNTIFS(Cleaned!$D$2:$D$125,2,Cleaned!FT$2:FT$125,1)</f>
        <v>2</v>
      </c>
      <c r="E3698" s="13" t="n">
        <f aca="false">IFERROR(D3698/$F3698,"")</f>
        <v>0.2</v>
      </c>
      <c r="F3698" s="12" t="n">
        <f aca="false">B3698+D3698</f>
        <v>10</v>
      </c>
    </row>
    <row r="3699" customFormat="false" ht="15" hidden="false" customHeight="false" outlineLevel="0" collapsed="false">
      <c r="A3699" s="12" t="s">
        <v>706</v>
      </c>
      <c r="B3699" s="12" t="n">
        <f aca="false">COUNTIFS(Cleaned!$D$2:$D$125,3,Cleaned!FT$2:FT$125,0)</f>
        <v>5</v>
      </c>
      <c r="C3699" s="13" t="n">
        <f aca="false">IFERROR(B3699/$F3699,"")</f>
        <v>1</v>
      </c>
      <c r="D3699" s="12" t="n">
        <f aca="false">COUNTIFS(Cleaned!$D$2:$D$125,3,Cleaned!FT$2:FT$125,1)</f>
        <v>0</v>
      </c>
      <c r="E3699" s="13" t="n">
        <f aca="false">IFERROR(D3699/$F3699,"")</f>
        <v>0</v>
      </c>
      <c r="F3699" s="12" t="n">
        <f aca="false">B3699+D3699</f>
        <v>5</v>
      </c>
    </row>
    <row r="3700" customFormat="false" ht="15" hidden="false" customHeight="false" outlineLevel="0" collapsed="false">
      <c r="A3700" s="12" t="s">
        <v>707</v>
      </c>
      <c r="B3700" s="12" t="n">
        <f aca="false">COUNTIFS(Cleaned!$D$2:$D$125,4,Cleaned!FT$2:FT$125,0)</f>
        <v>2</v>
      </c>
      <c r="C3700" s="13" t="n">
        <f aca="false">IFERROR(B3700/$F3700,"")</f>
        <v>0.5</v>
      </c>
      <c r="D3700" s="12" t="n">
        <f aca="false">COUNTIFS(Cleaned!$D$2:$D$125,4,Cleaned!FT$2:FT$125,1)</f>
        <v>2</v>
      </c>
      <c r="E3700" s="13" t="n">
        <f aca="false">IFERROR(D3700/$F3700,"")</f>
        <v>0.5</v>
      </c>
      <c r="F3700" s="12" t="n">
        <f aca="false">B3700+D3700</f>
        <v>4</v>
      </c>
    </row>
    <row r="3701" customFormat="false" ht="15" hidden="false" customHeight="false" outlineLevel="0" collapsed="false">
      <c r="A3701" s="12" t="s">
        <v>708</v>
      </c>
      <c r="B3701" s="12" t="n">
        <f aca="false">COUNTIFS(Cleaned!$D$2:$D$125,5,Cleaned!FT$2:FT$125,0)</f>
        <v>1</v>
      </c>
      <c r="C3701" s="13" t="n">
        <f aca="false">IFERROR(B3701/$F3701,"")</f>
        <v>1</v>
      </c>
      <c r="D3701" s="12" t="n">
        <f aca="false">COUNTIFS(Cleaned!$D$2:$D$125,5,Cleaned!FT$2:FT$125,1)</f>
        <v>0</v>
      </c>
      <c r="E3701" s="13" t="n">
        <f aca="false">IFERROR(D3701/$F3701,"")</f>
        <v>0</v>
      </c>
      <c r="F3701" s="12" t="n">
        <f aca="false">B3701+D3701</f>
        <v>1</v>
      </c>
    </row>
    <row r="3702" customFormat="false" ht="15" hidden="false" customHeight="false" outlineLevel="0" collapsed="false">
      <c r="A3702" s="12" t="s">
        <v>709</v>
      </c>
      <c r="B3702" s="12" t="n">
        <f aca="false">COUNTIFS(Cleaned!$D$2:$D$125,6,Cleaned!FT$2:FT$125,0)</f>
        <v>1</v>
      </c>
      <c r="C3702" s="13" t="n">
        <f aca="false">IFERROR(B3702/$F3702,"")</f>
        <v>1</v>
      </c>
      <c r="D3702" s="12" t="n">
        <f aca="false">COUNTIFS(Cleaned!$D$2:$D$125,6,Cleaned!FT$2:FT$125,1)</f>
        <v>0</v>
      </c>
      <c r="E3702" s="13" t="n">
        <f aca="false">IFERROR(D3702/$F3702,"")</f>
        <v>0</v>
      </c>
      <c r="F3702" s="12" t="n">
        <f aca="false">B3702+D3702</f>
        <v>1</v>
      </c>
    </row>
    <row r="3703" customFormat="false" ht="15" hidden="false" customHeight="false" outlineLevel="0" collapsed="false">
      <c r="A3703" s="12" t="s">
        <v>710</v>
      </c>
      <c r="B3703" s="12" t="n">
        <f aca="false">COUNTIFS(Cleaned!$D$2:$D$125,7,Cleaned!FT$2:FT$125,0)</f>
        <v>2</v>
      </c>
      <c r="C3703" s="13" t="n">
        <f aca="false">IFERROR(B3703/$F3703,"")</f>
        <v>0.4</v>
      </c>
      <c r="D3703" s="12" t="n">
        <f aca="false">COUNTIFS(Cleaned!$D$2:$D$125,7,Cleaned!FT$2:FT$125,1)</f>
        <v>3</v>
      </c>
      <c r="E3703" s="13" t="n">
        <f aca="false">IFERROR(D3703/$F3703,"")</f>
        <v>0.6</v>
      </c>
      <c r="F3703" s="12" t="n">
        <f aca="false">B3703+D3703</f>
        <v>5</v>
      </c>
    </row>
    <row r="3704" customFormat="false" ht="15" hidden="false" customHeight="false" outlineLevel="0" collapsed="false">
      <c r="A3704" s="12" t="s">
        <v>711</v>
      </c>
      <c r="B3704" s="12" t="n">
        <f aca="false">COUNTIFS(Cleaned!$D$2:$D$125,8,Cleaned!FT$2:FT$125,0)</f>
        <v>2</v>
      </c>
      <c r="C3704" s="13" t="n">
        <f aca="false">IFERROR(B3704/$F3704,"")</f>
        <v>1</v>
      </c>
      <c r="D3704" s="12" t="n">
        <f aca="false">COUNTIFS(Cleaned!$D$2:$D$125,8,Cleaned!FT$2:FT$125,1)</f>
        <v>0</v>
      </c>
      <c r="E3704" s="13" t="n">
        <f aca="false">IFERROR(D3704/$F3704,"")</f>
        <v>0</v>
      </c>
      <c r="F3704" s="12" t="n">
        <f aca="false">B3704+D3704</f>
        <v>2</v>
      </c>
    </row>
    <row r="3705" customFormat="false" ht="15" hidden="false" customHeight="false" outlineLevel="0" collapsed="false">
      <c r="A3705" s="12" t="s">
        <v>712</v>
      </c>
      <c r="B3705" s="12" t="n">
        <f aca="false">COUNTIFS(Cleaned!$D$2:$D$125,9,Cleaned!FT$2:FT$125,0)</f>
        <v>0</v>
      </c>
      <c r="C3705" s="13" t="str">
        <f aca="false">IFERROR(B3705/$F3705,"")</f>
        <v/>
      </c>
      <c r="D3705" s="12" t="n">
        <f aca="false">COUNTIFS(Cleaned!$D$2:$D$125,9,Cleaned!FT$2:FT$125,1)</f>
        <v>0</v>
      </c>
      <c r="E3705" s="13" t="str">
        <f aca="false">IFERROR(D3705/$F3705,"")</f>
        <v/>
      </c>
      <c r="F3705" s="12" t="n">
        <f aca="false">B3705+D3705</f>
        <v>0</v>
      </c>
    </row>
    <row r="3706" customFormat="false" ht="15" hidden="false" customHeight="false" outlineLevel="0" collapsed="false">
      <c r="A3706" s="12" t="s">
        <v>713</v>
      </c>
      <c r="B3706" s="12" t="n">
        <f aca="false">COUNTIFS(Cleaned!$D$2:$D$125,10,Cleaned!FT$2:FT$125,0)</f>
        <v>0</v>
      </c>
      <c r="C3706" s="13" t="str">
        <f aca="false">IFERROR(B3706/$F3706,"")</f>
        <v/>
      </c>
      <c r="D3706" s="12" t="n">
        <f aca="false">COUNTIFS(Cleaned!$D$2:$D$125,10,Cleaned!FT$2:FT$125,1)</f>
        <v>0</v>
      </c>
      <c r="E3706" s="13" t="str">
        <f aca="false">IFERROR(D3706/$F3706,"")</f>
        <v/>
      </c>
      <c r="F3706" s="12" t="n">
        <f aca="false">B3706+D3706</f>
        <v>0</v>
      </c>
    </row>
    <row r="3707" customFormat="false" ht="15" hidden="false" customHeight="false" outlineLevel="0" collapsed="false">
      <c r="A3707" s="12" t="s">
        <v>714</v>
      </c>
      <c r="B3707" s="12" t="n">
        <f aca="false">COUNTIFS(Cleaned!$D$2:$D$125,11,Cleaned!FT$2:FT$125,0)</f>
        <v>1</v>
      </c>
      <c r="C3707" s="13" t="n">
        <f aca="false">IFERROR(B3707/$F3707,"")</f>
        <v>0.5</v>
      </c>
      <c r="D3707" s="12" t="n">
        <f aca="false">COUNTIFS(Cleaned!$D$2:$D$125,11,Cleaned!FT$2:FT$125,1)</f>
        <v>1</v>
      </c>
      <c r="E3707" s="13" t="n">
        <f aca="false">IFERROR(D3707/$F3707,"")</f>
        <v>0.5</v>
      </c>
      <c r="F3707" s="12" t="n">
        <f aca="false">B3707+D3707</f>
        <v>2</v>
      </c>
    </row>
    <row r="3708" customFormat="false" ht="15" hidden="false" customHeight="false" outlineLevel="0" collapsed="false">
      <c r="A3708" s="12" t="s">
        <v>715</v>
      </c>
      <c r="B3708" s="12" t="n">
        <f aca="false">COUNTIFS(Cleaned!$D$2:$D$125,12,Cleaned!FT$2:FT$125,0)</f>
        <v>1</v>
      </c>
      <c r="C3708" s="13" t="n">
        <f aca="false">IFERROR(B3708/$F3708,"")</f>
        <v>1</v>
      </c>
      <c r="D3708" s="12" t="n">
        <f aca="false">COUNTIFS(Cleaned!$D$2:$D$125,12,Cleaned!FT$2:FT$125,1)</f>
        <v>0</v>
      </c>
      <c r="E3708" s="13" t="n">
        <f aca="false">IFERROR(D3708/$F3708,"")</f>
        <v>0</v>
      </c>
      <c r="F3708" s="12" t="n">
        <f aca="false">B3708+D3708</f>
        <v>1</v>
      </c>
    </row>
    <row r="3709" customFormat="false" ht="15" hidden="false" customHeight="false" outlineLevel="0" collapsed="false">
      <c r="A3709" s="11" t="s">
        <v>716</v>
      </c>
      <c r="B3709" s="11" t="n">
        <f aca="false">SUM(B3697:B3708)</f>
        <v>29</v>
      </c>
      <c r="C3709" s="14" t="n">
        <f aca="false">IFERROR(B3709/$F3709,"")</f>
        <v>0.783783783783784</v>
      </c>
      <c r="D3709" s="11" t="n">
        <f aca="false">SUM(D3697:D3708)</f>
        <v>8</v>
      </c>
      <c r="E3709" s="14" t="n">
        <f aca="false">IFERROR(D3709/$F3709,"")</f>
        <v>0.216216216216216</v>
      </c>
      <c r="F3709" s="11" t="n">
        <f aca="false">SUM(F3697:F3708)</f>
        <v>37</v>
      </c>
    </row>
    <row r="3712" customFormat="false" ht="15" hidden="false" customHeight="false" outlineLevel="0" collapsed="false">
      <c r="A3712" s="6" t="s">
        <v>166</v>
      </c>
      <c r="B3712" s="7" t="s">
        <v>938</v>
      </c>
    </row>
    <row r="3713" customFormat="false" ht="15" hidden="false" customHeight="false" outlineLevel="0" collapsed="false">
      <c r="A3713" s="8"/>
      <c r="B3713" s="9" t="s">
        <v>718</v>
      </c>
      <c r="C3713" s="8"/>
      <c r="D3713" s="9" t="s">
        <v>719</v>
      </c>
      <c r="E3713" s="8"/>
      <c r="F3713" s="9" t="s">
        <v>694</v>
      </c>
    </row>
    <row r="3714" customFormat="false" ht="15" hidden="false" customHeight="false" outlineLevel="0" collapsed="false">
      <c r="B3714" s="10" t="s">
        <v>695</v>
      </c>
      <c r="C3714" s="10" t="s">
        <v>696</v>
      </c>
      <c r="D3714" s="10" t="s">
        <v>695</v>
      </c>
      <c r="E3714" s="10" t="s">
        <v>696</v>
      </c>
    </row>
    <row r="3715" customFormat="false" ht="15" hidden="false" customHeight="false" outlineLevel="0" collapsed="false">
      <c r="A3715" s="11" t="s">
        <v>697</v>
      </c>
    </row>
    <row r="3716" customFormat="false" ht="15" hidden="false" customHeight="false" outlineLevel="0" collapsed="false">
      <c r="A3716" s="12" t="s">
        <v>698</v>
      </c>
      <c r="B3716" s="12" t="n">
        <f aca="false">COUNTIFS(Cleaned!$C$2:$C$125,1,Cleaned!FU$2:FU$125,0)</f>
        <v>2</v>
      </c>
      <c r="C3716" s="13" t="n">
        <f aca="false">IFERROR(B3716/$F3716,"")</f>
        <v>1</v>
      </c>
      <c r="D3716" s="12" t="n">
        <f aca="false">COUNTIFS(Cleaned!$C$2:$C$125,1,Cleaned!FU$2:FU$125,1)</f>
        <v>0</v>
      </c>
      <c r="E3716" s="13" t="n">
        <f aca="false">IFERROR(D3716/$F3716,"")</f>
        <v>0</v>
      </c>
      <c r="F3716" s="12" t="n">
        <f aca="false">B3716+D3716</f>
        <v>2</v>
      </c>
    </row>
    <row r="3717" customFormat="false" ht="15" hidden="false" customHeight="false" outlineLevel="0" collapsed="false">
      <c r="A3717" s="12" t="s">
        <v>699</v>
      </c>
      <c r="B3717" s="12" t="n">
        <f aca="false">COUNTIFS(Cleaned!$C$2:$C$125,2,Cleaned!FU$2:FU$125,0)</f>
        <v>1</v>
      </c>
      <c r="C3717" s="13" t="n">
        <f aca="false">IFERROR(B3717/$F3717,"")</f>
        <v>0.5</v>
      </c>
      <c r="D3717" s="12" t="n">
        <f aca="false">COUNTIFS(Cleaned!$C$2:$C$125,2,Cleaned!FU$2:FU$125,1)</f>
        <v>1</v>
      </c>
      <c r="E3717" s="13" t="n">
        <f aca="false">IFERROR(D3717/$F3717,"")</f>
        <v>0.5</v>
      </c>
      <c r="F3717" s="12" t="n">
        <f aca="false">B3717+D3717</f>
        <v>2</v>
      </c>
    </row>
    <row r="3718" customFormat="false" ht="15" hidden="false" customHeight="false" outlineLevel="0" collapsed="false">
      <c r="A3718" s="12" t="s">
        <v>700</v>
      </c>
      <c r="B3718" s="12" t="n">
        <f aca="false">COUNTIFS(Cleaned!$C$2:$C$125,3,Cleaned!FU$2:FU$125,0)</f>
        <v>6</v>
      </c>
      <c r="C3718" s="13" t="n">
        <f aca="false">IFERROR(B3718/$F3718,"")</f>
        <v>0.666666666666667</v>
      </c>
      <c r="D3718" s="12" t="n">
        <f aca="false">COUNTIFS(Cleaned!$C$2:$C$125,3,Cleaned!FU$2:FU$125,1)</f>
        <v>3</v>
      </c>
      <c r="E3718" s="13" t="n">
        <f aca="false">IFERROR(D3718/$F3718,"")</f>
        <v>0.333333333333333</v>
      </c>
      <c r="F3718" s="12" t="n">
        <f aca="false">B3718+D3718</f>
        <v>9</v>
      </c>
    </row>
    <row r="3719" customFormat="false" ht="15" hidden="false" customHeight="false" outlineLevel="0" collapsed="false">
      <c r="A3719" s="12" t="s">
        <v>701</v>
      </c>
      <c r="B3719" s="12" t="n">
        <f aca="false">COUNTIFS(Cleaned!$C$2:$C$125,4,Cleaned!FU$2:FU$125,0)</f>
        <v>7</v>
      </c>
      <c r="C3719" s="13" t="n">
        <f aca="false">IFERROR(B3719/$F3719,"")</f>
        <v>0.875</v>
      </c>
      <c r="D3719" s="12" t="n">
        <f aca="false">COUNTIFS(Cleaned!$C$2:$C$125,4,Cleaned!FU$2:FU$125,1)</f>
        <v>1</v>
      </c>
      <c r="E3719" s="13" t="n">
        <f aca="false">IFERROR(D3719/$F3719,"")</f>
        <v>0.125</v>
      </c>
      <c r="F3719" s="12" t="n">
        <f aca="false">B3719+D3719</f>
        <v>8</v>
      </c>
    </row>
    <row r="3720" customFormat="false" ht="15" hidden="false" customHeight="false" outlineLevel="0" collapsed="false">
      <c r="A3720" s="12" t="s">
        <v>702</v>
      </c>
      <c r="B3720" s="12" t="n">
        <f aca="false">COUNTIFS(Cleaned!$C$2:$C$125,5,Cleaned!FU$2:FU$125,0)</f>
        <v>14</v>
      </c>
      <c r="C3720" s="13" t="n">
        <f aca="false">IFERROR(B3720/$F3720,"")</f>
        <v>0.875</v>
      </c>
      <c r="D3720" s="12" t="n">
        <f aca="false">COUNTIFS(Cleaned!$C$2:$C$125,5,Cleaned!FU$2:FU$125,1)</f>
        <v>2</v>
      </c>
      <c r="E3720" s="13" t="n">
        <f aca="false">IFERROR(D3720/$F3720,"")</f>
        <v>0.125</v>
      </c>
      <c r="F3720" s="12" t="n">
        <f aca="false">B3720+D3720</f>
        <v>16</v>
      </c>
    </row>
    <row r="3721" customFormat="false" ht="15" hidden="false" customHeight="false" outlineLevel="0" collapsed="false">
      <c r="A3721" s="11" t="s">
        <v>703</v>
      </c>
      <c r="B3721" s="11" t="n">
        <f aca="false">SUM(B3716:B3720)</f>
        <v>30</v>
      </c>
      <c r="C3721" s="14" t="n">
        <f aca="false">IFERROR(B3721/$F3721,"")</f>
        <v>0.810810810810811</v>
      </c>
      <c r="D3721" s="11" t="n">
        <f aca="false">SUM(D3716:D3720)</f>
        <v>7</v>
      </c>
      <c r="E3721" s="14" t="n">
        <f aca="false">IFERROR(D3721/$F3721,"")</f>
        <v>0.189189189189189</v>
      </c>
      <c r="F3721" s="11" t="n">
        <f aca="false">SUM(F3716:F3720)</f>
        <v>37</v>
      </c>
    </row>
    <row r="3722" customFormat="false" ht="15" hidden="false" customHeight="false" outlineLevel="0" collapsed="false">
      <c r="A3722" s="11" t="s">
        <v>3</v>
      </c>
    </row>
    <row r="3723" customFormat="false" ht="15" hidden="false" customHeight="false" outlineLevel="0" collapsed="false">
      <c r="A3723" s="12" t="s">
        <v>704</v>
      </c>
      <c r="B3723" s="12" t="n">
        <f aca="false">COUNTIFS(Cleaned!$D$2:$D$125,1,Cleaned!FU$2:FU$125,0)</f>
        <v>6</v>
      </c>
      <c r="C3723" s="13" t="n">
        <f aca="false">IFERROR(B3723/$F3723,"")</f>
        <v>1</v>
      </c>
      <c r="D3723" s="12" t="n">
        <f aca="false">COUNTIFS(Cleaned!$D$2:$D$125,1,Cleaned!FU$2:FU$125,1)</f>
        <v>0</v>
      </c>
      <c r="E3723" s="13" t="n">
        <f aca="false">IFERROR(D3723/$F3723,"")</f>
        <v>0</v>
      </c>
      <c r="F3723" s="12" t="n">
        <f aca="false">B3723+D3723</f>
        <v>6</v>
      </c>
    </row>
    <row r="3724" customFormat="false" ht="15" hidden="false" customHeight="false" outlineLevel="0" collapsed="false">
      <c r="A3724" s="12" t="s">
        <v>705</v>
      </c>
      <c r="B3724" s="12" t="n">
        <f aca="false">COUNTIFS(Cleaned!$D$2:$D$125,2,Cleaned!FU$2:FU$125,0)</f>
        <v>9</v>
      </c>
      <c r="C3724" s="13" t="n">
        <f aca="false">IFERROR(B3724/$F3724,"")</f>
        <v>0.9</v>
      </c>
      <c r="D3724" s="12" t="n">
        <f aca="false">COUNTIFS(Cleaned!$D$2:$D$125,2,Cleaned!FU$2:FU$125,1)</f>
        <v>1</v>
      </c>
      <c r="E3724" s="13" t="n">
        <f aca="false">IFERROR(D3724/$F3724,"")</f>
        <v>0.1</v>
      </c>
      <c r="F3724" s="12" t="n">
        <f aca="false">B3724+D3724</f>
        <v>10</v>
      </c>
    </row>
    <row r="3725" customFormat="false" ht="15" hidden="false" customHeight="false" outlineLevel="0" collapsed="false">
      <c r="A3725" s="12" t="s">
        <v>706</v>
      </c>
      <c r="B3725" s="12" t="n">
        <f aca="false">COUNTIFS(Cleaned!$D$2:$D$125,3,Cleaned!FU$2:FU$125,0)</f>
        <v>3</v>
      </c>
      <c r="C3725" s="13" t="n">
        <f aca="false">IFERROR(B3725/$F3725,"")</f>
        <v>0.6</v>
      </c>
      <c r="D3725" s="12" t="n">
        <f aca="false">COUNTIFS(Cleaned!$D$2:$D$125,3,Cleaned!FU$2:FU$125,1)</f>
        <v>2</v>
      </c>
      <c r="E3725" s="13" t="n">
        <f aca="false">IFERROR(D3725/$F3725,"")</f>
        <v>0.4</v>
      </c>
      <c r="F3725" s="12" t="n">
        <f aca="false">B3725+D3725</f>
        <v>5</v>
      </c>
    </row>
    <row r="3726" customFormat="false" ht="15" hidden="false" customHeight="false" outlineLevel="0" collapsed="false">
      <c r="A3726" s="12" t="s">
        <v>707</v>
      </c>
      <c r="B3726" s="12" t="n">
        <f aca="false">COUNTIFS(Cleaned!$D$2:$D$125,4,Cleaned!FU$2:FU$125,0)</f>
        <v>4</v>
      </c>
      <c r="C3726" s="13" t="n">
        <f aca="false">IFERROR(B3726/$F3726,"")</f>
        <v>1</v>
      </c>
      <c r="D3726" s="12" t="n">
        <f aca="false">COUNTIFS(Cleaned!$D$2:$D$125,4,Cleaned!FU$2:FU$125,1)</f>
        <v>0</v>
      </c>
      <c r="E3726" s="13" t="n">
        <f aca="false">IFERROR(D3726/$F3726,"")</f>
        <v>0</v>
      </c>
      <c r="F3726" s="12" t="n">
        <f aca="false">B3726+D3726</f>
        <v>4</v>
      </c>
    </row>
    <row r="3727" customFormat="false" ht="15" hidden="false" customHeight="false" outlineLevel="0" collapsed="false">
      <c r="A3727" s="12" t="s">
        <v>708</v>
      </c>
      <c r="B3727" s="12" t="n">
        <f aca="false">COUNTIFS(Cleaned!$D$2:$D$125,5,Cleaned!FU$2:FU$125,0)</f>
        <v>1</v>
      </c>
      <c r="C3727" s="13" t="n">
        <f aca="false">IFERROR(B3727/$F3727,"")</f>
        <v>1</v>
      </c>
      <c r="D3727" s="12" t="n">
        <f aca="false">COUNTIFS(Cleaned!$D$2:$D$125,5,Cleaned!FU$2:FU$125,1)</f>
        <v>0</v>
      </c>
      <c r="E3727" s="13" t="n">
        <f aca="false">IFERROR(D3727/$F3727,"")</f>
        <v>0</v>
      </c>
      <c r="F3727" s="12" t="n">
        <f aca="false">B3727+D3727</f>
        <v>1</v>
      </c>
    </row>
    <row r="3728" customFormat="false" ht="15" hidden="false" customHeight="false" outlineLevel="0" collapsed="false">
      <c r="A3728" s="12" t="s">
        <v>709</v>
      </c>
      <c r="B3728" s="12" t="n">
        <f aca="false">COUNTIFS(Cleaned!$D$2:$D$125,6,Cleaned!FU$2:FU$125,0)</f>
        <v>1</v>
      </c>
      <c r="C3728" s="13" t="n">
        <f aca="false">IFERROR(B3728/$F3728,"")</f>
        <v>1</v>
      </c>
      <c r="D3728" s="12" t="n">
        <f aca="false">COUNTIFS(Cleaned!$D$2:$D$125,6,Cleaned!FU$2:FU$125,1)</f>
        <v>0</v>
      </c>
      <c r="E3728" s="13" t="n">
        <f aca="false">IFERROR(D3728/$F3728,"")</f>
        <v>0</v>
      </c>
      <c r="F3728" s="12" t="n">
        <f aca="false">B3728+D3728</f>
        <v>1</v>
      </c>
    </row>
    <row r="3729" customFormat="false" ht="15" hidden="false" customHeight="false" outlineLevel="0" collapsed="false">
      <c r="A3729" s="12" t="s">
        <v>710</v>
      </c>
      <c r="B3729" s="12" t="n">
        <f aca="false">COUNTIFS(Cleaned!$D$2:$D$125,7,Cleaned!FU$2:FU$125,0)</f>
        <v>2</v>
      </c>
      <c r="C3729" s="13" t="n">
        <f aca="false">IFERROR(B3729/$F3729,"")</f>
        <v>0.4</v>
      </c>
      <c r="D3729" s="12" t="n">
        <f aca="false">COUNTIFS(Cleaned!$D$2:$D$125,7,Cleaned!FU$2:FU$125,1)</f>
        <v>3</v>
      </c>
      <c r="E3729" s="13" t="n">
        <f aca="false">IFERROR(D3729/$F3729,"")</f>
        <v>0.6</v>
      </c>
      <c r="F3729" s="12" t="n">
        <f aca="false">B3729+D3729</f>
        <v>5</v>
      </c>
    </row>
    <row r="3730" customFormat="false" ht="15" hidden="false" customHeight="false" outlineLevel="0" collapsed="false">
      <c r="A3730" s="12" t="s">
        <v>711</v>
      </c>
      <c r="B3730" s="12" t="n">
        <f aca="false">COUNTIFS(Cleaned!$D$2:$D$125,8,Cleaned!FU$2:FU$125,0)</f>
        <v>2</v>
      </c>
      <c r="C3730" s="13" t="n">
        <f aca="false">IFERROR(B3730/$F3730,"")</f>
        <v>1</v>
      </c>
      <c r="D3730" s="12" t="n">
        <f aca="false">COUNTIFS(Cleaned!$D$2:$D$125,8,Cleaned!FU$2:FU$125,1)</f>
        <v>0</v>
      </c>
      <c r="E3730" s="13" t="n">
        <f aca="false">IFERROR(D3730/$F3730,"")</f>
        <v>0</v>
      </c>
      <c r="F3730" s="12" t="n">
        <f aca="false">B3730+D3730</f>
        <v>2</v>
      </c>
    </row>
    <row r="3731" customFormat="false" ht="15" hidden="false" customHeight="false" outlineLevel="0" collapsed="false">
      <c r="A3731" s="12" t="s">
        <v>712</v>
      </c>
      <c r="B3731" s="12" t="n">
        <f aca="false">COUNTIFS(Cleaned!$D$2:$D$125,9,Cleaned!FU$2:FU$125,0)</f>
        <v>0</v>
      </c>
      <c r="C3731" s="13" t="str">
        <f aca="false">IFERROR(B3731/$F3731,"")</f>
        <v/>
      </c>
      <c r="D3731" s="12" t="n">
        <f aca="false">COUNTIFS(Cleaned!$D$2:$D$125,9,Cleaned!FU$2:FU$125,1)</f>
        <v>0</v>
      </c>
      <c r="E3731" s="13" t="str">
        <f aca="false">IFERROR(D3731/$F3731,"")</f>
        <v/>
      </c>
      <c r="F3731" s="12" t="n">
        <f aca="false">B3731+D3731</f>
        <v>0</v>
      </c>
    </row>
    <row r="3732" customFormat="false" ht="15" hidden="false" customHeight="false" outlineLevel="0" collapsed="false">
      <c r="A3732" s="12" t="s">
        <v>713</v>
      </c>
      <c r="B3732" s="12" t="n">
        <f aca="false">COUNTIFS(Cleaned!$D$2:$D$125,10,Cleaned!FU$2:FU$125,0)</f>
        <v>0</v>
      </c>
      <c r="C3732" s="13" t="str">
        <f aca="false">IFERROR(B3732/$F3732,"")</f>
        <v/>
      </c>
      <c r="D3732" s="12" t="n">
        <f aca="false">COUNTIFS(Cleaned!$D$2:$D$125,10,Cleaned!FU$2:FU$125,1)</f>
        <v>0</v>
      </c>
      <c r="E3732" s="13" t="str">
        <f aca="false">IFERROR(D3732/$F3732,"")</f>
        <v/>
      </c>
      <c r="F3732" s="12" t="n">
        <f aca="false">B3732+D3732</f>
        <v>0</v>
      </c>
    </row>
    <row r="3733" customFormat="false" ht="15" hidden="false" customHeight="false" outlineLevel="0" collapsed="false">
      <c r="A3733" s="12" t="s">
        <v>714</v>
      </c>
      <c r="B3733" s="12" t="n">
        <f aca="false">COUNTIFS(Cleaned!$D$2:$D$125,11,Cleaned!FU$2:FU$125,0)</f>
        <v>1</v>
      </c>
      <c r="C3733" s="13" t="n">
        <f aca="false">IFERROR(B3733/$F3733,"")</f>
        <v>0.5</v>
      </c>
      <c r="D3733" s="12" t="n">
        <f aca="false">COUNTIFS(Cleaned!$D$2:$D$125,11,Cleaned!FU$2:FU$125,1)</f>
        <v>1</v>
      </c>
      <c r="E3733" s="13" t="n">
        <f aca="false">IFERROR(D3733/$F3733,"")</f>
        <v>0.5</v>
      </c>
      <c r="F3733" s="12" t="n">
        <f aca="false">B3733+D3733</f>
        <v>2</v>
      </c>
    </row>
    <row r="3734" customFormat="false" ht="15" hidden="false" customHeight="false" outlineLevel="0" collapsed="false">
      <c r="A3734" s="12" t="s">
        <v>715</v>
      </c>
      <c r="B3734" s="12" t="n">
        <f aca="false">COUNTIFS(Cleaned!$D$2:$D$125,12,Cleaned!FU$2:FU$125,0)</f>
        <v>1</v>
      </c>
      <c r="C3734" s="13" t="n">
        <f aca="false">IFERROR(B3734/$F3734,"")</f>
        <v>1</v>
      </c>
      <c r="D3734" s="12" t="n">
        <f aca="false">COUNTIFS(Cleaned!$D$2:$D$125,12,Cleaned!FU$2:FU$125,1)</f>
        <v>0</v>
      </c>
      <c r="E3734" s="13" t="n">
        <f aca="false">IFERROR(D3734/$F3734,"")</f>
        <v>0</v>
      </c>
      <c r="F3734" s="12" t="n">
        <f aca="false">B3734+D3734</f>
        <v>1</v>
      </c>
    </row>
    <row r="3735" customFormat="false" ht="15" hidden="false" customHeight="false" outlineLevel="0" collapsed="false">
      <c r="A3735" s="11" t="s">
        <v>716</v>
      </c>
      <c r="B3735" s="11" t="n">
        <f aca="false">SUM(B3723:B3734)</f>
        <v>30</v>
      </c>
      <c r="C3735" s="14" t="n">
        <f aca="false">IFERROR(B3735/$F3735,"")</f>
        <v>0.810810810810811</v>
      </c>
      <c r="D3735" s="11" t="n">
        <f aca="false">SUM(D3723:D3734)</f>
        <v>7</v>
      </c>
      <c r="E3735" s="14" t="n">
        <f aca="false">IFERROR(D3735/$F3735,"")</f>
        <v>0.189189189189189</v>
      </c>
      <c r="F3735" s="11" t="n">
        <f aca="false">SUM(F3723:F3734)</f>
        <v>37</v>
      </c>
    </row>
    <row r="3738" customFormat="false" ht="15" hidden="false" customHeight="false" outlineLevel="0" collapsed="false">
      <c r="A3738" s="6" t="s">
        <v>167</v>
      </c>
      <c r="B3738" s="7" t="s">
        <v>939</v>
      </c>
    </row>
    <row r="3739" customFormat="false" ht="15" hidden="false" customHeight="false" outlineLevel="0" collapsed="false">
      <c r="A3739" s="8"/>
      <c r="B3739" s="9" t="s">
        <v>718</v>
      </c>
      <c r="C3739" s="8"/>
      <c r="D3739" s="9" t="s">
        <v>719</v>
      </c>
      <c r="E3739" s="8"/>
      <c r="F3739" s="9" t="s">
        <v>694</v>
      </c>
    </row>
    <row r="3740" customFormat="false" ht="15" hidden="false" customHeight="false" outlineLevel="0" collapsed="false">
      <c r="B3740" s="10" t="s">
        <v>695</v>
      </c>
      <c r="C3740" s="10" t="s">
        <v>696</v>
      </c>
      <c r="D3740" s="10" t="s">
        <v>695</v>
      </c>
      <c r="E3740" s="10" t="s">
        <v>696</v>
      </c>
    </row>
    <row r="3741" customFormat="false" ht="15" hidden="false" customHeight="false" outlineLevel="0" collapsed="false">
      <c r="A3741" s="11" t="s">
        <v>697</v>
      </c>
    </row>
    <row r="3742" customFormat="false" ht="15" hidden="false" customHeight="false" outlineLevel="0" collapsed="false">
      <c r="A3742" s="12" t="s">
        <v>698</v>
      </c>
      <c r="B3742" s="12" t="n">
        <f aca="false">COUNTIFS(Cleaned!$C$2:$C$125,1,Cleaned!FV$2:FV$125,0)</f>
        <v>1</v>
      </c>
      <c r="C3742" s="13" t="n">
        <f aca="false">IFERROR(B3742/$F3742,"")</f>
        <v>0.5</v>
      </c>
      <c r="D3742" s="12" t="n">
        <f aca="false">COUNTIFS(Cleaned!$C$2:$C$125,1,Cleaned!FV$2:FV$125,1)</f>
        <v>1</v>
      </c>
      <c r="E3742" s="13" t="n">
        <f aca="false">IFERROR(D3742/$F3742,"")</f>
        <v>0.5</v>
      </c>
      <c r="F3742" s="12" t="n">
        <f aca="false">B3742+D3742</f>
        <v>2</v>
      </c>
    </row>
    <row r="3743" customFormat="false" ht="15" hidden="false" customHeight="false" outlineLevel="0" collapsed="false">
      <c r="A3743" s="12" t="s">
        <v>699</v>
      </c>
      <c r="B3743" s="12" t="n">
        <f aca="false">COUNTIFS(Cleaned!$C$2:$C$125,2,Cleaned!FV$2:FV$125,0)</f>
        <v>2</v>
      </c>
      <c r="C3743" s="13" t="n">
        <f aca="false">IFERROR(B3743/$F3743,"")</f>
        <v>1</v>
      </c>
      <c r="D3743" s="12" t="n">
        <f aca="false">COUNTIFS(Cleaned!$C$2:$C$125,2,Cleaned!FV$2:FV$125,1)</f>
        <v>0</v>
      </c>
      <c r="E3743" s="13" t="n">
        <f aca="false">IFERROR(D3743/$F3743,"")</f>
        <v>0</v>
      </c>
      <c r="F3743" s="12" t="n">
        <f aca="false">B3743+D3743</f>
        <v>2</v>
      </c>
    </row>
    <row r="3744" customFormat="false" ht="15" hidden="false" customHeight="false" outlineLevel="0" collapsed="false">
      <c r="A3744" s="12" t="s">
        <v>700</v>
      </c>
      <c r="B3744" s="12" t="n">
        <f aca="false">COUNTIFS(Cleaned!$C$2:$C$125,3,Cleaned!FV$2:FV$125,0)</f>
        <v>5</v>
      </c>
      <c r="C3744" s="13" t="n">
        <f aca="false">IFERROR(B3744/$F3744,"")</f>
        <v>0.555555555555556</v>
      </c>
      <c r="D3744" s="12" t="n">
        <f aca="false">COUNTIFS(Cleaned!$C$2:$C$125,3,Cleaned!FV$2:FV$125,1)</f>
        <v>4</v>
      </c>
      <c r="E3744" s="13" t="n">
        <f aca="false">IFERROR(D3744/$F3744,"")</f>
        <v>0.444444444444444</v>
      </c>
      <c r="F3744" s="12" t="n">
        <f aca="false">B3744+D3744</f>
        <v>9</v>
      </c>
    </row>
    <row r="3745" customFormat="false" ht="15" hidden="false" customHeight="false" outlineLevel="0" collapsed="false">
      <c r="A3745" s="12" t="s">
        <v>701</v>
      </c>
      <c r="B3745" s="12" t="n">
        <f aca="false">COUNTIFS(Cleaned!$C$2:$C$125,4,Cleaned!FV$2:FV$125,0)</f>
        <v>8</v>
      </c>
      <c r="C3745" s="13" t="n">
        <f aca="false">IFERROR(B3745/$F3745,"")</f>
        <v>1</v>
      </c>
      <c r="D3745" s="12" t="n">
        <f aca="false">COUNTIFS(Cleaned!$C$2:$C$125,4,Cleaned!FV$2:FV$125,1)</f>
        <v>0</v>
      </c>
      <c r="E3745" s="13" t="n">
        <f aca="false">IFERROR(D3745/$F3745,"")</f>
        <v>0</v>
      </c>
      <c r="F3745" s="12" t="n">
        <f aca="false">B3745+D3745</f>
        <v>8</v>
      </c>
    </row>
    <row r="3746" customFormat="false" ht="15" hidden="false" customHeight="false" outlineLevel="0" collapsed="false">
      <c r="A3746" s="12" t="s">
        <v>702</v>
      </c>
      <c r="B3746" s="12" t="n">
        <f aca="false">COUNTIFS(Cleaned!$C$2:$C$125,5,Cleaned!FV$2:FV$125,0)</f>
        <v>8</v>
      </c>
      <c r="C3746" s="13" t="n">
        <f aca="false">IFERROR(B3746/$F3746,"")</f>
        <v>0.5</v>
      </c>
      <c r="D3746" s="12" t="n">
        <f aca="false">COUNTIFS(Cleaned!$C$2:$C$125,5,Cleaned!FV$2:FV$125,1)</f>
        <v>8</v>
      </c>
      <c r="E3746" s="13" t="n">
        <f aca="false">IFERROR(D3746/$F3746,"")</f>
        <v>0.5</v>
      </c>
      <c r="F3746" s="12" t="n">
        <f aca="false">B3746+D3746</f>
        <v>16</v>
      </c>
    </row>
    <row r="3747" customFormat="false" ht="15" hidden="false" customHeight="false" outlineLevel="0" collapsed="false">
      <c r="A3747" s="11" t="s">
        <v>703</v>
      </c>
      <c r="B3747" s="11" t="n">
        <f aca="false">SUM(B3742:B3746)</f>
        <v>24</v>
      </c>
      <c r="C3747" s="14" t="n">
        <f aca="false">IFERROR(B3747/$F3747,"")</f>
        <v>0.648648648648649</v>
      </c>
      <c r="D3747" s="11" t="n">
        <f aca="false">SUM(D3742:D3746)</f>
        <v>13</v>
      </c>
      <c r="E3747" s="14" t="n">
        <f aca="false">IFERROR(D3747/$F3747,"")</f>
        <v>0.351351351351351</v>
      </c>
      <c r="F3747" s="11" t="n">
        <f aca="false">SUM(F3742:F3746)</f>
        <v>37</v>
      </c>
    </row>
    <row r="3748" customFormat="false" ht="15" hidden="false" customHeight="false" outlineLevel="0" collapsed="false">
      <c r="A3748" s="11" t="s">
        <v>3</v>
      </c>
    </row>
    <row r="3749" customFormat="false" ht="15" hidden="false" customHeight="false" outlineLevel="0" collapsed="false">
      <c r="A3749" s="12" t="s">
        <v>704</v>
      </c>
      <c r="B3749" s="12" t="n">
        <f aca="false">COUNTIFS(Cleaned!$D$2:$D$125,1,Cleaned!FV$2:FV$125,0)</f>
        <v>4</v>
      </c>
      <c r="C3749" s="13" t="n">
        <f aca="false">IFERROR(B3749/$F3749,"")</f>
        <v>0.666666666666667</v>
      </c>
      <c r="D3749" s="12" t="n">
        <f aca="false">COUNTIFS(Cleaned!$D$2:$D$125,1,Cleaned!FV$2:FV$125,1)</f>
        <v>2</v>
      </c>
      <c r="E3749" s="13" t="n">
        <f aca="false">IFERROR(D3749/$F3749,"")</f>
        <v>0.333333333333333</v>
      </c>
      <c r="F3749" s="12" t="n">
        <f aca="false">B3749+D3749</f>
        <v>6</v>
      </c>
    </row>
    <row r="3750" customFormat="false" ht="15" hidden="false" customHeight="false" outlineLevel="0" collapsed="false">
      <c r="A3750" s="12" t="s">
        <v>705</v>
      </c>
      <c r="B3750" s="12" t="n">
        <f aca="false">COUNTIFS(Cleaned!$D$2:$D$125,2,Cleaned!FV$2:FV$125,0)</f>
        <v>3</v>
      </c>
      <c r="C3750" s="13" t="n">
        <f aca="false">IFERROR(B3750/$F3750,"")</f>
        <v>0.3</v>
      </c>
      <c r="D3750" s="12" t="n">
        <f aca="false">COUNTIFS(Cleaned!$D$2:$D$125,2,Cleaned!FV$2:FV$125,1)</f>
        <v>7</v>
      </c>
      <c r="E3750" s="13" t="n">
        <f aca="false">IFERROR(D3750/$F3750,"")</f>
        <v>0.7</v>
      </c>
      <c r="F3750" s="12" t="n">
        <f aca="false">B3750+D3750</f>
        <v>10</v>
      </c>
    </row>
    <row r="3751" customFormat="false" ht="15" hidden="false" customHeight="false" outlineLevel="0" collapsed="false">
      <c r="A3751" s="12" t="s">
        <v>706</v>
      </c>
      <c r="B3751" s="12" t="n">
        <f aca="false">COUNTIFS(Cleaned!$D$2:$D$125,3,Cleaned!FV$2:FV$125,0)</f>
        <v>4</v>
      </c>
      <c r="C3751" s="13" t="n">
        <f aca="false">IFERROR(B3751/$F3751,"")</f>
        <v>0.8</v>
      </c>
      <c r="D3751" s="12" t="n">
        <f aca="false">COUNTIFS(Cleaned!$D$2:$D$125,3,Cleaned!FV$2:FV$125,1)</f>
        <v>1</v>
      </c>
      <c r="E3751" s="13" t="n">
        <f aca="false">IFERROR(D3751/$F3751,"")</f>
        <v>0.2</v>
      </c>
      <c r="F3751" s="12" t="n">
        <f aca="false">B3751+D3751</f>
        <v>5</v>
      </c>
    </row>
    <row r="3752" customFormat="false" ht="15" hidden="false" customHeight="false" outlineLevel="0" collapsed="false">
      <c r="A3752" s="12" t="s">
        <v>707</v>
      </c>
      <c r="B3752" s="12" t="n">
        <f aca="false">COUNTIFS(Cleaned!$D$2:$D$125,4,Cleaned!FV$2:FV$125,0)</f>
        <v>3</v>
      </c>
      <c r="C3752" s="13" t="n">
        <f aca="false">IFERROR(B3752/$F3752,"")</f>
        <v>0.75</v>
      </c>
      <c r="D3752" s="12" t="n">
        <f aca="false">COUNTIFS(Cleaned!$D$2:$D$125,4,Cleaned!FV$2:FV$125,1)</f>
        <v>1</v>
      </c>
      <c r="E3752" s="13" t="n">
        <f aca="false">IFERROR(D3752/$F3752,"")</f>
        <v>0.25</v>
      </c>
      <c r="F3752" s="12" t="n">
        <f aca="false">B3752+D3752</f>
        <v>4</v>
      </c>
    </row>
    <row r="3753" customFormat="false" ht="15" hidden="false" customHeight="false" outlineLevel="0" collapsed="false">
      <c r="A3753" s="12" t="s">
        <v>708</v>
      </c>
      <c r="B3753" s="12" t="n">
        <f aca="false">COUNTIFS(Cleaned!$D$2:$D$125,5,Cleaned!FV$2:FV$125,0)</f>
        <v>1</v>
      </c>
      <c r="C3753" s="13" t="n">
        <f aca="false">IFERROR(B3753/$F3753,"")</f>
        <v>1</v>
      </c>
      <c r="D3753" s="12" t="n">
        <f aca="false">COUNTIFS(Cleaned!$D$2:$D$125,5,Cleaned!FV$2:FV$125,1)</f>
        <v>0</v>
      </c>
      <c r="E3753" s="13" t="n">
        <f aca="false">IFERROR(D3753/$F3753,"")</f>
        <v>0</v>
      </c>
      <c r="F3753" s="12" t="n">
        <f aca="false">B3753+D3753</f>
        <v>1</v>
      </c>
    </row>
    <row r="3754" customFormat="false" ht="15" hidden="false" customHeight="false" outlineLevel="0" collapsed="false">
      <c r="A3754" s="12" t="s">
        <v>709</v>
      </c>
      <c r="B3754" s="12" t="n">
        <f aca="false">COUNTIFS(Cleaned!$D$2:$D$125,6,Cleaned!FV$2:FV$125,0)</f>
        <v>1</v>
      </c>
      <c r="C3754" s="13" t="n">
        <f aca="false">IFERROR(B3754/$F3754,"")</f>
        <v>1</v>
      </c>
      <c r="D3754" s="12" t="n">
        <f aca="false">COUNTIFS(Cleaned!$D$2:$D$125,6,Cleaned!FV$2:FV$125,1)</f>
        <v>0</v>
      </c>
      <c r="E3754" s="13" t="n">
        <f aca="false">IFERROR(D3754/$F3754,"")</f>
        <v>0</v>
      </c>
      <c r="F3754" s="12" t="n">
        <f aca="false">B3754+D3754</f>
        <v>1</v>
      </c>
    </row>
    <row r="3755" customFormat="false" ht="15" hidden="false" customHeight="false" outlineLevel="0" collapsed="false">
      <c r="A3755" s="12" t="s">
        <v>710</v>
      </c>
      <c r="B3755" s="12" t="n">
        <f aca="false">COUNTIFS(Cleaned!$D$2:$D$125,7,Cleaned!FV$2:FV$125,0)</f>
        <v>4</v>
      </c>
      <c r="C3755" s="13" t="n">
        <f aca="false">IFERROR(B3755/$F3755,"")</f>
        <v>0.8</v>
      </c>
      <c r="D3755" s="12" t="n">
        <f aca="false">COUNTIFS(Cleaned!$D$2:$D$125,7,Cleaned!FV$2:FV$125,1)</f>
        <v>1</v>
      </c>
      <c r="E3755" s="13" t="n">
        <f aca="false">IFERROR(D3755/$F3755,"")</f>
        <v>0.2</v>
      </c>
      <c r="F3755" s="12" t="n">
        <f aca="false">B3755+D3755</f>
        <v>5</v>
      </c>
    </row>
    <row r="3756" customFormat="false" ht="15" hidden="false" customHeight="false" outlineLevel="0" collapsed="false">
      <c r="A3756" s="12" t="s">
        <v>711</v>
      </c>
      <c r="B3756" s="12" t="n">
        <f aca="false">COUNTIFS(Cleaned!$D$2:$D$125,8,Cleaned!FV$2:FV$125,0)</f>
        <v>1</v>
      </c>
      <c r="C3756" s="13" t="n">
        <f aca="false">IFERROR(B3756/$F3756,"")</f>
        <v>0.5</v>
      </c>
      <c r="D3756" s="12" t="n">
        <f aca="false">COUNTIFS(Cleaned!$D$2:$D$125,8,Cleaned!FV$2:FV$125,1)</f>
        <v>1</v>
      </c>
      <c r="E3756" s="13" t="n">
        <f aca="false">IFERROR(D3756/$F3756,"")</f>
        <v>0.5</v>
      </c>
      <c r="F3756" s="12" t="n">
        <f aca="false">B3756+D3756</f>
        <v>2</v>
      </c>
    </row>
    <row r="3757" customFormat="false" ht="15" hidden="false" customHeight="false" outlineLevel="0" collapsed="false">
      <c r="A3757" s="12" t="s">
        <v>712</v>
      </c>
      <c r="B3757" s="12" t="n">
        <f aca="false">COUNTIFS(Cleaned!$D$2:$D$125,9,Cleaned!FV$2:FV$125,0)</f>
        <v>0</v>
      </c>
      <c r="C3757" s="13" t="str">
        <f aca="false">IFERROR(B3757/$F3757,"")</f>
        <v/>
      </c>
      <c r="D3757" s="12" t="n">
        <f aca="false">COUNTIFS(Cleaned!$D$2:$D$125,9,Cleaned!FV$2:FV$125,1)</f>
        <v>0</v>
      </c>
      <c r="E3757" s="13" t="str">
        <f aca="false">IFERROR(D3757/$F3757,"")</f>
        <v/>
      </c>
      <c r="F3757" s="12" t="n">
        <f aca="false">B3757+D3757</f>
        <v>0</v>
      </c>
    </row>
    <row r="3758" customFormat="false" ht="15" hidden="false" customHeight="false" outlineLevel="0" collapsed="false">
      <c r="A3758" s="12" t="s">
        <v>713</v>
      </c>
      <c r="B3758" s="12" t="n">
        <f aca="false">COUNTIFS(Cleaned!$D$2:$D$125,10,Cleaned!FV$2:FV$125,0)</f>
        <v>0</v>
      </c>
      <c r="C3758" s="13" t="str">
        <f aca="false">IFERROR(B3758/$F3758,"")</f>
        <v/>
      </c>
      <c r="D3758" s="12" t="n">
        <f aca="false">COUNTIFS(Cleaned!$D$2:$D$125,10,Cleaned!FV$2:FV$125,1)</f>
        <v>0</v>
      </c>
      <c r="E3758" s="13" t="str">
        <f aca="false">IFERROR(D3758/$F3758,"")</f>
        <v/>
      </c>
      <c r="F3758" s="12" t="n">
        <f aca="false">B3758+D3758</f>
        <v>0</v>
      </c>
    </row>
    <row r="3759" customFormat="false" ht="15" hidden="false" customHeight="false" outlineLevel="0" collapsed="false">
      <c r="A3759" s="12" t="s">
        <v>714</v>
      </c>
      <c r="B3759" s="12" t="n">
        <f aca="false">COUNTIFS(Cleaned!$D$2:$D$125,11,Cleaned!FV$2:FV$125,0)</f>
        <v>2</v>
      </c>
      <c r="C3759" s="13" t="n">
        <f aca="false">IFERROR(B3759/$F3759,"")</f>
        <v>1</v>
      </c>
      <c r="D3759" s="12" t="n">
        <f aca="false">COUNTIFS(Cleaned!$D$2:$D$125,11,Cleaned!FV$2:FV$125,1)</f>
        <v>0</v>
      </c>
      <c r="E3759" s="13" t="n">
        <f aca="false">IFERROR(D3759/$F3759,"")</f>
        <v>0</v>
      </c>
      <c r="F3759" s="12" t="n">
        <f aca="false">B3759+D3759</f>
        <v>2</v>
      </c>
    </row>
    <row r="3760" customFormat="false" ht="15" hidden="false" customHeight="false" outlineLevel="0" collapsed="false">
      <c r="A3760" s="12" t="s">
        <v>715</v>
      </c>
      <c r="B3760" s="12" t="n">
        <f aca="false">COUNTIFS(Cleaned!$D$2:$D$125,12,Cleaned!FV$2:FV$125,0)</f>
        <v>1</v>
      </c>
      <c r="C3760" s="13" t="n">
        <f aca="false">IFERROR(B3760/$F3760,"")</f>
        <v>1</v>
      </c>
      <c r="D3760" s="12" t="n">
        <f aca="false">COUNTIFS(Cleaned!$D$2:$D$125,12,Cleaned!FV$2:FV$125,1)</f>
        <v>0</v>
      </c>
      <c r="E3760" s="13" t="n">
        <f aca="false">IFERROR(D3760/$F3760,"")</f>
        <v>0</v>
      </c>
      <c r="F3760" s="12" t="n">
        <f aca="false">B3760+D3760</f>
        <v>1</v>
      </c>
    </row>
    <row r="3761" customFormat="false" ht="15" hidden="false" customHeight="false" outlineLevel="0" collapsed="false">
      <c r="A3761" s="11" t="s">
        <v>716</v>
      </c>
      <c r="B3761" s="11" t="n">
        <f aca="false">SUM(B3749:B3760)</f>
        <v>24</v>
      </c>
      <c r="C3761" s="14" t="n">
        <f aca="false">IFERROR(B3761/$F3761,"")</f>
        <v>0.648648648648649</v>
      </c>
      <c r="D3761" s="11" t="n">
        <f aca="false">SUM(D3749:D3760)</f>
        <v>13</v>
      </c>
      <c r="E3761" s="14" t="n">
        <f aca="false">IFERROR(D3761/$F3761,"")</f>
        <v>0.351351351351351</v>
      </c>
      <c r="F3761" s="11" t="n">
        <f aca="false">SUM(F3749:F3760)</f>
        <v>37</v>
      </c>
    </row>
    <row r="3764" customFormat="false" ht="15" hidden="false" customHeight="false" outlineLevel="0" collapsed="false">
      <c r="A3764" s="6" t="s">
        <v>168</v>
      </c>
      <c r="B3764" s="7" t="s">
        <v>940</v>
      </c>
    </row>
    <row r="3765" customFormat="false" ht="15" hidden="false" customHeight="false" outlineLevel="0" collapsed="false">
      <c r="A3765" s="8"/>
      <c r="B3765" s="9" t="s">
        <v>718</v>
      </c>
      <c r="C3765" s="8"/>
      <c r="D3765" s="9" t="s">
        <v>719</v>
      </c>
      <c r="E3765" s="8"/>
      <c r="F3765" s="9" t="s">
        <v>694</v>
      </c>
    </row>
    <row r="3766" customFormat="false" ht="15" hidden="false" customHeight="false" outlineLevel="0" collapsed="false">
      <c r="B3766" s="10" t="s">
        <v>695</v>
      </c>
      <c r="C3766" s="10" t="s">
        <v>696</v>
      </c>
      <c r="D3766" s="10" t="s">
        <v>695</v>
      </c>
      <c r="E3766" s="10" t="s">
        <v>696</v>
      </c>
    </row>
    <row r="3767" customFormat="false" ht="15" hidden="false" customHeight="false" outlineLevel="0" collapsed="false">
      <c r="A3767" s="11" t="s">
        <v>697</v>
      </c>
    </row>
    <row r="3768" customFormat="false" ht="15" hidden="false" customHeight="false" outlineLevel="0" collapsed="false">
      <c r="A3768" s="12" t="s">
        <v>698</v>
      </c>
      <c r="B3768" s="12" t="n">
        <f aca="false">COUNTIFS(Cleaned!$C$2:$C$125,1,Cleaned!FW$2:FW$125,0)</f>
        <v>2</v>
      </c>
      <c r="C3768" s="13" t="n">
        <f aca="false">IFERROR(B3768/$F3768,"")</f>
        <v>1</v>
      </c>
      <c r="D3768" s="12" t="n">
        <f aca="false">COUNTIFS(Cleaned!$C$2:$C$125,1,Cleaned!FW$2:FW$125,1)</f>
        <v>0</v>
      </c>
      <c r="E3768" s="13" t="n">
        <f aca="false">IFERROR(D3768/$F3768,"")</f>
        <v>0</v>
      </c>
      <c r="F3768" s="12" t="n">
        <f aca="false">B3768+D3768</f>
        <v>2</v>
      </c>
    </row>
    <row r="3769" customFormat="false" ht="15" hidden="false" customHeight="false" outlineLevel="0" collapsed="false">
      <c r="A3769" s="12" t="s">
        <v>699</v>
      </c>
      <c r="B3769" s="12" t="n">
        <f aca="false">COUNTIFS(Cleaned!$C$2:$C$125,2,Cleaned!FW$2:FW$125,0)</f>
        <v>1</v>
      </c>
      <c r="C3769" s="13" t="n">
        <f aca="false">IFERROR(B3769/$F3769,"")</f>
        <v>0.5</v>
      </c>
      <c r="D3769" s="12" t="n">
        <f aca="false">COUNTIFS(Cleaned!$C$2:$C$125,2,Cleaned!FW$2:FW$125,1)</f>
        <v>1</v>
      </c>
      <c r="E3769" s="13" t="n">
        <f aca="false">IFERROR(D3769/$F3769,"")</f>
        <v>0.5</v>
      </c>
      <c r="F3769" s="12" t="n">
        <f aca="false">B3769+D3769</f>
        <v>2</v>
      </c>
    </row>
    <row r="3770" customFormat="false" ht="15" hidden="false" customHeight="false" outlineLevel="0" collapsed="false">
      <c r="A3770" s="12" t="s">
        <v>700</v>
      </c>
      <c r="B3770" s="12" t="n">
        <f aca="false">COUNTIFS(Cleaned!$C$2:$C$125,3,Cleaned!FW$2:FW$125,0)</f>
        <v>7</v>
      </c>
      <c r="C3770" s="13" t="n">
        <f aca="false">IFERROR(B3770/$F3770,"")</f>
        <v>0.777777777777778</v>
      </c>
      <c r="D3770" s="12" t="n">
        <f aca="false">COUNTIFS(Cleaned!$C$2:$C$125,3,Cleaned!FW$2:FW$125,1)</f>
        <v>2</v>
      </c>
      <c r="E3770" s="13" t="n">
        <f aca="false">IFERROR(D3770/$F3770,"")</f>
        <v>0.222222222222222</v>
      </c>
      <c r="F3770" s="12" t="n">
        <f aca="false">B3770+D3770</f>
        <v>9</v>
      </c>
    </row>
    <row r="3771" customFormat="false" ht="15" hidden="false" customHeight="false" outlineLevel="0" collapsed="false">
      <c r="A3771" s="12" t="s">
        <v>701</v>
      </c>
      <c r="B3771" s="12" t="n">
        <f aca="false">COUNTIFS(Cleaned!$C$2:$C$125,4,Cleaned!FW$2:FW$125,0)</f>
        <v>7</v>
      </c>
      <c r="C3771" s="13" t="n">
        <f aca="false">IFERROR(B3771/$F3771,"")</f>
        <v>0.875</v>
      </c>
      <c r="D3771" s="12" t="n">
        <f aca="false">COUNTIFS(Cleaned!$C$2:$C$125,4,Cleaned!FW$2:FW$125,1)</f>
        <v>1</v>
      </c>
      <c r="E3771" s="13" t="n">
        <f aca="false">IFERROR(D3771/$F3771,"")</f>
        <v>0.125</v>
      </c>
      <c r="F3771" s="12" t="n">
        <f aca="false">B3771+D3771</f>
        <v>8</v>
      </c>
    </row>
    <row r="3772" customFormat="false" ht="15" hidden="false" customHeight="false" outlineLevel="0" collapsed="false">
      <c r="A3772" s="12" t="s">
        <v>702</v>
      </c>
      <c r="B3772" s="12" t="n">
        <f aca="false">COUNTIFS(Cleaned!$C$2:$C$125,5,Cleaned!FW$2:FW$125,0)</f>
        <v>15</v>
      </c>
      <c r="C3772" s="13" t="n">
        <f aca="false">IFERROR(B3772/$F3772,"")</f>
        <v>0.9375</v>
      </c>
      <c r="D3772" s="12" t="n">
        <f aca="false">COUNTIFS(Cleaned!$C$2:$C$125,5,Cleaned!FW$2:FW$125,1)</f>
        <v>1</v>
      </c>
      <c r="E3772" s="13" t="n">
        <f aca="false">IFERROR(D3772/$F3772,"")</f>
        <v>0.0625</v>
      </c>
      <c r="F3772" s="12" t="n">
        <f aca="false">B3772+D3772</f>
        <v>16</v>
      </c>
    </row>
    <row r="3773" customFormat="false" ht="15" hidden="false" customHeight="false" outlineLevel="0" collapsed="false">
      <c r="A3773" s="11" t="s">
        <v>703</v>
      </c>
      <c r="B3773" s="11" t="n">
        <f aca="false">SUM(B3768:B3772)</f>
        <v>32</v>
      </c>
      <c r="C3773" s="14" t="n">
        <f aca="false">IFERROR(B3773/$F3773,"")</f>
        <v>0.864864864864865</v>
      </c>
      <c r="D3773" s="11" t="n">
        <f aca="false">SUM(D3768:D3772)</f>
        <v>5</v>
      </c>
      <c r="E3773" s="14" t="n">
        <f aca="false">IFERROR(D3773/$F3773,"")</f>
        <v>0.135135135135135</v>
      </c>
      <c r="F3773" s="11" t="n">
        <f aca="false">SUM(F3768:F3772)</f>
        <v>37</v>
      </c>
    </row>
    <row r="3774" customFormat="false" ht="15" hidden="false" customHeight="false" outlineLevel="0" collapsed="false">
      <c r="A3774" s="11" t="s">
        <v>3</v>
      </c>
    </row>
    <row r="3775" customFormat="false" ht="15" hidden="false" customHeight="false" outlineLevel="0" collapsed="false">
      <c r="A3775" s="12" t="s">
        <v>704</v>
      </c>
      <c r="B3775" s="12" t="n">
        <f aca="false">COUNTIFS(Cleaned!$D$2:$D$125,1,Cleaned!FW$2:FW$125,0)</f>
        <v>6</v>
      </c>
      <c r="C3775" s="13" t="n">
        <f aca="false">IFERROR(B3775/$F3775,"")</f>
        <v>1</v>
      </c>
      <c r="D3775" s="12" t="n">
        <f aca="false">COUNTIFS(Cleaned!$D$2:$D$125,1,Cleaned!FW$2:FW$125,1)</f>
        <v>0</v>
      </c>
      <c r="E3775" s="13" t="n">
        <f aca="false">IFERROR(D3775/$F3775,"")</f>
        <v>0</v>
      </c>
      <c r="F3775" s="12" t="n">
        <f aca="false">B3775+D3775</f>
        <v>6</v>
      </c>
    </row>
    <row r="3776" customFormat="false" ht="15" hidden="false" customHeight="false" outlineLevel="0" collapsed="false">
      <c r="A3776" s="12" t="s">
        <v>705</v>
      </c>
      <c r="B3776" s="12" t="n">
        <f aca="false">COUNTIFS(Cleaned!$D$2:$D$125,2,Cleaned!FW$2:FW$125,0)</f>
        <v>9</v>
      </c>
      <c r="C3776" s="13" t="n">
        <f aca="false">IFERROR(B3776/$F3776,"")</f>
        <v>0.9</v>
      </c>
      <c r="D3776" s="12" t="n">
        <f aca="false">COUNTIFS(Cleaned!$D$2:$D$125,2,Cleaned!FW$2:FW$125,1)</f>
        <v>1</v>
      </c>
      <c r="E3776" s="13" t="n">
        <f aca="false">IFERROR(D3776/$F3776,"")</f>
        <v>0.1</v>
      </c>
      <c r="F3776" s="12" t="n">
        <f aca="false">B3776+D3776</f>
        <v>10</v>
      </c>
    </row>
    <row r="3777" customFormat="false" ht="15" hidden="false" customHeight="false" outlineLevel="0" collapsed="false">
      <c r="A3777" s="12" t="s">
        <v>706</v>
      </c>
      <c r="B3777" s="12" t="n">
        <f aca="false">COUNTIFS(Cleaned!$D$2:$D$125,3,Cleaned!FW$2:FW$125,0)</f>
        <v>4</v>
      </c>
      <c r="C3777" s="13" t="n">
        <f aca="false">IFERROR(B3777/$F3777,"")</f>
        <v>0.8</v>
      </c>
      <c r="D3777" s="12" t="n">
        <f aca="false">COUNTIFS(Cleaned!$D$2:$D$125,3,Cleaned!FW$2:FW$125,1)</f>
        <v>1</v>
      </c>
      <c r="E3777" s="13" t="n">
        <f aca="false">IFERROR(D3777/$F3777,"")</f>
        <v>0.2</v>
      </c>
      <c r="F3777" s="12" t="n">
        <f aca="false">B3777+D3777</f>
        <v>5</v>
      </c>
    </row>
    <row r="3778" customFormat="false" ht="15" hidden="false" customHeight="false" outlineLevel="0" collapsed="false">
      <c r="A3778" s="12" t="s">
        <v>707</v>
      </c>
      <c r="B3778" s="12" t="n">
        <f aca="false">COUNTIFS(Cleaned!$D$2:$D$125,4,Cleaned!FW$2:FW$125,0)</f>
        <v>4</v>
      </c>
      <c r="C3778" s="13" t="n">
        <f aca="false">IFERROR(B3778/$F3778,"")</f>
        <v>1</v>
      </c>
      <c r="D3778" s="12" t="n">
        <f aca="false">COUNTIFS(Cleaned!$D$2:$D$125,4,Cleaned!FW$2:FW$125,1)</f>
        <v>0</v>
      </c>
      <c r="E3778" s="13" t="n">
        <f aca="false">IFERROR(D3778/$F3778,"")</f>
        <v>0</v>
      </c>
      <c r="F3778" s="12" t="n">
        <f aca="false">B3778+D3778</f>
        <v>4</v>
      </c>
    </row>
    <row r="3779" customFormat="false" ht="15" hidden="false" customHeight="false" outlineLevel="0" collapsed="false">
      <c r="A3779" s="12" t="s">
        <v>708</v>
      </c>
      <c r="B3779" s="12" t="n">
        <f aca="false">COUNTIFS(Cleaned!$D$2:$D$125,5,Cleaned!FW$2:FW$125,0)</f>
        <v>1</v>
      </c>
      <c r="C3779" s="13" t="n">
        <f aca="false">IFERROR(B3779/$F3779,"")</f>
        <v>1</v>
      </c>
      <c r="D3779" s="12" t="n">
        <f aca="false">COUNTIFS(Cleaned!$D$2:$D$125,5,Cleaned!FW$2:FW$125,1)</f>
        <v>0</v>
      </c>
      <c r="E3779" s="13" t="n">
        <f aca="false">IFERROR(D3779/$F3779,"")</f>
        <v>0</v>
      </c>
      <c r="F3779" s="12" t="n">
        <f aca="false">B3779+D3779</f>
        <v>1</v>
      </c>
    </row>
    <row r="3780" customFormat="false" ht="15" hidden="false" customHeight="false" outlineLevel="0" collapsed="false">
      <c r="A3780" s="12" t="s">
        <v>709</v>
      </c>
      <c r="B3780" s="12" t="n">
        <f aca="false">COUNTIFS(Cleaned!$D$2:$D$125,6,Cleaned!FW$2:FW$125,0)</f>
        <v>1</v>
      </c>
      <c r="C3780" s="13" t="n">
        <f aca="false">IFERROR(B3780/$F3780,"")</f>
        <v>1</v>
      </c>
      <c r="D3780" s="12" t="n">
        <f aca="false">COUNTIFS(Cleaned!$D$2:$D$125,6,Cleaned!FW$2:FW$125,1)</f>
        <v>0</v>
      </c>
      <c r="E3780" s="13" t="n">
        <f aca="false">IFERROR(D3780/$F3780,"")</f>
        <v>0</v>
      </c>
      <c r="F3780" s="12" t="n">
        <f aca="false">B3780+D3780</f>
        <v>1</v>
      </c>
    </row>
    <row r="3781" customFormat="false" ht="15" hidden="false" customHeight="false" outlineLevel="0" collapsed="false">
      <c r="A3781" s="12" t="s">
        <v>710</v>
      </c>
      <c r="B3781" s="12" t="n">
        <f aca="false">COUNTIFS(Cleaned!$D$2:$D$125,7,Cleaned!FW$2:FW$125,0)</f>
        <v>2</v>
      </c>
      <c r="C3781" s="13" t="n">
        <f aca="false">IFERROR(B3781/$F3781,"")</f>
        <v>0.4</v>
      </c>
      <c r="D3781" s="12" t="n">
        <f aca="false">COUNTIFS(Cleaned!$D$2:$D$125,7,Cleaned!FW$2:FW$125,1)</f>
        <v>3</v>
      </c>
      <c r="E3781" s="13" t="n">
        <f aca="false">IFERROR(D3781/$F3781,"")</f>
        <v>0.6</v>
      </c>
      <c r="F3781" s="12" t="n">
        <f aca="false">B3781+D3781</f>
        <v>5</v>
      </c>
    </row>
    <row r="3782" customFormat="false" ht="15" hidden="false" customHeight="false" outlineLevel="0" collapsed="false">
      <c r="A3782" s="12" t="s">
        <v>711</v>
      </c>
      <c r="B3782" s="12" t="n">
        <f aca="false">COUNTIFS(Cleaned!$D$2:$D$125,8,Cleaned!FW$2:FW$125,0)</f>
        <v>2</v>
      </c>
      <c r="C3782" s="13" t="n">
        <f aca="false">IFERROR(B3782/$F3782,"")</f>
        <v>1</v>
      </c>
      <c r="D3782" s="12" t="n">
        <f aca="false">COUNTIFS(Cleaned!$D$2:$D$125,8,Cleaned!FW$2:FW$125,1)</f>
        <v>0</v>
      </c>
      <c r="E3782" s="13" t="n">
        <f aca="false">IFERROR(D3782/$F3782,"")</f>
        <v>0</v>
      </c>
      <c r="F3782" s="12" t="n">
        <f aca="false">B3782+D3782</f>
        <v>2</v>
      </c>
    </row>
    <row r="3783" customFormat="false" ht="15" hidden="false" customHeight="false" outlineLevel="0" collapsed="false">
      <c r="A3783" s="12" t="s">
        <v>712</v>
      </c>
      <c r="B3783" s="12" t="n">
        <f aca="false">COUNTIFS(Cleaned!$D$2:$D$125,9,Cleaned!FW$2:FW$125,0)</f>
        <v>0</v>
      </c>
      <c r="C3783" s="13" t="str">
        <f aca="false">IFERROR(B3783/$F3783,"")</f>
        <v/>
      </c>
      <c r="D3783" s="12" t="n">
        <f aca="false">COUNTIFS(Cleaned!$D$2:$D$125,9,Cleaned!FW$2:FW$125,1)</f>
        <v>0</v>
      </c>
      <c r="E3783" s="13" t="str">
        <f aca="false">IFERROR(D3783/$F3783,"")</f>
        <v/>
      </c>
      <c r="F3783" s="12" t="n">
        <f aca="false">B3783+D3783</f>
        <v>0</v>
      </c>
    </row>
    <row r="3784" customFormat="false" ht="15" hidden="false" customHeight="false" outlineLevel="0" collapsed="false">
      <c r="A3784" s="12" t="s">
        <v>713</v>
      </c>
      <c r="B3784" s="12" t="n">
        <f aca="false">COUNTIFS(Cleaned!$D$2:$D$125,10,Cleaned!FW$2:FW$125,0)</f>
        <v>0</v>
      </c>
      <c r="C3784" s="13" t="str">
        <f aca="false">IFERROR(B3784/$F3784,"")</f>
        <v/>
      </c>
      <c r="D3784" s="12" t="n">
        <f aca="false">COUNTIFS(Cleaned!$D$2:$D$125,10,Cleaned!FW$2:FW$125,1)</f>
        <v>0</v>
      </c>
      <c r="E3784" s="13" t="str">
        <f aca="false">IFERROR(D3784/$F3784,"")</f>
        <v/>
      </c>
      <c r="F3784" s="12" t="n">
        <f aca="false">B3784+D3784</f>
        <v>0</v>
      </c>
    </row>
    <row r="3785" customFormat="false" ht="15" hidden="false" customHeight="false" outlineLevel="0" collapsed="false">
      <c r="A3785" s="12" t="s">
        <v>714</v>
      </c>
      <c r="B3785" s="12" t="n">
        <f aca="false">COUNTIFS(Cleaned!$D$2:$D$125,11,Cleaned!FW$2:FW$125,0)</f>
        <v>2</v>
      </c>
      <c r="C3785" s="13" t="n">
        <f aca="false">IFERROR(B3785/$F3785,"")</f>
        <v>1</v>
      </c>
      <c r="D3785" s="12" t="n">
        <f aca="false">COUNTIFS(Cleaned!$D$2:$D$125,11,Cleaned!FW$2:FW$125,1)</f>
        <v>0</v>
      </c>
      <c r="E3785" s="13" t="n">
        <f aca="false">IFERROR(D3785/$F3785,"")</f>
        <v>0</v>
      </c>
      <c r="F3785" s="12" t="n">
        <f aca="false">B3785+D3785</f>
        <v>2</v>
      </c>
    </row>
    <row r="3786" customFormat="false" ht="15" hidden="false" customHeight="false" outlineLevel="0" collapsed="false">
      <c r="A3786" s="12" t="s">
        <v>715</v>
      </c>
      <c r="B3786" s="12" t="n">
        <f aca="false">COUNTIFS(Cleaned!$D$2:$D$125,12,Cleaned!FW$2:FW$125,0)</f>
        <v>1</v>
      </c>
      <c r="C3786" s="13" t="n">
        <f aca="false">IFERROR(B3786/$F3786,"")</f>
        <v>1</v>
      </c>
      <c r="D3786" s="12" t="n">
        <f aca="false">COUNTIFS(Cleaned!$D$2:$D$125,12,Cleaned!FW$2:FW$125,1)</f>
        <v>0</v>
      </c>
      <c r="E3786" s="13" t="n">
        <f aca="false">IFERROR(D3786/$F3786,"")</f>
        <v>0</v>
      </c>
      <c r="F3786" s="12" t="n">
        <f aca="false">B3786+D3786</f>
        <v>1</v>
      </c>
    </row>
    <row r="3787" customFormat="false" ht="15" hidden="false" customHeight="false" outlineLevel="0" collapsed="false">
      <c r="A3787" s="11" t="s">
        <v>716</v>
      </c>
      <c r="B3787" s="11" t="n">
        <f aca="false">SUM(B3775:B3786)</f>
        <v>32</v>
      </c>
      <c r="C3787" s="14" t="n">
        <f aca="false">IFERROR(B3787/$F3787,"")</f>
        <v>0.864864864864865</v>
      </c>
      <c r="D3787" s="11" t="n">
        <f aca="false">SUM(D3775:D3786)</f>
        <v>5</v>
      </c>
      <c r="E3787" s="14" t="n">
        <f aca="false">IFERROR(D3787/$F3787,"")</f>
        <v>0.135135135135135</v>
      </c>
      <c r="F3787" s="11" t="n">
        <f aca="false">SUM(F3775:F3786)</f>
        <v>37</v>
      </c>
    </row>
    <row r="3790" customFormat="false" ht="15" hidden="false" customHeight="false" outlineLevel="0" collapsed="false">
      <c r="A3790" s="6" t="s">
        <v>169</v>
      </c>
      <c r="B3790" s="7" t="s">
        <v>941</v>
      </c>
    </row>
    <row r="3791" customFormat="false" ht="15" hidden="false" customHeight="false" outlineLevel="0" collapsed="false">
      <c r="A3791" s="8"/>
      <c r="B3791" s="9" t="s">
        <v>718</v>
      </c>
      <c r="C3791" s="8"/>
      <c r="D3791" s="9" t="s">
        <v>719</v>
      </c>
      <c r="E3791" s="8"/>
      <c r="F3791" s="9" t="s">
        <v>694</v>
      </c>
    </row>
    <row r="3792" customFormat="false" ht="15" hidden="false" customHeight="false" outlineLevel="0" collapsed="false">
      <c r="B3792" s="10" t="s">
        <v>695</v>
      </c>
      <c r="C3792" s="10" t="s">
        <v>696</v>
      </c>
      <c r="D3792" s="10" t="s">
        <v>695</v>
      </c>
      <c r="E3792" s="10" t="s">
        <v>696</v>
      </c>
    </row>
    <row r="3793" customFormat="false" ht="15" hidden="false" customHeight="false" outlineLevel="0" collapsed="false">
      <c r="A3793" s="11" t="s">
        <v>697</v>
      </c>
    </row>
    <row r="3794" customFormat="false" ht="15" hidden="false" customHeight="false" outlineLevel="0" collapsed="false">
      <c r="A3794" s="12" t="s">
        <v>698</v>
      </c>
      <c r="B3794" s="12" t="n">
        <f aca="false">COUNTIFS(Cleaned!$C$2:$C$125,1,Cleaned!FX$2:FX$125,0)</f>
        <v>1</v>
      </c>
      <c r="C3794" s="13" t="n">
        <f aca="false">IFERROR(B3794/$F3794,"")</f>
        <v>0.5</v>
      </c>
      <c r="D3794" s="12" t="n">
        <f aca="false">COUNTIFS(Cleaned!$C$2:$C$125,1,Cleaned!FX$2:FX$125,1)</f>
        <v>1</v>
      </c>
      <c r="E3794" s="13" t="n">
        <f aca="false">IFERROR(D3794/$F3794,"")</f>
        <v>0.5</v>
      </c>
      <c r="F3794" s="12" t="n">
        <f aca="false">B3794+D3794</f>
        <v>2</v>
      </c>
    </row>
    <row r="3795" customFormat="false" ht="15" hidden="false" customHeight="false" outlineLevel="0" collapsed="false">
      <c r="A3795" s="12" t="s">
        <v>699</v>
      </c>
      <c r="B3795" s="12" t="n">
        <f aca="false">COUNTIFS(Cleaned!$C$2:$C$125,2,Cleaned!FX$2:FX$125,0)</f>
        <v>0</v>
      </c>
      <c r="C3795" s="13" t="n">
        <f aca="false">IFERROR(B3795/$F3795,"")</f>
        <v>0</v>
      </c>
      <c r="D3795" s="12" t="n">
        <f aca="false">COUNTIFS(Cleaned!$C$2:$C$125,2,Cleaned!FX$2:FX$125,1)</f>
        <v>2</v>
      </c>
      <c r="E3795" s="13" t="n">
        <f aca="false">IFERROR(D3795/$F3795,"")</f>
        <v>1</v>
      </c>
      <c r="F3795" s="12" t="n">
        <f aca="false">B3795+D3795</f>
        <v>2</v>
      </c>
    </row>
    <row r="3796" customFormat="false" ht="15" hidden="false" customHeight="false" outlineLevel="0" collapsed="false">
      <c r="A3796" s="12" t="s">
        <v>700</v>
      </c>
      <c r="B3796" s="12" t="n">
        <f aca="false">COUNTIFS(Cleaned!$C$2:$C$125,3,Cleaned!FX$2:FX$125,0)</f>
        <v>2</v>
      </c>
      <c r="C3796" s="13" t="n">
        <f aca="false">IFERROR(B3796/$F3796,"")</f>
        <v>0.222222222222222</v>
      </c>
      <c r="D3796" s="12" t="n">
        <f aca="false">COUNTIFS(Cleaned!$C$2:$C$125,3,Cleaned!FX$2:FX$125,1)</f>
        <v>7</v>
      </c>
      <c r="E3796" s="13" t="n">
        <f aca="false">IFERROR(D3796/$F3796,"")</f>
        <v>0.777777777777778</v>
      </c>
      <c r="F3796" s="12" t="n">
        <f aca="false">B3796+D3796</f>
        <v>9</v>
      </c>
    </row>
    <row r="3797" customFormat="false" ht="15" hidden="false" customHeight="false" outlineLevel="0" collapsed="false">
      <c r="A3797" s="12" t="s">
        <v>701</v>
      </c>
      <c r="B3797" s="12" t="n">
        <f aca="false">COUNTIFS(Cleaned!$C$2:$C$125,4,Cleaned!FX$2:FX$125,0)</f>
        <v>3</v>
      </c>
      <c r="C3797" s="13" t="n">
        <f aca="false">IFERROR(B3797/$F3797,"")</f>
        <v>0.375</v>
      </c>
      <c r="D3797" s="12" t="n">
        <f aca="false">COUNTIFS(Cleaned!$C$2:$C$125,4,Cleaned!FX$2:FX$125,1)</f>
        <v>5</v>
      </c>
      <c r="E3797" s="13" t="n">
        <f aca="false">IFERROR(D3797/$F3797,"")</f>
        <v>0.625</v>
      </c>
      <c r="F3797" s="12" t="n">
        <f aca="false">B3797+D3797</f>
        <v>8</v>
      </c>
    </row>
    <row r="3798" customFormat="false" ht="15" hidden="false" customHeight="false" outlineLevel="0" collapsed="false">
      <c r="A3798" s="12" t="s">
        <v>702</v>
      </c>
      <c r="B3798" s="12" t="n">
        <f aca="false">COUNTIFS(Cleaned!$C$2:$C$125,5,Cleaned!FX$2:FX$125,0)</f>
        <v>13</v>
      </c>
      <c r="C3798" s="13" t="n">
        <f aca="false">IFERROR(B3798/$F3798,"")</f>
        <v>0.8125</v>
      </c>
      <c r="D3798" s="12" t="n">
        <f aca="false">COUNTIFS(Cleaned!$C$2:$C$125,5,Cleaned!FX$2:FX$125,1)</f>
        <v>3</v>
      </c>
      <c r="E3798" s="13" t="n">
        <f aca="false">IFERROR(D3798/$F3798,"")</f>
        <v>0.1875</v>
      </c>
      <c r="F3798" s="12" t="n">
        <f aca="false">B3798+D3798</f>
        <v>16</v>
      </c>
    </row>
    <row r="3799" customFormat="false" ht="15" hidden="false" customHeight="false" outlineLevel="0" collapsed="false">
      <c r="A3799" s="11" t="s">
        <v>703</v>
      </c>
      <c r="B3799" s="11" t="n">
        <f aca="false">SUM(B3794:B3798)</f>
        <v>19</v>
      </c>
      <c r="C3799" s="14" t="n">
        <f aca="false">IFERROR(B3799/$F3799,"")</f>
        <v>0.513513513513514</v>
      </c>
      <c r="D3799" s="11" t="n">
        <f aca="false">SUM(D3794:D3798)</f>
        <v>18</v>
      </c>
      <c r="E3799" s="14" t="n">
        <f aca="false">IFERROR(D3799/$F3799,"")</f>
        <v>0.486486486486487</v>
      </c>
      <c r="F3799" s="11" t="n">
        <f aca="false">SUM(F3794:F3798)</f>
        <v>37</v>
      </c>
    </row>
    <row r="3800" customFormat="false" ht="15" hidden="false" customHeight="false" outlineLevel="0" collapsed="false">
      <c r="A3800" s="11" t="s">
        <v>3</v>
      </c>
    </row>
    <row r="3801" customFormat="false" ht="15" hidden="false" customHeight="false" outlineLevel="0" collapsed="false">
      <c r="A3801" s="12" t="s">
        <v>704</v>
      </c>
      <c r="B3801" s="12" t="n">
        <f aca="false">COUNTIFS(Cleaned!$D$2:$D$125,1,Cleaned!FX$2:FX$125,0)</f>
        <v>2</v>
      </c>
      <c r="C3801" s="13" t="n">
        <f aca="false">IFERROR(B3801/$F3801,"")</f>
        <v>0.333333333333333</v>
      </c>
      <c r="D3801" s="12" t="n">
        <f aca="false">COUNTIFS(Cleaned!$D$2:$D$125,1,Cleaned!FX$2:FX$125,1)</f>
        <v>4</v>
      </c>
      <c r="E3801" s="13" t="n">
        <f aca="false">IFERROR(D3801/$F3801,"")</f>
        <v>0.666666666666667</v>
      </c>
      <c r="F3801" s="12" t="n">
        <f aca="false">B3801+D3801</f>
        <v>6</v>
      </c>
    </row>
    <row r="3802" customFormat="false" ht="15" hidden="false" customHeight="false" outlineLevel="0" collapsed="false">
      <c r="A3802" s="12" t="s">
        <v>705</v>
      </c>
      <c r="B3802" s="12" t="n">
        <f aca="false">COUNTIFS(Cleaned!$D$2:$D$125,2,Cleaned!FX$2:FX$125,0)</f>
        <v>9</v>
      </c>
      <c r="C3802" s="13" t="n">
        <f aca="false">IFERROR(B3802/$F3802,"")</f>
        <v>0.9</v>
      </c>
      <c r="D3802" s="12" t="n">
        <f aca="false">COUNTIFS(Cleaned!$D$2:$D$125,2,Cleaned!FX$2:FX$125,1)</f>
        <v>1</v>
      </c>
      <c r="E3802" s="13" t="n">
        <f aca="false">IFERROR(D3802/$F3802,"")</f>
        <v>0.1</v>
      </c>
      <c r="F3802" s="12" t="n">
        <f aca="false">B3802+D3802</f>
        <v>10</v>
      </c>
    </row>
    <row r="3803" customFormat="false" ht="15" hidden="false" customHeight="false" outlineLevel="0" collapsed="false">
      <c r="A3803" s="12" t="s">
        <v>706</v>
      </c>
      <c r="B3803" s="12" t="n">
        <f aca="false">COUNTIFS(Cleaned!$D$2:$D$125,3,Cleaned!FX$2:FX$125,0)</f>
        <v>3</v>
      </c>
      <c r="C3803" s="13" t="n">
        <f aca="false">IFERROR(B3803/$F3803,"")</f>
        <v>0.6</v>
      </c>
      <c r="D3803" s="12" t="n">
        <f aca="false">COUNTIFS(Cleaned!$D$2:$D$125,3,Cleaned!FX$2:FX$125,1)</f>
        <v>2</v>
      </c>
      <c r="E3803" s="13" t="n">
        <f aca="false">IFERROR(D3803/$F3803,"")</f>
        <v>0.4</v>
      </c>
      <c r="F3803" s="12" t="n">
        <f aca="false">B3803+D3803</f>
        <v>5</v>
      </c>
    </row>
    <row r="3804" customFormat="false" ht="15" hidden="false" customHeight="false" outlineLevel="0" collapsed="false">
      <c r="A3804" s="12" t="s">
        <v>707</v>
      </c>
      <c r="B3804" s="12" t="n">
        <f aca="false">COUNTIFS(Cleaned!$D$2:$D$125,4,Cleaned!FX$2:FX$125,0)</f>
        <v>1</v>
      </c>
      <c r="C3804" s="13" t="n">
        <f aca="false">IFERROR(B3804/$F3804,"")</f>
        <v>0.25</v>
      </c>
      <c r="D3804" s="12" t="n">
        <f aca="false">COUNTIFS(Cleaned!$D$2:$D$125,4,Cleaned!FX$2:FX$125,1)</f>
        <v>3</v>
      </c>
      <c r="E3804" s="13" t="n">
        <f aca="false">IFERROR(D3804/$F3804,"")</f>
        <v>0.75</v>
      </c>
      <c r="F3804" s="12" t="n">
        <f aca="false">B3804+D3804</f>
        <v>4</v>
      </c>
    </row>
    <row r="3805" customFormat="false" ht="15" hidden="false" customHeight="false" outlineLevel="0" collapsed="false">
      <c r="A3805" s="12" t="s">
        <v>708</v>
      </c>
      <c r="B3805" s="12" t="n">
        <f aca="false">COUNTIFS(Cleaned!$D$2:$D$125,5,Cleaned!FX$2:FX$125,0)</f>
        <v>0</v>
      </c>
      <c r="C3805" s="13" t="n">
        <f aca="false">IFERROR(B3805/$F3805,"")</f>
        <v>0</v>
      </c>
      <c r="D3805" s="12" t="n">
        <f aca="false">COUNTIFS(Cleaned!$D$2:$D$125,5,Cleaned!FX$2:FX$125,1)</f>
        <v>1</v>
      </c>
      <c r="E3805" s="13" t="n">
        <f aca="false">IFERROR(D3805/$F3805,"")</f>
        <v>1</v>
      </c>
      <c r="F3805" s="12" t="n">
        <f aca="false">B3805+D3805</f>
        <v>1</v>
      </c>
    </row>
    <row r="3806" customFormat="false" ht="15" hidden="false" customHeight="false" outlineLevel="0" collapsed="false">
      <c r="A3806" s="12" t="s">
        <v>709</v>
      </c>
      <c r="B3806" s="12" t="n">
        <f aca="false">COUNTIFS(Cleaned!$D$2:$D$125,6,Cleaned!FX$2:FX$125,0)</f>
        <v>1</v>
      </c>
      <c r="C3806" s="13" t="n">
        <f aca="false">IFERROR(B3806/$F3806,"")</f>
        <v>1</v>
      </c>
      <c r="D3806" s="12" t="n">
        <f aca="false">COUNTIFS(Cleaned!$D$2:$D$125,6,Cleaned!FX$2:FX$125,1)</f>
        <v>0</v>
      </c>
      <c r="E3806" s="13" t="n">
        <f aca="false">IFERROR(D3806/$F3806,"")</f>
        <v>0</v>
      </c>
      <c r="F3806" s="12" t="n">
        <f aca="false">B3806+D3806</f>
        <v>1</v>
      </c>
    </row>
    <row r="3807" customFormat="false" ht="15" hidden="false" customHeight="false" outlineLevel="0" collapsed="false">
      <c r="A3807" s="12" t="s">
        <v>710</v>
      </c>
      <c r="B3807" s="12" t="n">
        <f aca="false">COUNTIFS(Cleaned!$D$2:$D$125,7,Cleaned!FX$2:FX$125,0)</f>
        <v>1</v>
      </c>
      <c r="C3807" s="13" t="n">
        <f aca="false">IFERROR(B3807/$F3807,"")</f>
        <v>0.2</v>
      </c>
      <c r="D3807" s="12" t="n">
        <f aca="false">COUNTIFS(Cleaned!$D$2:$D$125,7,Cleaned!FX$2:FX$125,1)</f>
        <v>4</v>
      </c>
      <c r="E3807" s="13" t="n">
        <f aca="false">IFERROR(D3807/$F3807,"")</f>
        <v>0.8</v>
      </c>
      <c r="F3807" s="12" t="n">
        <f aca="false">B3807+D3807</f>
        <v>5</v>
      </c>
    </row>
    <row r="3808" customFormat="false" ht="15" hidden="false" customHeight="false" outlineLevel="0" collapsed="false">
      <c r="A3808" s="12" t="s">
        <v>711</v>
      </c>
      <c r="B3808" s="12" t="n">
        <f aca="false">COUNTIFS(Cleaned!$D$2:$D$125,8,Cleaned!FX$2:FX$125,0)</f>
        <v>2</v>
      </c>
      <c r="C3808" s="13" t="n">
        <f aca="false">IFERROR(B3808/$F3808,"")</f>
        <v>1</v>
      </c>
      <c r="D3808" s="12" t="n">
        <f aca="false">COUNTIFS(Cleaned!$D$2:$D$125,8,Cleaned!FX$2:FX$125,1)</f>
        <v>0</v>
      </c>
      <c r="E3808" s="13" t="n">
        <f aca="false">IFERROR(D3808/$F3808,"")</f>
        <v>0</v>
      </c>
      <c r="F3808" s="12" t="n">
        <f aca="false">B3808+D3808</f>
        <v>2</v>
      </c>
    </row>
    <row r="3809" customFormat="false" ht="15" hidden="false" customHeight="false" outlineLevel="0" collapsed="false">
      <c r="A3809" s="12" t="s">
        <v>712</v>
      </c>
      <c r="B3809" s="12" t="n">
        <f aca="false">COUNTIFS(Cleaned!$D$2:$D$125,9,Cleaned!FX$2:FX$125,0)</f>
        <v>0</v>
      </c>
      <c r="C3809" s="13" t="str">
        <f aca="false">IFERROR(B3809/$F3809,"")</f>
        <v/>
      </c>
      <c r="D3809" s="12" t="n">
        <f aca="false">COUNTIFS(Cleaned!$D$2:$D$125,9,Cleaned!FX$2:FX$125,1)</f>
        <v>0</v>
      </c>
      <c r="E3809" s="13" t="str">
        <f aca="false">IFERROR(D3809/$F3809,"")</f>
        <v/>
      </c>
      <c r="F3809" s="12" t="n">
        <f aca="false">B3809+D3809</f>
        <v>0</v>
      </c>
    </row>
    <row r="3810" customFormat="false" ht="15" hidden="false" customHeight="false" outlineLevel="0" collapsed="false">
      <c r="A3810" s="12" t="s">
        <v>713</v>
      </c>
      <c r="B3810" s="12" t="n">
        <f aca="false">COUNTIFS(Cleaned!$D$2:$D$125,10,Cleaned!FX$2:FX$125,0)</f>
        <v>0</v>
      </c>
      <c r="C3810" s="13" t="str">
        <f aca="false">IFERROR(B3810/$F3810,"")</f>
        <v/>
      </c>
      <c r="D3810" s="12" t="n">
        <f aca="false">COUNTIFS(Cleaned!$D$2:$D$125,10,Cleaned!FX$2:FX$125,1)</f>
        <v>0</v>
      </c>
      <c r="E3810" s="13" t="str">
        <f aca="false">IFERROR(D3810/$F3810,"")</f>
        <v/>
      </c>
      <c r="F3810" s="12" t="n">
        <f aca="false">B3810+D3810</f>
        <v>0</v>
      </c>
    </row>
    <row r="3811" customFormat="false" ht="15" hidden="false" customHeight="false" outlineLevel="0" collapsed="false">
      <c r="A3811" s="12" t="s">
        <v>714</v>
      </c>
      <c r="B3811" s="12" t="n">
        <f aca="false">COUNTIFS(Cleaned!$D$2:$D$125,11,Cleaned!FX$2:FX$125,0)</f>
        <v>0</v>
      </c>
      <c r="C3811" s="13" t="n">
        <f aca="false">IFERROR(B3811/$F3811,"")</f>
        <v>0</v>
      </c>
      <c r="D3811" s="12" t="n">
        <f aca="false">COUNTIFS(Cleaned!$D$2:$D$125,11,Cleaned!FX$2:FX$125,1)</f>
        <v>2</v>
      </c>
      <c r="E3811" s="13" t="n">
        <f aca="false">IFERROR(D3811/$F3811,"")</f>
        <v>1</v>
      </c>
      <c r="F3811" s="12" t="n">
        <f aca="false">B3811+D3811</f>
        <v>2</v>
      </c>
    </row>
    <row r="3812" customFormat="false" ht="15" hidden="false" customHeight="false" outlineLevel="0" collapsed="false">
      <c r="A3812" s="12" t="s">
        <v>715</v>
      </c>
      <c r="B3812" s="12" t="n">
        <f aca="false">COUNTIFS(Cleaned!$D$2:$D$125,12,Cleaned!FX$2:FX$125,0)</f>
        <v>0</v>
      </c>
      <c r="C3812" s="13" t="n">
        <f aca="false">IFERROR(B3812/$F3812,"")</f>
        <v>0</v>
      </c>
      <c r="D3812" s="12" t="n">
        <f aca="false">COUNTIFS(Cleaned!$D$2:$D$125,12,Cleaned!FX$2:FX$125,1)</f>
        <v>1</v>
      </c>
      <c r="E3812" s="13" t="n">
        <f aca="false">IFERROR(D3812/$F3812,"")</f>
        <v>1</v>
      </c>
      <c r="F3812" s="12" t="n">
        <f aca="false">B3812+D3812</f>
        <v>1</v>
      </c>
    </row>
    <row r="3813" customFormat="false" ht="15" hidden="false" customHeight="false" outlineLevel="0" collapsed="false">
      <c r="A3813" s="11" t="s">
        <v>716</v>
      </c>
      <c r="B3813" s="11" t="n">
        <f aca="false">SUM(B3801:B3812)</f>
        <v>19</v>
      </c>
      <c r="C3813" s="14" t="n">
        <f aca="false">IFERROR(B3813/$F3813,"")</f>
        <v>0.513513513513514</v>
      </c>
      <c r="D3813" s="11" t="n">
        <f aca="false">SUM(D3801:D3812)</f>
        <v>18</v>
      </c>
      <c r="E3813" s="14" t="n">
        <f aca="false">IFERROR(D3813/$F3813,"")</f>
        <v>0.486486486486487</v>
      </c>
      <c r="F3813" s="11" t="n">
        <f aca="false">SUM(F3801:F3812)</f>
        <v>37</v>
      </c>
    </row>
    <row r="3816" customFormat="false" ht="15" hidden="false" customHeight="false" outlineLevel="0" collapsed="false">
      <c r="A3816" s="6" t="s">
        <v>170</v>
      </c>
      <c r="B3816" s="7" t="s">
        <v>942</v>
      </c>
    </row>
    <row r="3817" customFormat="false" ht="15" hidden="false" customHeight="false" outlineLevel="0" collapsed="false">
      <c r="A3817" s="8"/>
      <c r="B3817" s="9" t="s">
        <v>718</v>
      </c>
      <c r="C3817" s="8"/>
      <c r="D3817" s="9" t="s">
        <v>719</v>
      </c>
      <c r="E3817" s="8"/>
      <c r="F3817" s="9" t="s">
        <v>694</v>
      </c>
    </row>
    <row r="3818" customFormat="false" ht="15" hidden="false" customHeight="false" outlineLevel="0" collapsed="false">
      <c r="B3818" s="10" t="s">
        <v>695</v>
      </c>
      <c r="C3818" s="10" t="s">
        <v>696</v>
      </c>
      <c r="D3818" s="10" t="s">
        <v>695</v>
      </c>
      <c r="E3818" s="10" t="s">
        <v>696</v>
      </c>
    </row>
    <row r="3819" customFormat="false" ht="15" hidden="false" customHeight="false" outlineLevel="0" collapsed="false">
      <c r="A3819" s="11" t="s">
        <v>697</v>
      </c>
    </row>
    <row r="3820" customFormat="false" ht="15" hidden="false" customHeight="false" outlineLevel="0" collapsed="false">
      <c r="A3820" s="12" t="s">
        <v>698</v>
      </c>
      <c r="B3820" s="12" t="n">
        <f aca="false">COUNTIFS(Cleaned!$C$2:$C$125,1,Cleaned!FY$2:FY$125,0)</f>
        <v>2</v>
      </c>
      <c r="C3820" s="13" t="n">
        <f aca="false">IFERROR(B3820/$F3820,"")</f>
        <v>1</v>
      </c>
      <c r="D3820" s="12" t="n">
        <f aca="false">COUNTIFS(Cleaned!$C$2:$C$125,1,Cleaned!FY$2:FY$125,1)</f>
        <v>0</v>
      </c>
      <c r="E3820" s="13" t="n">
        <f aca="false">IFERROR(D3820/$F3820,"")</f>
        <v>0</v>
      </c>
      <c r="F3820" s="12" t="n">
        <f aca="false">B3820+D3820</f>
        <v>2</v>
      </c>
    </row>
    <row r="3821" customFormat="false" ht="15" hidden="false" customHeight="false" outlineLevel="0" collapsed="false">
      <c r="A3821" s="12" t="s">
        <v>699</v>
      </c>
      <c r="B3821" s="12" t="n">
        <f aca="false">COUNTIFS(Cleaned!$C$2:$C$125,2,Cleaned!FY$2:FY$125,0)</f>
        <v>0</v>
      </c>
      <c r="C3821" s="13" t="n">
        <f aca="false">IFERROR(B3821/$F3821,"")</f>
        <v>0</v>
      </c>
      <c r="D3821" s="12" t="n">
        <f aca="false">COUNTIFS(Cleaned!$C$2:$C$125,2,Cleaned!FY$2:FY$125,1)</f>
        <v>2</v>
      </c>
      <c r="E3821" s="13" t="n">
        <f aca="false">IFERROR(D3821/$F3821,"")</f>
        <v>1</v>
      </c>
      <c r="F3821" s="12" t="n">
        <f aca="false">B3821+D3821</f>
        <v>2</v>
      </c>
    </row>
    <row r="3822" customFormat="false" ht="15" hidden="false" customHeight="false" outlineLevel="0" collapsed="false">
      <c r="A3822" s="12" t="s">
        <v>700</v>
      </c>
      <c r="B3822" s="12" t="n">
        <f aca="false">COUNTIFS(Cleaned!$C$2:$C$125,3,Cleaned!FY$2:FY$125,0)</f>
        <v>3</v>
      </c>
      <c r="C3822" s="13" t="n">
        <f aca="false">IFERROR(B3822/$F3822,"")</f>
        <v>0.333333333333333</v>
      </c>
      <c r="D3822" s="12" t="n">
        <f aca="false">COUNTIFS(Cleaned!$C$2:$C$125,3,Cleaned!FY$2:FY$125,1)</f>
        <v>6</v>
      </c>
      <c r="E3822" s="13" t="n">
        <f aca="false">IFERROR(D3822/$F3822,"")</f>
        <v>0.666666666666667</v>
      </c>
      <c r="F3822" s="12" t="n">
        <f aca="false">B3822+D3822</f>
        <v>9</v>
      </c>
    </row>
    <row r="3823" customFormat="false" ht="15" hidden="false" customHeight="false" outlineLevel="0" collapsed="false">
      <c r="A3823" s="12" t="s">
        <v>701</v>
      </c>
      <c r="B3823" s="12" t="n">
        <f aca="false">COUNTIFS(Cleaned!$C$2:$C$125,4,Cleaned!FY$2:FY$125,0)</f>
        <v>2</v>
      </c>
      <c r="C3823" s="13" t="n">
        <f aca="false">IFERROR(B3823/$F3823,"")</f>
        <v>0.25</v>
      </c>
      <c r="D3823" s="12" t="n">
        <f aca="false">COUNTIFS(Cleaned!$C$2:$C$125,4,Cleaned!FY$2:FY$125,1)</f>
        <v>6</v>
      </c>
      <c r="E3823" s="13" t="n">
        <f aca="false">IFERROR(D3823/$F3823,"")</f>
        <v>0.75</v>
      </c>
      <c r="F3823" s="12" t="n">
        <f aca="false">B3823+D3823</f>
        <v>8</v>
      </c>
    </row>
    <row r="3824" customFormat="false" ht="15" hidden="false" customHeight="false" outlineLevel="0" collapsed="false">
      <c r="A3824" s="12" t="s">
        <v>702</v>
      </c>
      <c r="B3824" s="12" t="n">
        <f aca="false">COUNTIFS(Cleaned!$C$2:$C$125,5,Cleaned!FY$2:FY$125,0)</f>
        <v>8</v>
      </c>
      <c r="C3824" s="13" t="n">
        <f aca="false">IFERROR(B3824/$F3824,"")</f>
        <v>0.5</v>
      </c>
      <c r="D3824" s="12" t="n">
        <f aca="false">COUNTIFS(Cleaned!$C$2:$C$125,5,Cleaned!FY$2:FY$125,1)</f>
        <v>8</v>
      </c>
      <c r="E3824" s="13" t="n">
        <f aca="false">IFERROR(D3824/$F3824,"")</f>
        <v>0.5</v>
      </c>
      <c r="F3824" s="12" t="n">
        <f aca="false">B3824+D3824</f>
        <v>16</v>
      </c>
    </row>
    <row r="3825" customFormat="false" ht="15" hidden="false" customHeight="false" outlineLevel="0" collapsed="false">
      <c r="A3825" s="11" t="s">
        <v>703</v>
      </c>
      <c r="B3825" s="11" t="n">
        <f aca="false">SUM(B3820:B3824)</f>
        <v>15</v>
      </c>
      <c r="C3825" s="14" t="n">
        <f aca="false">IFERROR(B3825/$F3825,"")</f>
        <v>0.405405405405405</v>
      </c>
      <c r="D3825" s="11" t="n">
        <f aca="false">SUM(D3820:D3824)</f>
        <v>22</v>
      </c>
      <c r="E3825" s="14" t="n">
        <f aca="false">IFERROR(D3825/$F3825,"")</f>
        <v>0.594594594594595</v>
      </c>
      <c r="F3825" s="11" t="n">
        <f aca="false">SUM(F3820:F3824)</f>
        <v>37</v>
      </c>
    </row>
    <row r="3826" customFormat="false" ht="15" hidden="false" customHeight="false" outlineLevel="0" collapsed="false">
      <c r="A3826" s="11" t="s">
        <v>3</v>
      </c>
    </row>
    <row r="3827" customFormat="false" ht="15" hidden="false" customHeight="false" outlineLevel="0" collapsed="false">
      <c r="A3827" s="12" t="s">
        <v>704</v>
      </c>
      <c r="B3827" s="12" t="n">
        <f aca="false">COUNTIFS(Cleaned!$D$2:$D$125,1,Cleaned!FY$2:FY$125,0)</f>
        <v>4</v>
      </c>
      <c r="C3827" s="13" t="n">
        <f aca="false">IFERROR(B3827/$F3827,"")</f>
        <v>0.666666666666667</v>
      </c>
      <c r="D3827" s="12" t="n">
        <f aca="false">COUNTIFS(Cleaned!$D$2:$D$125,1,Cleaned!FY$2:FY$125,1)</f>
        <v>2</v>
      </c>
      <c r="E3827" s="13" t="n">
        <f aca="false">IFERROR(D3827/$F3827,"")</f>
        <v>0.333333333333333</v>
      </c>
      <c r="F3827" s="12" t="n">
        <f aca="false">B3827+D3827</f>
        <v>6</v>
      </c>
    </row>
    <row r="3828" customFormat="false" ht="15" hidden="false" customHeight="false" outlineLevel="0" collapsed="false">
      <c r="A3828" s="12" t="s">
        <v>705</v>
      </c>
      <c r="B3828" s="12" t="n">
        <f aca="false">COUNTIFS(Cleaned!$D$2:$D$125,2,Cleaned!FY$2:FY$125,0)</f>
        <v>7</v>
      </c>
      <c r="C3828" s="13" t="n">
        <f aca="false">IFERROR(B3828/$F3828,"")</f>
        <v>0.7</v>
      </c>
      <c r="D3828" s="12" t="n">
        <f aca="false">COUNTIFS(Cleaned!$D$2:$D$125,2,Cleaned!FY$2:FY$125,1)</f>
        <v>3</v>
      </c>
      <c r="E3828" s="13" t="n">
        <f aca="false">IFERROR(D3828/$F3828,"")</f>
        <v>0.3</v>
      </c>
      <c r="F3828" s="12" t="n">
        <f aca="false">B3828+D3828</f>
        <v>10</v>
      </c>
    </row>
    <row r="3829" customFormat="false" ht="15" hidden="false" customHeight="false" outlineLevel="0" collapsed="false">
      <c r="A3829" s="12" t="s">
        <v>706</v>
      </c>
      <c r="B3829" s="12" t="n">
        <f aca="false">COUNTIFS(Cleaned!$D$2:$D$125,3,Cleaned!FY$2:FY$125,0)</f>
        <v>1</v>
      </c>
      <c r="C3829" s="13" t="n">
        <f aca="false">IFERROR(B3829/$F3829,"")</f>
        <v>0.2</v>
      </c>
      <c r="D3829" s="12" t="n">
        <f aca="false">COUNTIFS(Cleaned!$D$2:$D$125,3,Cleaned!FY$2:FY$125,1)</f>
        <v>4</v>
      </c>
      <c r="E3829" s="13" t="n">
        <f aca="false">IFERROR(D3829/$F3829,"")</f>
        <v>0.8</v>
      </c>
      <c r="F3829" s="12" t="n">
        <f aca="false">B3829+D3829</f>
        <v>5</v>
      </c>
    </row>
    <row r="3830" customFormat="false" ht="15" hidden="false" customHeight="false" outlineLevel="0" collapsed="false">
      <c r="A3830" s="12" t="s">
        <v>707</v>
      </c>
      <c r="B3830" s="12" t="n">
        <f aca="false">COUNTIFS(Cleaned!$D$2:$D$125,4,Cleaned!FY$2:FY$125,0)</f>
        <v>0</v>
      </c>
      <c r="C3830" s="13" t="n">
        <f aca="false">IFERROR(B3830/$F3830,"")</f>
        <v>0</v>
      </c>
      <c r="D3830" s="12" t="n">
        <f aca="false">COUNTIFS(Cleaned!$D$2:$D$125,4,Cleaned!FY$2:FY$125,1)</f>
        <v>4</v>
      </c>
      <c r="E3830" s="13" t="n">
        <f aca="false">IFERROR(D3830/$F3830,"")</f>
        <v>1</v>
      </c>
      <c r="F3830" s="12" t="n">
        <f aca="false">B3830+D3830</f>
        <v>4</v>
      </c>
    </row>
    <row r="3831" customFormat="false" ht="15" hidden="false" customHeight="false" outlineLevel="0" collapsed="false">
      <c r="A3831" s="12" t="s">
        <v>708</v>
      </c>
      <c r="B3831" s="12" t="n">
        <f aca="false">COUNTIFS(Cleaned!$D$2:$D$125,5,Cleaned!FY$2:FY$125,0)</f>
        <v>0</v>
      </c>
      <c r="C3831" s="13" t="n">
        <f aca="false">IFERROR(B3831/$F3831,"")</f>
        <v>0</v>
      </c>
      <c r="D3831" s="12" t="n">
        <f aca="false">COUNTIFS(Cleaned!$D$2:$D$125,5,Cleaned!FY$2:FY$125,1)</f>
        <v>1</v>
      </c>
      <c r="E3831" s="13" t="n">
        <f aca="false">IFERROR(D3831/$F3831,"")</f>
        <v>1</v>
      </c>
      <c r="F3831" s="12" t="n">
        <f aca="false">B3831+D3831</f>
        <v>1</v>
      </c>
    </row>
    <row r="3832" customFormat="false" ht="15" hidden="false" customHeight="false" outlineLevel="0" collapsed="false">
      <c r="A3832" s="12" t="s">
        <v>709</v>
      </c>
      <c r="B3832" s="12" t="n">
        <f aca="false">COUNTIFS(Cleaned!$D$2:$D$125,6,Cleaned!FY$2:FY$125,0)</f>
        <v>0</v>
      </c>
      <c r="C3832" s="13" t="n">
        <f aca="false">IFERROR(B3832/$F3832,"")</f>
        <v>0</v>
      </c>
      <c r="D3832" s="12" t="n">
        <f aca="false">COUNTIFS(Cleaned!$D$2:$D$125,6,Cleaned!FY$2:FY$125,1)</f>
        <v>1</v>
      </c>
      <c r="E3832" s="13" t="n">
        <f aca="false">IFERROR(D3832/$F3832,"")</f>
        <v>1</v>
      </c>
      <c r="F3832" s="12" t="n">
        <f aca="false">B3832+D3832</f>
        <v>1</v>
      </c>
    </row>
    <row r="3833" customFormat="false" ht="15" hidden="false" customHeight="false" outlineLevel="0" collapsed="false">
      <c r="A3833" s="12" t="s">
        <v>710</v>
      </c>
      <c r="B3833" s="12" t="n">
        <f aca="false">COUNTIFS(Cleaned!$D$2:$D$125,7,Cleaned!FY$2:FY$125,0)</f>
        <v>1</v>
      </c>
      <c r="C3833" s="13" t="n">
        <f aca="false">IFERROR(B3833/$F3833,"")</f>
        <v>0.2</v>
      </c>
      <c r="D3833" s="12" t="n">
        <f aca="false">COUNTIFS(Cleaned!$D$2:$D$125,7,Cleaned!FY$2:FY$125,1)</f>
        <v>4</v>
      </c>
      <c r="E3833" s="13" t="n">
        <f aca="false">IFERROR(D3833/$F3833,"")</f>
        <v>0.8</v>
      </c>
      <c r="F3833" s="12" t="n">
        <f aca="false">B3833+D3833</f>
        <v>5</v>
      </c>
    </row>
    <row r="3834" customFormat="false" ht="15" hidden="false" customHeight="false" outlineLevel="0" collapsed="false">
      <c r="A3834" s="12" t="s">
        <v>711</v>
      </c>
      <c r="B3834" s="12" t="n">
        <f aca="false">COUNTIFS(Cleaned!$D$2:$D$125,8,Cleaned!FY$2:FY$125,0)</f>
        <v>1</v>
      </c>
      <c r="C3834" s="13" t="n">
        <f aca="false">IFERROR(B3834/$F3834,"")</f>
        <v>0.5</v>
      </c>
      <c r="D3834" s="12" t="n">
        <f aca="false">COUNTIFS(Cleaned!$D$2:$D$125,8,Cleaned!FY$2:FY$125,1)</f>
        <v>1</v>
      </c>
      <c r="E3834" s="13" t="n">
        <f aca="false">IFERROR(D3834/$F3834,"")</f>
        <v>0.5</v>
      </c>
      <c r="F3834" s="12" t="n">
        <f aca="false">B3834+D3834</f>
        <v>2</v>
      </c>
    </row>
    <row r="3835" customFormat="false" ht="15" hidden="false" customHeight="false" outlineLevel="0" collapsed="false">
      <c r="A3835" s="12" t="s">
        <v>712</v>
      </c>
      <c r="B3835" s="12" t="n">
        <f aca="false">COUNTIFS(Cleaned!$D$2:$D$125,9,Cleaned!FY$2:FY$125,0)</f>
        <v>0</v>
      </c>
      <c r="C3835" s="13" t="str">
        <f aca="false">IFERROR(B3835/$F3835,"")</f>
        <v/>
      </c>
      <c r="D3835" s="12" t="n">
        <f aca="false">COUNTIFS(Cleaned!$D$2:$D$125,9,Cleaned!FY$2:FY$125,1)</f>
        <v>0</v>
      </c>
      <c r="E3835" s="13" t="str">
        <f aca="false">IFERROR(D3835/$F3835,"")</f>
        <v/>
      </c>
      <c r="F3835" s="12" t="n">
        <f aca="false">B3835+D3835</f>
        <v>0</v>
      </c>
    </row>
    <row r="3836" customFormat="false" ht="15" hidden="false" customHeight="false" outlineLevel="0" collapsed="false">
      <c r="A3836" s="12" t="s">
        <v>713</v>
      </c>
      <c r="B3836" s="12" t="n">
        <f aca="false">COUNTIFS(Cleaned!$D$2:$D$125,10,Cleaned!FY$2:FY$125,0)</f>
        <v>0</v>
      </c>
      <c r="C3836" s="13" t="str">
        <f aca="false">IFERROR(B3836/$F3836,"")</f>
        <v/>
      </c>
      <c r="D3836" s="12" t="n">
        <f aca="false">COUNTIFS(Cleaned!$D$2:$D$125,10,Cleaned!FY$2:FY$125,1)</f>
        <v>0</v>
      </c>
      <c r="E3836" s="13" t="str">
        <f aca="false">IFERROR(D3836/$F3836,"")</f>
        <v/>
      </c>
      <c r="F3836" s="12" t="n">
        <f aca="false">B3836+D3836</f>
        <v>0</v>
      </c>
    </row>
    <row r="3837" customFormat="false" ht="15" hidden="false" customHeight="false" outlineLevel="0" collapsed="false">
      <c r="A3837" s="12" t="s">
        <v>714</v>
      </c>
      <c r="B3837" s="12" t="n">
        <f aca="false">COUNTIFS(Cleaned!$D$2:$D$125,11,Cleaned!FY$2:FY$125,0)</f>
        <v>0</v>
      </c>
      <c r="C3837" s="13" t="n">
        <f aca="false">IFERROR(B3837/$F3837,"")</f>
        <v>0</v>
      </c>
      <c r="D3837" s="12" t="n">
        <f aca="false">COUNTIFS(Cleaned!$D$2:$D$125,11,Cleaned!FY$2:FY$125,1)</f>
        <v>2</v>
      </c>
      <c r="E3837" s="13" t="n">
        <f aca="false">IFERROR(D3837/$F3837,"")</f>
        <v>1</v>
      </c>
      <c r="F3837" s="12" t="n">
        <f aca="false">B3837+D3837</f>
        <v>2</v>
      </c>
    </row>
    <row r="3838" customFormat="false" ht="15" hidden="false" customHeight="false" outlineLevel="0" collapsed="false">
      <c r="A3838" s="12" t="s">
        <v>715</v>
      </c>
      <c r="B3838" s="12" t="n">
        <f aca="false">COUNTIFS(Cleaned!$D$2:$D$125,12,Cleaned!FY$2:FY$125,0)</f>
        <v>1</v>
      </c>
      <c r="C3838" s="13" t="n">
        <f aca="false">IFERROR(B3838/$F3838,"")</f>
        <v>1</v>
      </c>
      <c r="D3838" s="12" t="n">
        <f aca="false">COUNTIFS(Cleaned!$D$2:$D$125,12,Cleaned!FY$2:FY$125,1)</f>
        <v>0</v>
      </c>
      <c r="E3838" s="13" t="n">
        <f aca="false">IFERROR(D3838/$F3838,"")</f>
        <v>0</v>
      </c>
      <c r="F3838" s="12" t="n">
        <f aca="false">B3838+D3838</f>
        <v>1</v>
      </c>
    </row>
    <row r="3839" customFormat="false" ht="15" hidden="false" customHeight="false" outlineLevel="0" collapsed="false">
      <c r="A3839" s="11" t="s">
        <v>716</v>
      </c>
      <c r="B3839" s="11" t="n">
        <f aca="false">SUM(B3827:B3838)</f>
        <v>15</v>
      </c>
      <c r="C3839" s="14" t="n">
        <f aca="false">IFERROR(B3839/$F3839,"")</f>
        <v>0.405405405405405</v>
      </c>
      <c r="D3839" s="11" t="n">
        <f aca="false">SUM(D3827:D3838)</f>
        <v>22</v>
      </c>
      <c r="E3839" s="14" t="n">
        <f aca="false">IFERROR(D3839/$F3839,"")</f>
        <v>0.594594594594595</v>
      </c>
      <c r="F3839" s="11" t="n">
        <f aca="false">SUM(F3827:F3838)</f>
        <v>37</v>
      </c>
    </row>
    <row r="3842" customFormat="false" ht="15" hidden="false" customHeight="false" outlineLevel="0" collapsed="false">
      <c r="A3842" s="6" t="s">
        <v>172</v>
      </c>
      <c r="B3842" s="7" t="s">
        <v>943</v>
      </c>
    </row>
    <row r="3843" customFormat="false" ht="15" hidden="false" customHeight="false" outlineLevel="0" collapsed="false">
      <c r="A3843" s="11" t="s">
        <v>734</v>
      </c>
      <c r="B3843" s="9" t="s">
        <v>694</v>
      </c>
      <c r="C3843" s="9" t="s">
        <v>735</v>
      </c>
      <c r="D3843" s="9" t="s">
        <v>736</v>
      </c>
      <c r="E3843" s="9" t="s">
        <v>737</v>
      </c>
      <c r="F3843" s="9" t="s">
        <v>738</v>
      </c>
    </row>
    <row r="3844" customFormat="false" ht="15" hidden="false" customHeight="false" outlineLevel="0" collapsed="false">
      <c r="B3844" s="12" t="n">
        <f aca="false">COUNT(Cleaned!$GA$2:$GA$125)</f>
        <v>29</v>
      </c>
      <c r="C3844" s="12" t="n">
        <f aca="false">IFERROR(AVERAGE(Cleaned!$GA$2:$GA$125),"")</f>
        <v>1903.44827586207</v>
      </c>
      <c r="D3844" s="12" t="n">
        <f aca="false">IFERROR(MEDIAN(Cleaned!$GA$2:$GA$125),"")</f>
        <v>1970</v>
      </c>
      <c r="E3844" s="12" t="n">
        <f aca="false">IFERROR(MIN(Cleaned!$GA$2:$GA$125),"")</f>
        <v>3</v>
      </c>
      <c r="F3844" s="12" t="n">
        <f aca="false">IFERROR(MAX(Cleaned!$GA$2:$GA$125),"")</f>
        <v>2019</v>
      </c>
    </row>
    <row r="3845" customFormat="false" ht="15" hidden="false" customHeight="false" outlineLevel="0" collapsed="false">
      <c r="A3845" s="11" t="s">
        <v>697</v>
      </c>
      <c r="B3845" s="9" t="s">
        <v>739</v>
      </c>
      <c r="C3845" s="9" t="s">
        <v>735</v>
      </c>
    </row>
    <row r="3846" customFormat="false" ht="15" hidden="false" customHeight="false" outlineLevel="0" collapsed="false">
      <c r="A3846" s="12" t="s">
        <v>698</v>
      </c>
      <c r="B3846" s="12" t="n">
        <f aca="false">COUNTIFS(Cleaned!$C$2:$C$125,1,Cleaned!GA$2:GA$125,"&lt;&gt;")</f>
        <v>3</v>
      </c>
      <c r="C3846" s="15" t="n">
        <f aca="false">IF(B3846=0,"",AVERAGEIF(Cleaned!$C$2:$C$125,1,Cleaned!GA$2:GA$125))</f>
        <v>1986.33333333333</v>
      </c>
    </row>
    <row r="3847" customFormat="false" ht="15" hidden="false" customHeight="false" outlineLevel="0" collapsed="false">
      <c r="A3847" s="12" t="s">
        <v>699</v>
      </c>
      <c r="B3847" s="12" t="n">
        <f aca="false">COUNTIFS(Cleaned!$C$2:$C$125,2,Cleaned!GA$2:GA$125,"&lt;&gt;")</f>
        <v>2</v>
      </c>
      <c r="C3847" s="15" t="n">
        <f aca="false">IF(B3847=0,"",AVERAGEIF(Cleaned!$C$2:$C$125,2,Cleaned!GA$2:GA$125))</f>
        <v>1952</v>
      </c>
    </row>
    <row r="3848" customFormat="false" ht="15" hidden="false" customHeight="false" outlineLevel="0" collapsed="false">
      <c r="A3848" s="12" t="s">
        <v>700</v>
      </c>
      <c r="B3848" s="12" t="n">
        <f aca="false">COUNTIFS(Cleaned!$C$2:$C$125,3,Cleaned!GA$2:GA$125,"&lt;&gt;")</f>
        <v>7</v>
      </c>
      <c r="C3848" s="15" t="n">
        <f aca="false">IF(B3848=0,"",AVERAGEIF(Cleaned!$C$2:$C$125,3,Cleaned!GA$2:GA$125))</f>
        <v>1987.71428571429</v>
      </c>
    </row>
    <row r="3849" customFormat="false" ht="15" hidden="false" customHeight="false" outlineLevel="0" collapsed="false">
      <c r="A3849" s="12" t="s">
        <v>701</v>
      </c>
      <c r="B3849" s="12" t="n">
        <f aca="false">COUNTIFS(Cleaned!$C$2:$C$125,4,Cleaned!GA$2:GA$125,"&lt;&gt;")</f>
        <v>8</v>
      </c>
      <c r="C3849" s="15" t="n">
        <f aca="false">IF(B3849=0,"",AVERAGEIF(Cleaned!$C$2:$C$125,4,Cleaned!GA$2:GA$125))</f>
        <v>1967.375</v>
      </c>
    </row>
    <row r="3850" customFormat="false" ht="15" hidden="false" customHeight="false" outlineLevel="0" collapsed="false">
      <c r="A3850" s="12" t="s">
        <v>702</v>
      </c>
      <c r="B3850" s="12" t="n">
        <f aca="false">COUNTIFS(Cleaned!$C$2:$C$125,5,Cleaned!GA$2:GA$125,"&lt;&gt;")</f>
        <v>9</v>
      </c>
      <c r="C3850" s="15" t="n">
        <f aca="false">IF(B3850=0,"",AVERAGEIF(Cleaned!$C$2:$C$125,5,Cleaned!GA$2:GA$125))</f>
        <v>1742.66666666667</v>
      </c>
    </row>
    <row r="3851" customFormat="false" ht="15" hidden="false" customHeight="false" outlineLevel="0" collapsed="false">
      <c r="A3851" s="11" t="s">
        <v>3</v>
      </c>
      <c r="B3851" s="9" t="s">
        <v>739</v>
      </c>
      <c r="C3851" s="9" t="s">
        <v>735</v>
      </c>
    </row>
    <row r="3852" customFormat="false" ht="15" hidden="false" customHeight="false" outlineLevel="0" collapsed="false">
      <c r="A3852" s="12" t="s">
        <v>704</v>
      </c>
      <c r="B3852" s="12" t="n">
        <f aca="false">COUNTIFS(Cleaned!$D$2:$D$125,1,Cleaned!GA$2:GA$125,"&lt;&gt;")</f>
        <v>5</v>
      </c>
      <c r="C3852" s="15" t="n">
        <f aca="false">IF(B3852=0,"",AVERAGEIF(Cleaned!$D$2:$D$125,1,Cleaned!GA$2:GA$125))</f>
        <v>1975</v>
      </c>
    </row>
    <row r="3853" customFormat="false" ht="15" hidden="false" customHeight="false" outlineLevel="0" collapsed="false">
      <c r="A3853" s="12" t="s">
        <v>705</v>
      </c>
      <c r="B3853" s="12" t="n">
        <f aca="false">COUNTIFS(Cleaned!$D$2:$D$125,2,Cleaned!GA$2:GA$125,"&lt;&gt;")</f>
        <v>3</v>
      </c>
      <c r="C3853" s="15" t="n">
        <f aca="false">IF(B3853=0,"",AVERAGEIF(Cleaned!$D$2:$D$125,2,Cleaned!GA$2:GA$125))</f>
        <v>1304.66666666667</v>
      </c>
    </row>
    <row r="3854" customFormat="false" ht="15" hidden="false" customHeight="false" outlineLevel="0" collapsed="false">
      <c r="A3854" s="12" t="s">
        <v>706</v>
      </c>
      <c r="B3854" s="12" t="n">
        <f aca="false">COUNTIFS(Cleaned!$D$2:$D$125,3,Cleaned!GA$2:GA$125,"&lt;&gt;")</f>
        <v>5</v>
      </c>
      <c r="C3854" s="15" t="n">
        <f aca="false">IF(B3854=0,"",AVERAGEIF(Cleaned!$D$2:$D$125,3,Cleaned!GA$2:GA$125))</f>
        <v>1982.4</v>
      </c>
    </row>
    <row r="3855" customFormat="false" ht="15" hidden="false" customHeight="false" outlineLevel="0" collapsed="false">
      <c r="A3855" s="12" t="s">
        <v>707</v>
      </c>
      <c r="B3855" s="12" t="n">
        <f aca="false">COUNTIFS(Cleaned!$D$2:$D$125,4,Cleaned!GA$2:GA$125,"&lt;&gt;")</f>
        <v>3</v>
      </c>
      <c r="C3855" s="15" t="n">
        <f aca="false">IF(B3855=0,"",AVERAGEIF(Cleaned!$D$2:$D$125,4,Cleaned!GA$2:GA$125))</f>
        <v>1957</v>
      </c>
    </row>
    <row r="3856" customFormat="false" ht="15" hidden="false" customHeight="false" outlineLevel="0" collapsed="false">
      <c r="A3856" s="12" t="s">
        <v>708</v>
      </c>
      <c r="B3856" s="12" t="n">
        <f aca="false">COUNTIFS(Cleaned!$D$2:$D$125,5,Cleaned!GA$2:GA$125,"&lt;&gt;")</f>
        <v>1</v>
      </c>
      <c r="C3856" s="15" t="n">
        <f aca="false">IF(B3856=0,"",AVERAGEIF(Cleaned!$D$2:$D$125,5,Cleaned!GA$2:GA$125))</f>
        <v>1960</v>
      </c>
    </row>
    <row r="3857" customFormat="false" ht="15" hidden="false" customHeight="false" outlineLevel="0" collapsed="false">
      <c r="A3857" s="12" t="s">
        <v>709</v>
      </c>
      <c r="B3857" s="12" t="n">
        <f aca="false">COUNTIFS(Cleaned!$D$2:$D$125,6,Cleaned!GA$2:GA$125,"&lt;&gt;")</f>
        <v>1</v>
      </c>
      <c r="C3857" s="15" t="n">
        <f aca="false">IF(B3857=0,"",AVERAGEIF(Cleaned!$D$2:$D$125,6,Cleaned!GA$2:GA$125))</f>
        <v>1958</v>
      </c>
    </row>
    <row r="3858" customFormat="false" ht="15" hidden="false" customHeight="false" outlineLevel="0" collapsed="false">
      <c r="A3858" s="12" t="s">
        <v>710</v>
      </c>
      <c r="B3858" s="12" t="n">
        <f aca="false">COUNTIFS(Cleaned!$D$2:$D$125,7,Cleaned!GA$2:GA$125,"&lt;&gt;")</f>
        <v>5</v>
      </c>
      <c r="C3858" s="15" t="n">
        <f aca="false">IF(B3858=0,"",AVERAGEIF(Cleaned!$D$2:$D$125,7,Cleaned!GA$2:GA$125))</f>
        <v>1962.4</v>
      </c>
    </row>
    <row r="3859" customFormat="false" ht="15" hidden="false" customHeight="false" outlineLevel="0" collapsed="false">
      <c r="A3859" s="12" t="s">
        <v>711</v>
      </c>
      <c r="B3859" s="12" t="n">
        <f aca="false">COUNTIFS(Cleaned!$D$2:$D$125,8,Cleaned!GA$2:GA$125,"&lt;&gt;")</f>
        <v>2</v>
      </c>
      <c r="C3859" s="15" t="n">
        <f aca="false">IF(B3859=0,"",AVERAGEIF(Cleaned!$D$2:$D$125,8,Cleaned!GA$2:GA$125))</f>
        <v>1975</v>
      </c>
    </row>
    <row r="3860" customFormat="false" ht="15" hidden="false" customHeight="false" outlineLevel="0" collapsed="false">
      <c r="A3860" s="12" t="s">
        <v>712</v>
      </c>
      <c r="B3860" s="12" t="n">
        <f aca="false">COUNTIFS(Cleaned!$D$2:$D$125,9,Cleaned!GA$2:GA$125,"&lt;&gt;")</f>
        <v>1</v>
      </c>
      <c r="C3860" s="15" t="n">
        <f aca="false">IF(B3860=0,"",AVERAGEIF(Cleaned!$D$2:$D$125,9,Cleaned!GA$2:GA$125))</f>
        <v>2009</v>
      </c>
    </row>
    <row r="3861" customFormat="false" ht="15" hidden="false" customHeight="false" outlineLevel="0" collapsed="false">
      <c r="A3861" s="12" t="s">
        <v>713</v>
      </c>
      <c r="B3861" s="12" t="n">
        <f aca="false">COUNTIFS(Cleaned!$D$2:$D$125,10,Cleaned!GA$2:GA$125,"&lt;&gt;")</f>
        <v>0</v>
      </c>
      <c r="C3861" s="15" t="str">
        <f aca="false">IF(B3861=0,"",AVERAGEIF(Cleaned!$D$2:$D$125,10,Cleaned!GA$2:GA$125))</f>
        <v/>
      </c>
    </row>
    <row r="3862" customFormat="false" ht="15" hidden="false" customHeight="false" outlineLevel="0" collapsed="false">
      <c r="A3862" s="12" t="s">
        <v>714</v>
      </c>
      <c r="B3862" s="12" t="n">
        <f aca="false">COUNTIFS(Cleaned!$D$2:$D$125,11,Cleaned!GA$2:GA$125,"&lt;&gt;")</f>
        <v>2</v>
      </c>
      <c r="C3862" s="15" t="n">
        <f aca="false">IF(B3862=0,"",AVERAGEIF(Cleaned!$D$2:$D$125,11,Cleaned!GA$2:GA$125))</f>
        <v>1982.5</v>
      </c>
    </row>
    <row r="3863" customFormat="false" ht="15" hidden="false" customHeight="false" outlineLevel="0" collapsed="false">
      <c r="A3863" s="12" t="s">
        <v>715</v>
      </c>
      <c r="B3863" s="12" t="n">
        <f aca="false">COUNTIFS(Cleaned!$D$2:$D$125,12,Cleaned!GA$2:GA$125,"&lt;&gt;")</f>
        <v>1</v>
      </c>
      <c r="C3863" s="15" t="n">
        <f aca="false">IF(B3863=0,"",AVERAGEIF(Cleaned!$D$2:$D$125,12,Cleaned!GA$2:GA$125))</f>
        <v>1974</v>
      </c>
    </row>
    <row r="3866" customFormat="false" ht="15" hidden="false" customHeight="false" outlineLevel="0" collapsed="false">
      <c r="A3866" s="6" t="s">
        <v>173</v>
      </c>
      <c r="B3866" s="7" t="s">
        <v>944</v>
      </c>
    </row>
    <row r="3867" customFormat="false" ht="15" hidden="false" customHeight="false" outlineLevel="0" collapsed="false">
      <c r="A3867" s="11" t="s">
        <v>734</v>
      </c>
      <c r="B3867" s="9" t="s">
        <v>694</v>
      </c>
      <c r="C3867" s="9" t="s">
        <v>735</v>
      </c>
      <c r="D3867" s="9" t="s">
        <v>736</v>
      </c>
      <c r="E3867" s="9" t="s">
        <v>737</v>
      </c>
      <c r="F3867" s="9" t="s">
        <v>738</v>
      </c>
    </row>
    <row r="3868" customFormat="false" ht="15" hidden="false" customHeight="false" outlineLevel="0" collapsed="false">
      <c r="B3868" s="12" t="n">
        <f aca="false">COUNT(Cleaned!$GB$2:$GB$125)</f>
        <v>24</v>
      </c>
      <c r="C3868" s="12" t="n">
        <f aca="false">IFERROR(AVERAGE(Cleaned!$GB$2:$GB$125),"")</f>
        <v>2011.20833333333</v>
      </c>
      <c r="D3868" s="12" t="n">
        <f aca="false">IFERROR(MEDIAN(Cleaned!$GB$2:$GB$125),"")</f>
        <v>2012.5</v>
      </c>
      <c r="E3868" s="12" t="n">
        <f aca="false">IFERROR(MIN(Cleaned!$GB$2:$GB$125),"")</f>
        <v>1991</v>
      </c>
      <c r="F3868" s="12" t="n">
        <f aca="false">IFERROR(MAX(Cleaned!$GB$2:$GB$125),"")</f>
        <v>2025</v>
      </c>
    </row>
    <row r="3869" customFormat="false" ht="15" hidden="false" customHeight="false" outlineLevel="0" collapsed="false">
      <c r="A3869" s="11" t="s">
        <v>697</v>
      </c>
      <c r="B3869" s="9" t="s">
        <v>739</v>
      </c>
      <c r="C3869" s="9" t="s">
        <v>735</v>
      </c>
    </row>
    <row r="3870" customFormat="false" ht="15" hidden="false" customHeight="false" outlineLevel="0" collapsed="false">
      <c r="A3870" s="12" t="s">
        <v>698</v>
      </c>
      <c r="B3870" s="12" t="n">
        <f aca="false">COUNTIFS(Cleaned!$C$2:$C$125,1,Cleaned!GB$2:GB$125,"&lt;&gt;")</f>
        <v>1</v>
      </c>
      <c r="C3870" s="15" t="n">
        <f aca="false">IF(B3870=0,"",AVERAGEIF(Cleaned!$C$2:$C$125,1,Cleaned!GB$2:GB$125))</f>
        <v>2010</v>
      </c>
    </row>
    <row r="3871" customFormat="false" ht="15" hidden="false" customHeight="false" outlineLevel="0" collapsed="false">
      <c r="A3871" s="12" t="s">
        <v>699</v>
      </c>
      <c r="B3871" s="12" t="n">
        <f aca="false">COUNTIFS(Cleaned!$C$2:$C$125,2,Cleaned!GB$2:GB$125,"&lt;&gt;")</f>
        <v>2</v>
      </c>
      <c r="C3871" s="15" t="n">
        <f aca="false">IF(B3871=0,"",AVERAGEIF(Cleaned!$C$2:$C$125,2,Cleaned!GB$2:GB$125))</f>
        <v>2012.5</v>
      </c>
    </row>
    <row r="3872" customFormat="false" ht="15" hidden="false" customHeight="false" outlineLevel="0" collapsed="false">
      <c r="A3872" s="12" t="s">
        <v>700</v>
      </c>
      <c r="B3872" s="12" t="n">
        <f aca="false">COUNTIFS(Cleaned!$C$2:$C$125,3,Cleaned!GB$2:GB$125,"&lt;&gt;")</f>
        <v>6</v>
      </c>
      <c r="C3872" s="15" t="n">
        <f aca="false">IF(B3872=0,"",AVERAGEIF(Cleaned!$C$2:$C$125,3,Cleaned!GB$2:GB$125))</f>
        <v>2014.83333333333</v>
      </c>
    </row>
    <row r="3873" customFormat="false" ht="15" hidden="false" customHeight="false" outlineLevel="0" collapsed="false">
      <c r="A3873" s="12" t="s">
        <v>701</v>
      </c>
      <c r="B3873" s="12" t="n">
        <f aca="false">COUNTIFS(Cleaned!$C$2:$C$125,4,Cleaned!GB$2:GB$125,"&lt;&gt;")</f>
        <v>8</v>
      </c>
      <c r="C3873" s="15" t="n">
        <f aca="false">IF(B3873=0,"",AVERAGEIF(Cleaned!$C$2:$C$125,4,Cleaned!GB$2:GB$125))</f>
        <v>2011.125</v>
      </c>
    </row>
    <row r="3874" customFormat="false" ht="15" hidden="false" customHeight="false" outlineLevel="0" collapsed="false">
      <c r="A3874" s="12" t="s">
        <v>702</v>
      </c>
      <c r="B3874" s="12" t="n">
        <f aca="false">COUNTIFS(Cleaned!$C$2:$C$125,5,Cleaned!GB$2:GB$125,"&lt;&gt;")</f>
        <v>7</v>
      </c>
      <c r="C3874" s="15" t="n">
        <f aca="false">IF(B3874=0,"",AVERAGEIF(Cleaned!$C$2:$C$125,5,Cleaned!GB$2:GB$125))</f>
        <v>2008</v>
      </c>
    </row>
    <row r="3875" customFormat="false" ht="15" hidden="false" customHeight="false" outlineLevel="0" collapsed="false">
      <c r="A3875" s="11" t="s">
        <v>3</v>
      </c>
      <c r="B3875" s="9" t="s">
        <v>739</v>
      </c>
      <c r="C3875" s="9" t="s">
        <v>735</v>
      </c>
    </row>
    <row r="3876" customFormat="false" ht="15" hidden="false" customHeight="false" outlineLevel="0" collapsed="false">
      <c r="A3876" s="12" t="s">
        <v>704</v>
      </c>
      <c r="B3876" s="12" t="n">
        <f aca="false">COUNTIFS(Cleaned!$D$2:$D$125,1,Cleaned!GB$2:GB$125,"&lt;&gt;")</f>
        <v>4</v>
      </c>
      <c r="C3876" s="15" t="n">
        <f aca="false">IF(B3876=0,"",AVERAGEIF(Cleaned!$D$2:$D$125,1,Cleaned!GB$2:GB$125))</f>
        <v>2007.5</v>
      </c>
    </row>
    <row r="3877" customFormat="false" ht="15" hidden="false" customHeight="false" outlineLevel="0" collapsed="false">
      <c r="A3877" s="12" t="s">
        <v>705</v>
      </c>
      <c r="B3877" s="12" t="n">
        <f aca="false">COUNTIFS(Cleaned!$D$2:$D$125,2,Cleaned!GB$2:GB$125,"&lt;&gt;")</f>
        <v>2</v>
      </c>
      <c r="C3877" s="15" t="n">
        <f aca="false">IF(B3877=0,"",AVERAGEIF(Cleaned!$D$2:$D$125,2,Cleaned!GB$2:GB$125))</f>
        <v>2011</v>
      </c>
    </row>
    <row r="3878" customFormat="false" ht="15" hidden="false" customHeight="false" outlineLevel="0" collapsed="false">
      <c r="A3878" s="12" t="s">
        <v>706</v>
      </c>
      <c r="B3878" s="12" t="n">
        <f aca="false">COUNTIFS(Cleaned!$D$2:$D$125,3,Cleaned!GB$2:GB$125,"&lt;&gt;")</f>
        <v>5</v>
      </c>
      <c r="C3878" s="15" t="n">
        <f aca="false">IF(B3878=0,"",AVERAGEIF(Cleaned!$D$2:$D$125,3,Cleaned!GB$2:GB$125))</f>
        <v>2015.6</v>
      </c>
    </row>
    <row r="3879" customFormat="false" ht="15" hidden="false" customHeight="false" outlineLevel="0" collapsed="false">
      <c r="A3879" s="12" t="s">
        <v>707</v>
      </c>
      <c r="B3879" s="12" t="n">
        <f aca="false">COUNTIFS(Cleaned!$D$2:$D$125,4,Cleaned!GB$2:GB$125,"&lt;&gt;")</f>
        <v>3</v>
      </c>
      <c r="C3879" s="15" t="n">
        <f aca="false">IF(B3879=0,"",AVERAGEIF(Cleaned!$D$2:$D$125,4,Cleaned!GB$2:GB$125))</f>
        <v>2009.66666666667</v>
      </c>
    </row>
    <row r="3880" customFormat="false" ht="15" hidden="false" customHeight="false" outlineLevel="0" collapsed="false">
      <c r="A3880" s="12" t="s">
        <v>708</v>
      </c>
      <c r="B3880" s="12" t="n">
        <f aca="false">COUNTIFS(Cleaned!$D$2:$D$125,5,Cleaned!GB$2:GB$125,"&lt;&gt;")</f>
        <v>1</v>
      </c>
      <c r="C3880" s="15" t="n">
        <f aca="false">IF(B3880=0,"",AVERAGEIF(Cleaned!$D$2:$D$125,5,Cleaned!GB$2:GB$125))</f>
        <v>2025</v>
      </c>
    </row>
    <row r="3881" customFormat="false" ht="15" hidden="false" customHeight="false" outlineLevel="0" collapsed="false">
      <c r="A3881" s="12" t="s">
        <v>709</v>
      </c>
      <c r="B3881" s="12" t="n">
        <f aca="false">COUNTIFS(Cleaned!$D$2:$D$125,6,Cleaned!GB$2:GB$125,"&lt;&gt;")</f>
        <v>1</v>
      </c>
      <c r="C3881" s="15" t="n">
        <f aca="false">IF(B3881=0,"",AVERAGEIF(Cleaned!$D$2:$D$125,6,Cleaned!GB$2:GB$125))</f>
        <v>2010</v>
      </c>
    </row>
    <row r="3882" customFormat="false" ht="15" hidden="false" customHeight="false" outlineLevel="0" collapsed="false">
      <c r="A3882" s="12" t="s">
        <v>710</v>
      </c>
      <c r="B3882" s="12" t="n">
        <f aca="false">COUNTIFS(Cleaned!$D$2:$D$125,7,Cleaned!GB$2:GB$125,"&lt;&gt;")</f>
        <v>4</v>
      </c>
      <c r="C3882" s="15" t="n">
        <f aca="false">IF(B3882=0,"",AVERAGEIF(Cleaned!$D$2:$D$125,7,Cleaned!GB$2:GB$125))</f>
        <v>2009</v>
      </c>
    </row>
    <row r="3883" customFormat="false" ht="15" hidden="false" customHeight="false" outlineLevel="0" collapsed="false">
      <c r="A3883" s="12" t="s">
        <v>711</v>
      </c>
      <c r="B3883" s="12" t="n">
        <f aca="false">COUNTIFS(Cleaned!$D$2:$D$125,8,Cleaned!GB$2:GB$125,"&lt;&gt;")</f>
        <v>2</v>
      </c>
      <c r="C3883" s="15" t="n">
        <f aca="false">IF(B3883=0,"",AVERAGEIF(Cleaned!$D$2:$D$125,8,Cleaned!GB$2:GB$125))</f>
        <v>2005.5</v>
      </c>
    </row>
    <row r="3884" customFormat="false" ht="15" hidden="false" customHeight="false" outlineLevel="0" collapsed="false">
      <c r="A3884" s="12" t="s">
        <v>712</v>
      </c>
      <c r="B3884" s="12" t="n">
        <f aca="false">COUNTIFS(Cleaned!$D$2:$D$125,9,Cleaned!GB$2:GB$125,"&lt;&gt;")</f>
        <v>0</v>
      </c>
      <c r="C3884" s="15" t="str">
        <f aca="false">IF(B3884=0,"",AVERAGEIF(Cleaned!$D$2:$D$125,9,Cleaned!GB$2:GB$125))</f>
        <v/>
      </c>
    </row>
    <row r="3885" customFormat="false" ht="15" hidden="false" customHeight="false" outlineLevel="0" collapsed="false">
      <c r="A3885" s="12" t="s">
        <v>713</v>
      </c>
      <c r="B3885" s="12" t="n">
        <f aca="false">COUNTIFS(Cleaned!$D$2:$D$125,10,Cleaned!GB$2:GB$125,"&lt;&gt;")</f>
        <v>0</v>
      </c>
      <c r="C3885" s="15" t="str">
        <f aca="false">IF(B3885=0,"",AVERAGEIF(Cleaned!$D$2:$D$125,10,Cleaned!GB$2:GB$125))</f>
        <v/>
      </c>
    </row>
    <row r="3886" customFormat="false" ht="15" hidden="false" customHeight="false" outlineLevel="0" collapsed="false">
      <c r="A3886" s="12" t="s">
        <v>714</v>
      </c>
      <c r="B3886" s="12" t="n">
        <f aca="false">COUNTIFS(Cleaned!$D$2:$D$125,11,Cleaned!GB$2:GB$125,"&lt;&gt;")</f>
        <v>2</v>
      </c>
      <c r="C3886" s="15" t="n">
        <f aca="false">IF(B3886=0,"",AVERAGEIF(Cleaned!$D$2:$D$125,11,Cleaned!GB$2:GB$125))</f>
        <v>2014</v>
      </c>
    </row>
    <row r="3887" customFormat="false" ht="15" hidden="false" customHeight="false" outlineLevel="0" collapsed="false">
      <c r="A3887" s="12" t="s">
        <v>715</v>
      </c>
      <c r="B3887" s="12" t="n">
        <f aca="false">COUNTIFS(Cleaned!$D$2:$D$125,12,Cleaned!GB$2:GB$125,"&lt;&gt;")</f>
        <v>0</v>
      </c>
      <c r="C3887" s="15" t="str">
        <f aca="false">IF(B3887=0,"",AVERAGEIF(Cleaned!$D$2:$D$125,12,Cleaned!GB$2:GB$125))</f>
        <v/>
      </c>
    </row>
    <row r="3890" customFormat="false" ht="15" hidden="false" customHeight="false" outlineLevel="0" collapsed="false">
      <c r="A3890" s="6" t="s">
        <v>174</v>
      </c>
      <c r="B3890" s="7" t="s">
        <v>945</v>
      </c>
    </row>
    <row r="3891" customFormat="false" ht="15" hidden="false" customHeight="false" outlineLevel="0" collapsed="false">
      <c r="A3891" s="11" t="s">
        <v>734</v>
      </c>
      <c r="B3891" s="9" t="s">
        <v>694</v>
      </c>
      <c r="C3891" s="9" t="s">
        <v>735</v>
      </c>
      <c r="D3891" s="9" t="s">
        <v>736</v>
      </c>
      <c r="E3891" s="9" t="s">
        <v>737</v>
      </c>
      <c r="F3891" s="9" t="s">
        <v>738</v>
      </c>
    </row>
    <row r="3892" customFormat="false" ht="15" hidden="false" customHeight="false" outlineLevel="0" collapsed="false">
      <c r="B3892" s="12" t="n">
        <f aca="false">COUNT(Cleaned!$GC$2:$GC$125)</f>
        <v>23</v>
      </c>
      <c r="C3892" s="12" t="n">
        <f aca="false">IFERROR(AVERAGE(Cleaned!$GC$2:$GC$125),"")</f>
        <v>5.22034782608696</v>
      </c>
      <c r="D3892" s="12" t="n">
        <f aca="false">IFERROR(MEDIAN(Cleaned!$GC$2:$GC$125),"")</f>
        <v>2</v>
      </c>
      <c r="E3892" s="12" t="n">
        <f aca="false">IFERROR(MIN(Cleaned!$GC$2:$GC$125),"")</f>
        <v>0.047</v>
      </c>
      <c r="F3892" s="12" t="n">
        <f aca="false">IFERROR(MAX(Cleaned!$GC$2:$GC$125),"")</f>
        <v>35</v>
      </c>
    </row>
    <row r="3893" customFormat="false" ht="15" hidden="false" customHeight="false" outlineLevel="0" collapsed="false">
      <c r="A3893" s="11" t="s">
        <v>697</v>
      </c>
      <c r="B3893" s="9" t="s">
        <v>739</v>
      </c>
      <c r="C3893" s="9" t="s">
        <v>735</v>
      </c>
    </row>
    <row r="3894" customFormat="false" ht="15" hidden="false" customHeight="false" outlineLevel="0" collapsed="false">
      <c r="A3894" s="12" t="s">
        <v>698</v>
      </c>
      <c r="B3894" s="12" t="n">
        <f aca="false">COUNTIFS(Cleaned!$C$2:$C$125,1,Cleaned!GC$2:GC$125,"&lt;&gt;")</f>
        <v>1</v>
      </c>
      <c r="C3894" s="15" t="n">
        <f aca="false">IF(B3894=0,"",AVERAGEIF(Cleaned!$C$2:$C$125,1,Cleaned!GC$2:GC$125))</f>
        <v>0.047</v>
      </c>
    </row>
    <row r="3895" customFormat="false" ht="15" hidden="false" customHeight="false" outlineLevel="0" collapsed="false">
      <c r="A3895" s="12" t="s">
        <v>699</v>
      </c>
      <c r="B3895" s="12" t="n">
        <f aca="false">COUNTIFS(Cleaned!$C$2:$C$125,2,Cleaned!GC$2:GC$125,"&lt;&gt;")</f>
        <v>1</v>
      </c>
      <c r="C3895" s="15" t="n">
        <f aca="false">IF(B3895=0,"",AVERAGEIF(Cleaned!$C$2:$C$125,2,Cleaned!GC$2:GC$125))</f>
        <v>0.3</v>
      </c>
    </row>
    <row r="3896" customFormat="false" ht="15" hidden="false" customHeight="false" outlineLevel="0" collapsed="false">
      <c r="A3896" s="12" t="s">
        <v>700</v>
      </c>
      <c r="B3896" s="12" t="n">
        <f aca="false">COUNTIFS(Cleaned!$C$2:$C$125,3,Cleaned!GC$2:GC$125,"&lt;&gt;")</f>
        <v>5</v>
      </c>
      <c r="C3896" s="15" t="n">
        <f aca="false">IF(B3896=0,"",AVERAGEIF(Cleaned!$C$2:$C$125,3,Cleaned!GC$2:GC$125))</f>
        <v>1.266</v>
      </c>
    </row>
    <row r="3897" customFormat="false" ht="15" hidden="false" customHeight="false" outlineLevel="0" collapsed="false">
      <c r="A3897" s="12" t="s">
        <v>701</v>
      </c>
      <c r="B3897" s="12" t="n">
        <f aca="false">COUNTIFS(Cleaned!$C$2:$C$125,4,Cleaned!GC$2:GC$125,"&lt;&gt;")</f>
        <v>8</v>
      </c>
      <c r="C3897" s="15" t="n">
        <f aca="false">IF(B3897=0,"",AVERAGEIF(Cleaned!$C$2:$C$125,4,Cleaned!GC$2:GC$125))</f>
        <v>1.511375</v>
      </c>
    </row>
    <row r="3898" customFormat="false" ht="15" hidden="false" customHeight="false" outlineLevel="0" collapsed="false">
      <c r="A3898" s="12" t="s">
        <v>702</v>
      </c>
      <c r="B3898" s="12" t="n">
        <f aca="false">COUNTIFS(Cleaned!$C$2:$C$125,5,Cleaned!GC$2:GC$125,"&lt;&gt;")</f>
        <v>8</v>
      </c>
      <c r="C3898" s="15" t="n">
        <f aca="false">IF(B3898=0,"",AVERAGEIF(Cleaned!$C$2:$C$125,5,Cleaned!GC$2:GC$125))</f>
        <v>12.6625</v>
      </c>
    </row>
    <row r="3899" customFormat="false" ht="15" hidden="false" customHeight="false" outlineLevel="0" collapsed="false">
      <c r="A3899" s="11" t="s">
        <v>3</v>
      </c>
      <c r="B3899" s="9" t="s">
        <v>739</v>
      </c>
      <c r="C3899" s="9" t="s">
        <v>735</v>
      </c>
    </row>
    <row r="3900" customFormat="false" ht="15" hidden="false" customHeight="false" outlineLevel="0" collapsed="false">
      <c r="A3900" s="12" t="s">
        <v>704</v>
      </c>
      <c r="B3900" s="12" t="n">
        <f aca="false">COUNTIFS(Cleaned!$D$2:$D$125,1,Cleaned!GC$2:GC$125,"&lt;&gt;")</f>
        <v>4</v>
      </c>
      <c r="C3900" s="15" t="n">
        <f aca="false">IF(B3900=0,"",AVERAGEIF(Cleaned!$D$2:$D$125,1,Cleaned!GC$2:GC$125))</f>
        <v>1.9875</v>
      </c>
    </row>
    <row r="3901" customFormat="false" ht="15" hidden="false" customHeight="false" outlineLevel="0" collapsed="false">
      <c r="A3901" s="12" t="s">
        <v>705</v>
      </c>
      <c r="B3901" s="12" t="n">
        <f aca="false">COUNTIFS(Cleaned!$D$2:$D$125,2,Cleaned!GC$2:GC$125,"&lt;&gt;")</f>
        <v>2</v>
      </c>
      <c r="C3901" s="15" t="n">
        <f aca="false">IF(B3901=0,"",AVERAGEIF(Cleaned!$D$2:$D$125,2,Cleaned!GC$2:GC$125))</f>
        <v>10</v>
      </c>
    </row>
    <row r="3902" customFormat="false" ht="15" hidden="false" customHeight="false" outlineLevel="0" collapsed="false">
      <c r="A3902" s="12" t="s">
        <v>706</v>
      </c>
      <c r="B3902" s="12" t="n">
        <f aca="false">COUNTIFS(Cleaned!$D$2:$D$125,3,Cleaned!GC$2:GC$125,"&lt;&gt;")</f>
        <v>5</v>
      </c>
      <c r="C3902" s="15" t="n">
        <f aca="false">IF(B3902=0,"",AVERAGEIF(Cleaned!$D$2:$D$125,3,Cleaned!GC$2:GC$125))</f>
        <v>15.122</v>
      </c>
    </row>
    <row r="3903" customFormat="false" ht="15" hidden="false" customHeight="false" outlineLevel="0" collapsed="false">
      <c r="A3903" s="12" t="s">
        <v>707</v>
      </c>
      <c r="B3903" s="12" t="n">
        <f aca="false">COUNTIFS(Cleaned!$D$2:$D$125,4,Cleaned!GC$2:GC$125,"&lt;&gt;")</f>
        <v>3</v>
      </c>
      <c r="C3903" s="15" t="n">
        <f aca="false">IF(B3903=0,"",AVERAGEIF(Cleaned!$D$2:$D$125,4,Cleaned!GC$2:GC$125))</f>
        <v>0.976666666666667</v>
      </c>
    </row>
    <row r="3904" customFormat="false" ht="15" hidden="false" customHeight="false" outlineLevel="0" collapsed="false">
      <c r="A3904" s="12" t="s">
        <v>708</v>
      </c>
      <c r="B3904" s="12" t="n">
        <f aca="false">COUNTIFS(Cleaned!$D$2:$D$125,5,Cleaned!GC$2:GC$125,"&lt;&gt;")</f>
        <v>1</v>
      </c>
      <c r="C3904" s="15" t="n">
        <f aca="false">IF(B3904=0,"",AVERAGEIF(Cleaned!$D$2:$D$125,5,Cleaned!GC$2:GC$125))</f>
        <v>1.3</v>
      </c>
    </row>
    <row r="3905" customFormat="false" ht="15" hidden="false" customHeight="false" outlineLevel="0" collapsed="false">
      <c r="A3905" s="12" t="s">
        <v>709</v>
      </c>
      <c r="B3905" s="12" t="n">
        <f aca="false">COUNTIFS(Cleaned!$D$2:$D$125,6,Cleaned!GC$2:GC$125,"&lt;&gt;")</f>
        <v>1</v>
      </c>
      <c r="C3905" s="15" t="n">
        <f aca="false">IF(B3905=0,"",AVERAGEIF(Cleaned!$D$2:$D$125,6,Cleaned!GC$2:GC$125))</f>
        <v>0.861</v>
      </c>
    </row>
    <row r="3906" customFormat="false" ht="15" hidden="false" customHeight="false" outlineLevel="0" collapsed="false">
      <c r="A3906" s="12" t="s">
        <v>710</v>
      </c>
      <c r="B3906" s="12" t="n">
        <f aca="false">COUNTIFS(Cleaned!$D$2:$D$125,7,Cleaned!GC$2:GC$125,"&lt;&gt;")</f>
        <v>4</v>
      </c>
      <c r="C3906" s="15" t="n">
        <f aca="false">IF(B3906=0,"",AVERAGEIF(Cleaned!$D$2:$D$125,7,Cleaned!GC$2:GC$125))</f>
        <v>2.2575</v>
      </c>
    </row>
    <row r="3907" customFormat="false" ht="15" hidden="false" customHeight="false" outlineLevel="0" collapsed="false">
      <c r="A3907" s="12" t="s">
        <v>711</v>
      </c>
      <c r="B3907" s="12" t="n">
        <f aca="false">COUNTIFS(Cleaned!$D$2:$D$125,8,Cleaned!GC$2:GC$125,"&lt;&gt;")</f>
        <v>1</v>
      </c>
      <c r="C3907" s="15" t="n">
        <f aca="false">IF(B3907=0,"",AVERAGEIF(Cleaned!$D$2:$D$125,8,Cleaned!GC$2:GC$125))</f>
        <v>1.48</v>
      </c>
    </row>
    <row r="3908" customFormat="false" ht="15" hidden="false" customHeight="false" outlineLevel="0" collapsed="false">
      <c r="A3908" s="12" t="s">
        <v>712</v>
      </c>
      <c r="B3908" s="12" t="n">
        <f aca="false">COUNTIFS(Cleaned!$D$2:$D$125,9,Cleaned!GC$2:GC$125,"&lt;&gt;")</f>
        <v>0</v>
      </c>
      <c r="C3908" s="15" t="str">
        <f aca="false">IF(B3908=0,"",AVERAGEIF(Cleaned!$D$2:$D$125,9,Cleaned!GC$2:GC$125))</f>
        <v/>
      </c>
    </row>
    <row r="3909" customFormat="false" ht="15" hidden="false" customHeight="false" outlineLevel="0" collapsed="false">
      <c r="A3909" s="12" t="s">
        <v>713</v>
      </c>
      <c r="B3909" s="12" t="n">
        <f aca="false">COUNTIFS(Cleaned!$D$2:$D$125,10,Cleaned!GC$2:GC$125,"&lt;&gt;")</f>
        <v>0</v>
      </c>
      <c r="C3909" s="15" t="str">
        <f aca="false">IF(B3909=0,"",AVERAGEIF(Cleaned!$D$2:$D$125,10,Cleaned!GC$2:GC$125))</f>
        <v/>
      </c>
    </row>
    <row r="3910" customFormat="false" ht="15" hidden="false" customHeight="false" outlineLevel="0" collapsed="false">
      <c r="A3910" s="12" t="s">
        <v>714</v>
      </c>
      <c r="B3910" s="12" t="n">
        <f aca="false">COUNTIFS(Cleaned!$D$2:$D$125,11,Cleaned!GC$2:GC$125,"&lt;&gt;")</f>
        <v>1</v>
      </c>
      <c r="C3910" s="15" t="n">
        <f aca="false">IF(B3910=0,"",AVERAGEIF(Cleaned!$D$2:$D$125,11,Cleaned!GC$2:GC$125))</f>
        <v>0.86</v>
      </c>
    </row>
    <row r="3911" customFormat="false" ht="15" hidden="false" customHeight="false" outlineLevel="0" collapsed="false">
      <c r="A3911" s="12" t="s">
        <v>715</v>
      </c>
      <c r="B3911" s="12" t="n">
        <f aca="false">COUNTIFS(Cleaned!$D$2:$D$125,12,Cleaned!GC$2:GC$125,"&lt;&gt;")</f>
        <v>1</v>
      </c>
      <c r="C3911" s="15" t="n">
        <f aca="false">IF(B3911=0,"",AVERAGEIF(Cleaned!$D$2:$D$125,12,Cleaned!GC$2:GC$125))</f>
        <v>0.047</v>
      </c>
    </row>
    <row r="3914" customFormat="false" ht="15" hidden="false" customHeight="false" outlineLevel="0" collapsed="false">
      <c r="A3914" s="6" t="s">
        <v>175</v>
      </c>
      <c r="B3914" s="7" t="s">
        <v>946</v>
      </c>
    </row>
    <row r="3915" customFormat="false" ht="15" hidden="false" customHeight="false" outlineLevel="0" collapsed="false">
      <c r="A3915" s="11" t="s">
        <v>734</v>
      </c>
      <c r="B3915" s="9" t="s">
        <v>694</v>
      </c>
      <c r="C3915" s="9" t="s">
        <v>735</v>
      </c>
      <c r="D3915" s="9" t="s">
        <v>736</v>
      </c>
      <c r="E3915" s="9" t="s">
        <v>737</v>
      </c>
      <c r="F3915" s="9" t="s">
        <v>738</v>
      </c>
    </row>
    <row r="3916" customFormat="false" ht="15" hidden="false" customHeight="false" outlineLevel="0" collapsed="false">
      <c r="B3916" s="12" t="n">
        <f aca="false">COUNT(Cleaned!$GD$2:$GD$125)</f>
        <v>23</v>
      </c>
      <c r="C3916" s="12" t="n">
        <f aca="false">IFERROR(AVERAGE(Cleaned!$GD$2:$GD$125),"")</f>
        <v>22.9468260869565</v>
      </c>
      <c r="D3916" s="12" t="n">
        <f aca="false">IFERROR(MEDIAN(Cleaned!$GD$2:$GD$125),"")</f>
        <v>5</v>
      </c>
      <c r="E3916" s="12" t="n">
        <f aca="false">IFERROR(MIN(Cleaned!$GD$2:$GD$125),"")</f>
        <v>0.047</v>
      </c>
      <c r="F3916" s="12" t="n">
        <f aca="false">IFERROR(MAX(Cleaned!$GD$2:$GD$125),"")</f>
        <v>205</v>
      </c>
    </row>
    <row r="3917" customFormat="false" ht="15" hidden="false" customHeight="false" outlineLevel="0" collapsed="false">
      <c r="A3917" s="11" t="s">
        <v>697</v>
      </c>
      <c r="B3917" s="9" t="s">
        <v>739</v>
      </c>
      <c r="C3917" s="9" t="s">
        <v>735</v>
      </c>
    </row>
    <row r="3918" customFormat="false" ht="15" hidden="false" customHeight="false" outlineLevel="0" collapsed="false">
      <c r="A3918" s="12" t="s">
        <v>698</v>
      </c>
      <c r="B3918" s="12" t="n">
        <f aca="false">COUNTIFS(Cleaned!$C$2:$C$125,1,Cleaned!GD$2:GD$125,"&lt;&gt;")</f>
        <v>2</v>
      </c>
      <c r="C3918" s="15" t="n">
        <f aca="false">IF(B3918=0,"",AVERAGEIF(Cleaned!$C$2:$C$125,1,Cleaned!GD$2:GD$125))</f>
        <v>0.0685</v>
      </c>
    </row>
    <row r="3919" customFormat="false" ht="15" hidden="false" customHeight="false" outlineLevel="0" collapsed="false">
      <c r="A3919" s="12" t="s">
        <v>699</v>
      </c>
      <c r="B3919" s="12" t="n">
        <f aca="false">COUNTIFS(Cleaned!$C$2:$C$125,2,Cleaned!GD$2:GD$125,"&lt;&gt;")</f>
        <v>1</v>
      </c>
      <c r="C3919" s="15" t="n">
        <f aca="false">IF(B3919=0,"",AVERAGEIF(Cleaned!$C$2:$C$125,2,Cleaned!GD$2:GD$125))</f>
        <v>1.5</v>
      </c>
    </row>
    <row r="3920" customFormat="false" ht="15" hidden="false" customHeight="false" outlineLevel="0" collapsed="false">
      <c r="A3920" s="12" t="s">
        <v>700</v>
      </c>
      <c r="B3920" s="12" t="n">
        <f aca="false">COUNTIFS(Cleaned!$C$2:$C$125,3,Cleaned!GD$2:GD$125,"&lt;&gt;")</f>
        <v>4</v>
      </c>
      <c r="C3920" s="15" t="n">
        <f aca="false">IF(B3920=0,"",AVERAGEIF(Cleaned!$C$2:$C$125,3,Cleaned!GD$2:GD$125))</f>
        <v>1.6125</v>
      </c>
    </row>
    <row r="3921" customFormat="false" ht="15" hidden="false" customHeight="false" outlineLevel="0" collapsed="false">
      <c r="A3921" s="12" t="s">
        <v>701</v>
      </c>
      <c r="B3921" s="12" t="n">
        <f aca="false">COUNTIFS(Cleaned!$C$2:$C$125,4,Cleaned!GD$2:GD$125,"&lt;&gt;")</f>
        <v>8</v>
      </c>
      <c r="C3921" s="15" t="n">
        <f aca="false">IF(B3921=0,"",AVERAGEIF(Cleaned!$C$2:$C$125,4,Cleaned!GD$2:GD$125))</f>
        <v>5.14875</v>
      </c>
    </row>
    <row r="3922" customFormat="false" ht="15" hidden="false" customHeight="false" outlineLevel="0" collapsed="false">
      <c r="A3922" s="12" t="s">
        <v>702</v>
      </c>
      <c r="B3922" s="12" t="n">
        <f aca="false">COUNTIFS(Cleaned!$C$2:$C$125,5,Cleaned!GD$2:GD$125,"&lt;&gt;")</f>
        <v>8</v>
      </c>
      <c r="C3922" s="15" t="n">
        <f aca="false">IF(B3922=0,"",AVERAGEIF(Cleaned!$C$2:$C$125,5,Cleaned!GD$2:GD$125))</f>
        <v>59.8125</v>
      </c>
    </row>
    <row r="3923" customFormat="false" ht="15" hidden="false" customHeight="false" outlineLevel="0" collapsed="false">
      <c r="A3923" s="11" t="s">
        <v>3</v>
      </c>
      <c r="B3923" s="9" t="s">
        <v>739</v>
      </c>
      <c r="C3923" s="9" t="s">
        <v>735</v>
      </c>
    </row>
    <row r="3924" customFormat="false" ht="15" hidden="false" customHeight="false" outlineLevel="0" collapsed="false">
      <c r="A3924" s="12" t="s">
        <v>704</v>
      </c>
      <c r="B3924" s="12" t="n">
        <f aca="false">COUNTIFS(Cleaned!$D$2:$D$125,1,Cleaned!GD$2:GD$125,"&lt;&gt;")</f>
        <v>4</v>
      </c>
      <c r="C3924" s="15" t="n">
        <f aca="false">IF(B3924=0,"",AVERAGEIF(Cleaned!$D$2:$D$125,1,Cleaned!GD$2:GD$125))</f>
        <v>3.7875</v>
      </c>
    </row>
    <row r="3925" customFormat="false" ht="15" hidden="false" customHeight="false" outlineLevel="0" collapsed="false">
      <c r="A3925" s="12" t="s">
        <v>705</v>
      </c>
      <c r="B3925" s="12" t="n">
        <f aca="false">COUNTIFS(Cleaned!$D$2:$D$125,2,Cleaned!GD$2:GD$125,"&lt;&gt;")</f>
        <v>2</v>
      </c>
      <c r="C3925" s="15" t="n">
        <f aca="false">IF(B3925=0,"",AVERAGEIF(Cleaned!$D$2:$D$125,2,Cleaned!GD$2:GD$125))</f>
        <v>16</v>
      </c>
    </row>
    <row r="3926" customFormat="false" ht="15" hidden="false" customHeight="false" outlineLevel="0" collapsed="false">
      <c r="A3926" s="12" t="s">
        <v>706</v>
      </c>
      <c r="B3926" s="12" t="n">
        <f aca="false">COUNTIFS(Cleaned!$D$2:$D$125,3,Cleaned!GD$2:GD$125,"&lt;&gt;")</f>
        <v>4</v>
      </c>
      <c r="C3926" s="15" t="n">
        <f aca="false">IF(B3926=0,"",AVERAGEIF(Cleaned!$D$2:$D$125,3,Cleaned!GD$2:GD$125))</f>
        <v>108.8425</v>
      </c>
    </row>
    <row r="3927" customFormat="false" ht="15" hidden="false" customHeight="false" outlineLevel="0" collapsed="false">
      <c r="A3927" s="12" t="s">
        <v>707</v>
      </c>
      <c r="B3927" s="12" t="n">
        <f aca="false">COUNTIFS(Cleaned!$D$2:$D$125,4,Cleaned!GD$2:GD$125,"&lt;&gt;")</f>
        <v>3</v>
      </c>
      <c r="C3927" s="15" t="n">
        <f aca="false">IF(B3927=0,"",AVERAGEIF(Cleaned!$D$2:$D$125,4,Cleaned!GD$2:GD$125))</f>
        <v>3.66666666666667</v>
      </c>
    </row>
    <row r="3928" customFormat="false" ht="15" hidden="false" customHeight="false" outlineLevel="0" collapsed="false">
      <c r="A3928" s="12" t="s">
        <v>708</v>
      </c>
      <c r="B3928" s="12" t="n">
        <f aca="false">COUNTIFS(Cleaned!$D$2:$D$125,5,Cleaned!GD$2:GD$125,"&lt;&gt;")</f>
        <v>1</v>
      </c>
      <c r="C3928" s="15" t="n">
        <f aca="false">IF(B3928=0,"",AVERAGEIF(Cleaned!$D$2:$D$125,5,Cleaned!GD$2:GD$125))</f>
        <v>6</v>
      </c>
    </row>
    <row r="3929" customFormat="false" ht="15" hidden="false" customHeight="false" outlineLevel="0" collapsed="false">
      <c r="A3929" s="12" t="s">
        <v>709</v>
      </c>
      <c r="B3929" s="12" t="n">
        <f aca="false">COUNTIFS(Cleaned!$D$2:$D$125,6,Cleaned!GD$2:GD$125,"&lt;&gt;")</f>
        <v>1</v>
      </c>
      <c r="C3929" s="15" t="n">
        <f aca="false">IF(B3929=0,"",AVERAGEIF(Cleaned!$D$2:$D$125,6,Cleaned!GD$2:GD$125))</f>
        <v>5</v>
      </c>
    </row>
    <row r="3930" customFormat="false" ht="15" hidden="false" customHeight="false" outlineLevel="0" collapsed="false">
      <c r="A3930" s="12" t="s">
        <v>710</v>
      </c>
      <c r="B3930" s="12" t="n">
        <f aca="false">COUNTIFS(Cleaned!$D$2:$D$125,7,Cleaned!GD$2:GD$125,"&lt;&gt;")</f>
        <v>4</v>
      </c>
      <c r="C3930" s="15" t="n">
        <f aca="false">IF(B3930=0,"",AVERAGEIF(Cleaned!$D$2:$D$125,7,Cleaned!GD$2:GD$125))</f>
        <v>4.0125</v>
      </c>
    </row>
    <row r="3931" customFormat="false" ht="15" hidden="false" customHeight="false" outlineLevel="0" collapsed="false">
      <c r="A3931" s="12" t="s">
        <v>711</v>
      </c>
      <c r="B3931" s="12" t="n">
        <f aca="false">COUNTIFS(Cleaned!$D$2:$D$125,8,Cleaned!GD$2:GD$125,"&lt;&gt;")</f>
        <v>2</v>
      </c>
      <c r="C3931" s="15" t="n">
        <f aca="false">IF(B3931=0,"",AVERAGEIF(Cleaned!$D$2:$D$125,8,Cleaned!GD$2:GD$125))</f>
        <v>3.15</v>
      </c>
    </row>
    <row r="3932" customFormat="false" ht="15" hidden="false" customHeight="false" outlineLevel="0" collapsed="false">
      <c r="A3932" s="12" t="s">
        <v>712</v>
      </c>
      <c r="B3932" s="12" t="n">
        <f aca="false">COUNTIFS(Cleaned!$D$2:$D$125,9,Cleaned!GD$2:GD$125,"&lt;&gt;")</f>
        <v>0</v>
      </c>
      <c r="C3932" s="15" t="str">
        <f aca="false">IF(B3932=0,"",AVERAGEIF(Cleaned!$D$2:$D$125,9,Cleaned!GD$2:GD$125))</f>
        <v/>
      </c>
    </row>
    <row r="3933" customFormat="false" ht="15" hidden="false" customHeight="false" outlineLevel="0" collapsed="false">
      <c r="A3933" s="12" t="s">
        <v>713</v>
      </c>
      <c r="B3933" s="12" t="n">
        <f aca="false">COUNTIFS(Cleaned!$D$2:$D$125,10,Cleaned!GD$2:GD$125,"&lt;&gt;")</f>
        <v>0</v>
      </c>
      <c r="C3933" s="15" t="str">
        <f aca="false">IF(B3933=0,"",AVERAGEIF(Cleaned!$D$2:$D$125,10,Cleaned!GD$2:GD$125))</f>
        <v/>
      </c>
    </row>
    <row r="3934" customFormat="false" ht="15" hidden="false" customHeight="false" outlineLevel="0" collapsed="false">
      <c r="A3934" s="12" t="s">
        <v>714</v>
      </c>
      <c r="B3934" s="12" t="n">
        <f aca="false">COUNTIFS(Cleaned!$D$2:$D$125,11,Cleaned!GD$2:GD$125,"&lt;&gt;")</f>
        <v>1</v>
      </c>
      <c r="C3934" s="15" t="n">
        <f aca="false">IF(B3934=0,"",AVERAGEIF(Cleaned!$D$2:$D$125,11,Cleaned!GD$2:GD$125))</f>
        <v>0.86</v>
      </c>
    </row>
    <row r="3935" customFormat="false" ht="15" hidden="false" customHeight="false" outlineLevel="0" collapsed="false">
      <c r="A3935" s="12" t="s">
        <v>715</v>
      </c>
      <c r="B3935" s="12" t="n">
        <f aca="false">COUNTIFS(Cleaned!$D$2:$D$125,12,Cleaned!GD$2:GD$125,"&lt;&gt;")</f>
        <v>1</v>
      </c>
      <c r="C3935" s="15" t="n">
        <f aca="false">IF(B3935=0,"",AVERAGEIF(Cleaned!$D$2:$D$125,12,Cleaned!GD$2:GD$125))</f>
        <v>0.047</v>
      </c>
    </row>
    <row r="3938" customFormat="false" ht="15" hidden="false" customHeight="false" outlineLevel="0" collapsed="false">
      <c r="A3938" s="6" t="s">
        <v>176</v>
      </c>
      <c r="B3938" s="7" t="s">
        <v>947</v>
      </c>
    </row>
    <row r="3939" customFormat="false" ht="15" hidden="false" customHeight="false" outlineLevel="0" collapsed="false">
      <c r="A3939" s="11" t="s">
        <v>734</v>
      </c>
      <c r="B3939" s="9" t="s">
        <v>694</v>
      </c>
      <c r="C3939" s="9" t="s">
        <v>735</v>
      </c>
      <c r="D3939" s="9" t="s">
        <v>736</v>
      </c>
      <c r="E3939" s="9" t="s">
        <v>737</v>
      </c>
      <c r="F3939" s="9" t="s">
        <v>738</v>
      </c>
    </row>
    <row r="3940" customFormat="false" ht="15" hidden="false" customHeight="false" outlineLevel="0" collapsed="false">
      <c r="B3940" s="12" t="n">
        <f aca="false">COUNT(Cleaned!$GE$2:$GE$125)</f>
        <v>21</v>
      </c>
      <c r="C3940" s="12" t="n">
        <f aca="false">IFERROR(AVERAGE(Cleaned!$GE$2:$GE$125),"")</f>
        <v>12282764.3040476</v>
      </c>
      <c r="D3940" s="12" t="n">
        <f aca="false">IFERROR(MEDIAN(Cleaned!$GE$2:$GE$125),"")</f>
        <v>431</v>
      </c>
      <c r="E3940" s="12" t="n">
        <f aca="false">IFERROR(MIN(Cleaned!$GE$2:$GE$125),"")</f>
        <v>0.34</v>
      </c>
      <c r="F3940" s="12" t="n">
        <f aca="false">IFERROR(MAX(Cleaned!$GE$2:$GE$125),"")</f>
        <v>148413000</v>
      </c>
    </row>
    <row r="3941" customFormat="false" ht="15" hidden="false" customHeight="false" outlineLevel="0" collapsed="false">
      <c r="A3941" s="11" t="s">
        <v>697</v>
      </c>
      <c r="B3941" s="9" t="s">
        <v>739</v>
      </c>
      <c r="C3941" s="9" t="s">
        <v>735</v>
      </c>
    </row>
    <row r="3942" customFormat="false" ht="15" hidden="false" customHeight="false" outlineLevel="0" collapsed="false">
      <c r="A3942" s="12" t="s">
        <v>698</v>
      </c>
      <c r="B3942" s="12" t="n">
        <f aca="false">COUNTIFS(Cleaned!$C$2:$C$125,1,Cleaned!GE$2:GE$125,"&lt;&gt;")</f>
        <v>1</v>
      </c>
      <c r="C3942" s="15" t="n">
        <f aca="false">IF(B3942=0,"",AVERAGEIF(Cleaned!$C$2:$C$125,1,Cleaned!GE$2:GE$125))</f>
        <v>9.8</v>
      </c>
    </row>
    <row r="3943" customFormat="false" ht="15" hidden="false" customHeight="false" outlineLevel="0" collapsed="false">
      <c r="A3943" s="12" t="s">
        <v>699</v>
      </c>
      <c r="B3943" s="12" t="n">
        <f aca="false">COUNTIFS(Cleaned!$C$2:$C$125,2,Cleaned!GE$2:GE$125,"&lt;&gt;")</f>
        <v>1</v>
      </c>
      <c r="C3943" s="15" t="n">
        <f aca="false">IF(B3943=0,"",AVERAGEIF(Cleaned!$C$2:$C$125,2,Cleaned!GE$2:GE$125))</f>
        <v>63</v>
      </c>
    </row>
    <row r="3944" customFormat="false" ht="15" hidden="false" customHeight="false" outlineLevel="0" collapsed="false">
      <c r="A3944" s="12" t="s">
        <v>700</v>
      </c>
      <c r="B3944" s="12" t="n">
        <f aca="false">COUNTIFS(Cleaned!$C$2:$C$125,3,Cleaned!GE$2:GE$125,"&lt;&gt;")</f>
        <v>5</v>
      </c>
      <c r="C3944" s="15" t="n">
        <f aca="false">IF(B3944=0,"",AVERAGEIF(Cleaned!$C$2:$C$125,3,Cleaned!GE$2:GE$125))</f>
        <v>21900062.848</v>
      </c>
    </row>
    <row r="3945" customFormat="false" ht="15" hidden="false" customHeight="false" outlineLevel="0" collapsed="false">
      <c r="A3945" s="12" t="s">
        <v>701</v>
      </c>
      <c r="B3945" s="12" t="n">
        <f aca="false">COUNTIFS(Cleaned!$C$2:$C$125,4,Cleaned!GE$2:GE$125,"&lt;&gt;")</f>
        <v>7</v>
      </c>
      <c r="C3945" s="15" t="n">
        <f aca="false">IF(B3945=0,"",AVERAGEIF(Cleaned!$C$2:$C$125,4,Cleaned!GE$2:GE$125))</f>
        <v>21202361.2821429</v>
      </c>
    </row>
    <row r="3946" customFormat="false" ht="15" hidden="false" customHeight="false" outlineLevel="0" collapsed="false">
      <c r="A3946" s="12" t="s">
        <v>702</v>
      </c>
      <c r="B3946" s="12" t="n">
        <f aca="false">COUNTIFS(Cleaned!$C$2:$C$125,5,Cleaned!GE$2:GE$125,"&lt;&gt;")</f>
        <v>7</v>
      </c>
      <c r="C3946" s="15" t="n">
        <f aca="false">IF(B3946=0,"",AVERAGEIF(Cleaned!$C$2:$C$125,5,Cleaned!GE$2:GE$125))</f>
        <v>3019.19571428571</v>
      </c>
    </row>
    <row r="3947" customFormat="false" ht="15" hidden="false" customHeight="false" outlineLevel="0" collapsed="false">
      <c r="A3947" s="11" t="s">
        <v>3</v>
      </c>
      <c r="B3947" s="9" t="s">
        <v>739</v>
      </c>
      <c r="C3947" s="9" t="s">
        <v>735</v>
      </c>
    </row>
    <row r="3948" customFormat="false" ht="15" hidden="false" customHeight="false" outlineLevel="0" collapsed="false">
      <c r="A3948" s="12" t="s">
        <v>704</v>
      </c>
      <c r="B3948" s="12" t="n">
        <f aca="false">COUNTIFS(Cleaned!$D$2:$D$125,1,Cleaned!GE$2:GE$125,"&lt;&gt;")</f>
        <v>3</v>
      </c>
      <c r="C3948" s="15" t="n">
        <f aca="false">IF(B3948=0,"",AVERAGEIF(Cleaned!$D$2:$D$125,1,Cleaned!GE$2:GE$125))</f>
        <v>438.833333333333</v>
      </c>
    </row>
    <row r="3949" customFormat="false" ht="15" hidden="false" customHeight="false" outlineLevel="0" collapsed="false">
      <c r="A3949" s="12" t="s">
        <v>705</v>
      </c>
      <c r="B3949" s="12" t="n">
        <f aca="false">COUNTIFS(Cleaned!$D$2:$D$125,2,Cleaned!GE$2:GE$125,"&lt;&gt;")</f>
        <v>2</v>
      </c>
      <c r="C3949" s="15" t="n">
        <f aca="false">IF(B3949=0,"",AVERAGEIF(Cleaned!$D$2:$D$125,2,Cleaned!GE$2:GE$125))</f>
        <v>227.615</v>
      </c>
    </row>
    <row r="3950" customFormat="false" ht="15" hidden="false" customHeight="false" outlineLevel="0" collapsed="false">
      <c r="A3950" s="12" t="s">
        <v>706</v>
      </c>
      <c r="B3950" s="12" t="n">
        <f aca="false">COUNTIFS(Cleaned!$D$2:$D$125,3,Cleaned!GE$2:GE$125,"&lt;&gt;")</f>
        <v>5</v>
      </c>
      <c r="C3950" s="15" t="n">
        <f aca="false">IF(B3950=0,"",AVERAGEIF(Cleaned!$D$2:$D$125,3,Cleaned!GE$2:GE$125))</f>
        <v>3618.868</v>
      </c>
    </row>
    <row r="3951" customFormat="false" ht="15" hidden="false" customHeight="false" outlineLevel="0" collapsed="false">
      <c r="A3951" s="12" t="s">
        <v>707</v>
      </c>
      <c r="B3951" s="12" t="n">
        <f aca="false">COUNTIFS(Cleaned!$D$2:$D$125,4,Cleaned!GE$2:GE$125,"&lt;&gt;")</f>
        <v>2</v>
      </c>
      <c r="C3951" s="15" t="n">
        <f aca="false">IF(B3951=0,"",AVERAGEIF(Cleaned!$D$2:$D$125,4,Cleaned!GE$2:GE$125))</f>
        <v>405.35</v>
      </c>
    </row>
    <row r="3952" customFormat="false" ht="15" hidden="false" customHeight="false" outlineLevel="0" collapsed="false">
      <c r="A3952" s="12" t="s">
        <v>708</v>
      </c>
      <c r="B3952" s="12" t="n">
        <f aca="false">COUNTIFS(Cleaned!$D$2:$D$125,5,Cleaned!GE$2:GE$125,"&lt;&gt;")</f>
        <v>1</v>
      </c>
      <c r="C3952" s="15" t="n">
        <f aca="false">IF(B3952=0,"",AVERAGEIF(Cleaned!$D$2:$D$125,5,Cleaned!GE$2:GE$125))</f>
        <v>315.275</v>
      </c>
    </row>
    <row r="3953" customFormat="false" ht="15" hidden="false" customHeight="false" outlineLevel="0" collapsed="false">
      <c r="A3953" s="12" t="s">
        <v>709</v>
      </c>
      <c r="B3953" s="12" t="n">
        <f aca="false">COUNTIFS(Cleaned!$D$2:$D$125,6,Cleaned!GE$2:GE$125,"&lt;&gt;")</f>
        <v>1</v>
      </c>
      <c r="C3953" s="15" t="n">
        <f aca="false">IF(B3953=0,"",AVERAGEIF(Cleaned!$D$2:$D$125,6,Cleaned!GE$2:GE$125))</f>
        <v>325</v>
      </c>
    </row>
    <row r="3954" customFormat="false" ht="15" hidden="false" customHeight="false" outlineLevel="0" collapsed="false">
      <c r="A3954" s="12" t="s">
        <v>710</v>
      </c>
      <c r="B3954" s="12" t="n">
        <f aca="false">COUNTIFS(Cleaned!$D$2:$D$125,7,Cleaned!GE$2:GE$125,"&lt;&gt;")</f>
        <v>4</v>
      </c>
      <c r="C3954" s="15" t="n">
        <f aca="false">IF(B3954=0,"",AVERAGEIF(Cleaned!$D$2:$D$125,7,Cleaned!GE$2:GE$125))</f>
        <v>27375823.135</v>
      </c>
    </row>
    <row r="3955" customFormat="false" ht="15" hidden="false" customHeight="false" outlineLevel="0" collapsed="false">
      <c r="A3955" s="12" t="s">
        <v>711</v>
      </c>
      <c r="B3955" s="12" t="n">
        <f aca="false">COUNTIFS(Cleaned!$D$2:$D$125,8,Cleaned!GE$2:GE$125,"&lt;&gt;")</f>
        <v>2</v>
      </c>
      <c r="C3955" s="15" t="n">
        <f aca="false">IF(B3955=0,"",AVERAGEIF(Cleaned!$D$2:$D$125,8,Cleaned!GE$2:GE$125))</f>
        <v>220.4</v>
      </c>
    </row>
    <row r="3956" customFormat="false" ht="15" hidden="false" customHeight="false" outlineLevel="0" collapsed="false">
      <c r="A3956" s="12" t="s">
        <v>712</v>
      </c>
      <c r="B3956" s="12" t="n">
        <f aca="false">COUNTIFS(Cleaned!$D$2:$D$125,9,Cleaned!GE$2:GE$125,"&lt;&gt;")</f>
        <v>0</v>
      </c>
      <c r="C3956" s="15" t="str">
        <f aca="false">IF(B3956=0,"",AVERAGEIF(Cleaned!$D$2:$D$125,9,Cleaned!GE$2:GE$125))</f>
        <v/>
      </c>
    </row>
    <row r="3957" customFormat="false" ht="15" hidden="false" customHeight="false" outlineLevel="0" collapsed="false">
      <c r="A3957" s="12" t="s">
        <v>713</v>
      </c>
      <c r="B3957" s="12" t="n">
        <f aca="false">COUNTIFS(Cleaned!$D$2:$D$125,10,Cleaned!GE$2:GE$125,"&lt;&gt;")</f>
        <v>0</v>
      </c>
      <c r="C3957" s="15" t="str">
        <f aca="false">IF(B3957=0,"",AVERAGEIF(Cleaned!$D$2:$D$125,10,Cleaned!GE$2:GE$125))</f>
        <v/>
      </c>
    </row>
    <row r="3958" customFormat="false" ht="15" hidden="false" customHeight="false" outlineLevel="0" collapsed="false">
      <c r="A3958" s="12" t="s">
        <v>714</v>
      </c>
      <c r="B3958" s="12" t="n">
        <f aca="false">COUNTIFS(Cleaned!$D$2:$D$125,11,Cleaned!GE$2:GE$125,"&lt;&gt;")</f>
        <v>1</v>
      </c>
      <c r="C3958" s="15" t="n">
        <f aca="false">IF(B3958=0,"",AVERAGEIF(Cleaned!$D$2:$D$125,11,Cleaned!GE$2:GE$125))</f>
        <v>148413000</v>
      </c>
    </row>
    <row r="3959" customFormat="false" ht="15" hidden="false" customHeight="false" outlineLevel="0" collapsed="false">
      <c r="A3959" s="12" t="s">
        <v>715</v>
      </c>
      <c r="B3959" s="12" t="n">
        <f aca="false">COUNTIFS(Cleaned!$D$2:$D$125,12,Cleaned!GE$2:GE$125,"&lt;&gt;")</f>
        <v>0</v>
      </c>
      <c r="C3959" s="15" t="str">
        <f aca="false">IF(B3959=0,"",AVERAGEIF(Cleaned!$D$2:$D$125,12,Cleaned!GE$2:GE$125))</f>
        <v/>
      </c>
    </row>
    <row r="3962" customFormat="false" ht="15" hidden="false" customHeight="false" outlineLevel="0" collapsed="false">
      <c r="A3962" s="6" t="s">
        <v>177</v>
      </c>
      <c r="B3962" s="7" t="s">
        <v>948</v>
      </c>
    </row>
    <row r="3963" customFormat="false" ht="15" hidden="false" customHeight="false" outlineLevel="0" collapsed="false">
      <c r="A3963" s="11" t="s">
        <v>734</v>
      </c>
      <c r="B3963" s="9" t="s">
        <v>694</v>
      </c>
      <c r="C3963" s="9" t="s">
        <v>735</v>
      </c>
      <c r="D3963" s="9" t="s">
        <v>736</v>
      </c>
      <c r="E3963" s="9" t="s">
        <v>737</v>
      </c>
      <c r="F3963" s="9" t="s">
        <v>738</v>
      </c>
    </row>
    <row r="3964" customFormat="false" ht="15" hidden="false" customHeight="false" outlineLevel="0" collapsed="false">
      <c r="B3964" s="12" t="n">
        <f aca="false">COUNT(Cleaned!$GF$2:$GF$125)</f>
        <v>23</v>
      </c>
      <c r="C3964" s="12" t="n">
        <f aca="false">IFERROR(AVERAGE(Cleaned!$GF$2:$GF$125),"")</f>
        <v>712.511347826087</v>
      </c>
      <c r="D3964" s="12" t="n">
        <f aca="false">IFERROR(MEDIAN(Cleaned!$GF$2:$GF$125),"")</f>
        <v>3.67</v>
      </c>
      <c r="E3964" s="12" t="n">
        <f aca="false">IFERROR(MIN(Cleaned!$GF$2:$GF$125),"")</f>
        <v>0.036</v>
      </c>
      <c r="F3964" s="12" t="n">
        <f aca="false">IFERROR(MAX(Cleaned!$GF$2:$GF$125),"")</f>
        <v>16117</v>
      </c>
    </row>
    <row r="3965" customFormat="false" ht="15" hidden="false" customHeight="false" outlineLevel="0" collapsed="false">
      <c r="A3965" s="11" t="s">
        <v>697</v>
      </c>
      <c r="B3965" s="9" t="s">
        <v>739</v>
      </c>
      <c r="C3965" s="9" t="s">
        <v>735</v>
      </c>
    </row>
    <row r="3966" customFormat="false" ht="15" hidden="false" customHeight="false" outlineLevel="0" collapsed="false">
      <c r="A3966" s="12" t="s">
        <v>698</v>
      </c>
      <c r="B3966" s="12" t="n">
        <f aca="false">COUNTIFS(Cleaned!$C$2:$C$125,1,Cleaned!GF$2:GF$125,"&lt;&gt;")</f>
        <v>2</v>
      </c>
      <c r="C3966" s="15" t="n">
        <f aca="false">IF(B3966=0,"",AVERAGEIF(Cleaned!$C$2:$C$125,1,Cleaned!GF$2:GF$125))</f>
        <v>0.041</v>
      </c>
    </row>
    <row r="3967" customFormat="false" ht="15" hidden="false" customHeight="false" outlineLevel="0" collapsed="false">
      <c r="A3967" s="12" t="s">
        <v>699</v>
      </c>
      <c r="B3967" s="12" t="n">
        <f aca="false">COUNTIFS(Cleaned!$C$2:$C$125,2,Cleaned!GF$2:GF$125,"&lt;&gt;")</f>
        <v>1</v>
      </c>
      <c r="C3967" s="15" t="n">
        <f aca="false">IF(B3967=0,"",AVERAGEIF(Cleaned!$C$2:$C$125,2,Cleaned!GF$2:GF$125))</f>
        <v>0.992</v>
      </c>
    </row>
    <row r="3968" customFormat="false" ht="15" hidden="false" customHeight="false" outlineLevel="0" collapsed="false">
      <c r="A3968" s="12" t="s">
        <v>700</v>
      </c>
      <c r="B3968" s="12" t="n">
        <f aca="false">COUNTIFS(Cleaned!$C$2:$C$125,3,Cleaned!GF$2:GF$125,"&lt;&gt;")</f>
        <v>5</v>
      </c>
      <c r="C3968" s="15" t="n">
        <f aca="false">IF(B3968=0,"",AVERAGEIF(Cleaned!$C$2:$C$125,3,Cleaned!GF$2:GF$125))</f>
        <v>1.926</v>
      </c>
    </row>
    <row r="3969" customFormat="false" ht="15" hidden="false" customHeight="false" outlineLevel="0" collapsed="false">
      <c r="A3969" s="12" t="s">
        <v>701</v>
      </c>
      <c r="B3969" s="12" t="n">
        <f aca="false">COUNTIFS(Cleaned!$C$2:$C$125,4,Cleaned!GF$2:GF$125,"&lt;&gt;")</f>
        <v>8</v>
      </c>
      <c r="C3969" s="15" t="n">
        <f aca="false">IF(B3969=0,"",AVERAGEIF(Cleaned!$C$2:$C$125,4,Cleaned!GF$2:GF$125))</f>
        <v>3.450875</v>
      </c>
    </row>
    <row r="3970" customFormat="false" ht="15" hidden="false" customHeight="false" outlineLevel="0" collapsed="false">
      <c r="A3970" s="12" t="s">
        <v>702</v>
      </c>
      <c r="B3970" s="12" t="n">
        <f aca="false">COUNTIFS(Cleaned!$C$2:$C$125,5,Cleaned!GF$2:GF$125,"&lt;&gt;")</f>
        <v>7</v>
      </c>
      <c r="C3970" s="15" t="n">
        <f aca="false">IF(B3970=0,"",AVERAGEIF(Cleaned!$C$2:$C$125,5,Cleaned!GF$2:GF$125))</f>
        <v>2335.63571428571</v>
      </c>
    </row>
    <row r="3971" customFormat="false" ht="15" hidden="false" customHeight="false" outlineLevel="0" collapsed="false">
      <c r="A3971" s="11" t="s">
        <v>3</v>
      </c>
      <c r="B3971" s="9" t="s">
        <v>739</v>
      </c>
      <c r="C3971" s="9" t="s">
        <v>735</v>
      </c>
    </row>
    <row r="3972" customFormat="false" ht="15" hidden="false" customHeight="false" outlineLevel="0" collapsed="false">
      <c r="A3972" s="12" t="s">
        <v>704</v>
      </c>
      <c r="B3972" s="12" t="n">
        <f aca="false">COUNTIFS(Cleaned!$D$2:$D$125,1,Cleaned!GF$2:GF$125,"&lt;&gt;")</f>
        <v>3</v>
      </c>
      <c r="C3972" s="15" t="n">
        <f aca="false">IF(B3972=0,"",AVERAGEIF(Cleaned!$D$2:$D$125,1,Cleaned!GF$2:GF$125))</f>
        <v>2.46666666666667</v>
      </c>
    </row>
    <row r="3973" customFormat="false" ht="15" hidden="false" customHeight="false" outlineLevel="0" collapsed="false">
      <c r="A3973" s="12" t="s">
        <v>705</v>
      </c>
      <c r="B3973" s="12" t="n">
        <f aca="false">COUNTIFS(Cleaned!$D$2:$D$125,2,Cleaned!GF$2:GF$125,"&lt;&gt;")</f>
        <v>2</v>
      </c>
      <c r="C3973" s="15" t="n">
        <f aca="false">IF(B3973=0,"",AVERAGEIF(Cleaned!$D$2:$D$125,2,Cleaned!GF$2:GF$125))</f>
        <v>19.275</v>
      </c>
    </row>
    <row r="3974" customFormat="false" ht="15" hidden="false" customHeight="false" outlineLevel="0" collapsed="false">
      <c r="A3974" s="12" t="s">
        <v>706</v>
      </c>
      <c r="B3974" s="12" t="n">
        <f aca="false">COUNTIFS(Cleaned!$D$2:$D$125,3,Cleaned!GF$2:GF$125,"&lt;&gt;")</f>
        <v>5</v>
      </c>
      <c r="C3974" s="15" t="n">
        <f aca="false">IF(B3974=0,"",AVERAGEIF(Cleaned!$D$2:$D$125,3,Cleaned!GF$2:GF$125))</f>
        <v>3257.406</v>
      </c>
    </row>
    <row r="3975" customFormat="false" ht="15" hidden="false" customHeight="false" outlineLevel="0" collapsed="false">
      <c r="A3975" s="12" t="s">
        <v>707</v>
      </c>
      <c r="B3975" s="12" t="n">
        <f aca="false">COUNTIFS(Cleaned!$D$2:$D$125,4,Cleaned!GF$2:GF$125,"&lt;&gt;")</f>
        <v>3</v>
      </c>
      <c r="C3975" s="15" t="n">
        <f aca="false">IF(B3975=0,"",AVERAGEIF(Cleaned!$D$2:$D$125,4,Cleaned!GF$2:GF$125))</f>
        <v>3.17733333333333</v>
      </c>
    </row>
    <row r="3976" customFormat="false" ht="15" hidden="false" customHeight="false" outlineLevel="0" collapsed="false">
      <c r="A3976" s="12" t="s">
        <v>708</v>
      </c>
      <c r="B3976" s="12" t="n">
        <f aca="false">COUNTIFS(Cleaned!$D$2:$D$125,5,Cleaned!GF$2:GF$125,"&lt;&gt;")</f>
        <v>1</v>
      </c>
      <c r="C3976" s="15" t="n">
        <f aca="false">IF(B3976=0,"",AVERAGEIF(Cleaned!$D$2:$D$125,5,Cleaned!GF$2:GF$125))</f>
        <v>1.436</v>
      </c>
    </row>
    <row r="3977" customFormat="false" ht="15" hidden="false" customHeight="false" outlineLevel="0" collapsed="false">
      <c r="A3977" s="12" t="s">
        <v>709</v>
      </c>
      <c r="B3977" s="12" t="n">
        <f aca="false">COUNTIFS(Cleaned!$D$2:$D$125,6,Cleaned!GF$2:GF$125,"&lt;&gt;")</f>
        <v>1</v>
      </c>
      <c r="C3977" s="15" t="n">
        <f aca="false">IF(B3977=0,"",AVERAGEIF(Cleaned!$D$2:$D$125,6,Cleaned!GF$2:GF$125))</f>
        <v>4.3</v>
      </c>
    </row>
    <row r="3978" customFormat="false" ht="15" hidden="false" customHeight="false" outlineLevel="0" collapsed="false">
      <c r="A3978" s="12" t="s">
        <v>710</v>
      </c>
      <c r="B3978" s="12" t="n">
        <f aca="false">COUNTIFS(Cleaned!$D$2:$D$125,7,Cleaned!GF$2:GF$125,"&lt;&gt;")</f>
        <v>4</v>
      </c>
      <c r="C3978" s="15" t="n">
        <f aca="false">IF(B3978=0,"",AVERAGEIF(Cleaned!$D$2:$D$125,7,Cleaned!GF$2:GF$125))</f>
        <v>8.835</v>
      </c>
    </row>
    <row r="3979" customFormat="false" ht="15" hidden="false" customHeight="false" outlineLevel="0" collapsed="false">
      <c r="A3979" s="12" t="s">
        <v>711</v>
      </c>
      <c r="B3979" s="12" t="n">
        <f aca="false">COUNTIFS(Cleaned!$D$2:$D$125,8,Cleaned!GF$2:GF$125,"&lt;&gt;")</f>
        <v>2</v>
      </c>
      <c r="C3979" s="15" t="n">
        <f aca="false">IF(B3979=0,"",AVERAGEIF(Cleaned!$D$2:$D$125,8,Cleaned!GF$2:GF$125))</f>
        <v>1.853</v>
      </c>
    </row>
    <row r="3980" customFormat="false" ht="15" hidden="false" customHeight="false" outlineLevel="0" collapsed="false">
      <c r="A3980" s="12" t="s">
        <v>712</v>
      </c>
      <c r="B3980" s="12" t="n">
        <f aca="false">COUNTIFS(Cleaned!$D$2:$D$125,9,Cleaned!GF$2:GF$125,"&lt;&gt;")</f>
        <v>0</v>
      </c>
      <c r="C3980" s="15" t="str">
        <f aca="false">IF(B3980=0,"",AVERAGEIF(Cleaned!$D$2:$D$125,9,Cleaned!GF$2:GF$125))</f>
        <v/>
      </c>
    </row>
    <row r="3981" customFormat="false" ht="15" hidden="false" customHeight="false" outlineLevel="0" collapsed="false">
      <c r="A3981" s="12" t="s">
        <v>713</v>
      </c>
      <c r="B3981" s="12" t="n">
        <f aca="false">COUNTIFS(Cleaned!$D$2:$D$125,10,Cleaned!GF$2:GF$125,"&lt;&gt;")</f>
        <v>0</v>
      </c>
      <c r="C3981" s="15" t="str">
        <f aca="false">IF(B3981=0,"",AVERAGEIF(Cleaned!$D$2:$D$125,10,Cleaned!GF$2:GF$125))</f>
        <v/>
      </c>
    </row>
    <row r="3982" customFormat="false" ht="15" hidden="false" customHeight="false" outlineLevel="0" collapsed="false">
      <c r="A3982" s="12" t="s">
        <v>714</v>
      </c>
      <c r="B3982" s="12" t="n">
        <f aca="false">COUNTIFS(Cleaned!$D$2:$D$125,11,Cleaned!GF$2:GF$125,"&lt;&gt;")</f>
        <v>1</v>
      </c>
      <c r="C3982" s="15" t="n">
        <f aca="false">IF(B3982=0,"",AVERAGEIF(Cleaned!$D$2:$D$125,11,Cleaned!GF$2:GF$125))</f>
        <v>0.421</v>
      </c>
    </row>
    <row r="3983" customFormat="false" ht="15" hidden="false" customHeight="false" outlineLevel="0" collapsed="false">
      <c r="A3983" s="12" t="s">
        <v>715</v>
      </c>
      <c r="B3983" s="12" t="n">
        <f aca="false">COUNTIFS(Cleaned!$D$2:$D$125,12,Cleaned!GF$2:GF$125,"&lt;&gt;")</f>
        <v>1</v>
      </c>
      <c r="C3983" s="15" t="n">
        <f aca="false">IF(B3983=0,"",AVERAGEIF(Cleaned!$D$2:$D$125,12,Cleaned!GF$2:GF$125))</f>
        <v>0.046</v>
      </c>
    </row>
    <row r="3986" customFormat="false" ht="15" hidden="false" customHeight="false" outlineLevel="0" collapsed="false">
      <c r="A3986" s="6" t="s">
        <v>178</v>
      </c>
      <c r="B3986" s="7" t="s">
        <v>949</v>
      </c>
    </row>
    <row r="3987" customFormat="false" ht="15" hidden="false" customHeight="false" outlineLevel="0" collapsed="false">
      <c r="A3987" s="11" t="s">
        <v>734</v>
      </c>
      <c r="B3987" s="9" t="s">
        <v>694</v>
      </c>
      <c r="C3987" s="9" t="s">
        <v>735</v>
      </c>
      <c r="D3987" s="9" t="s">
        <v>736</v>
      </c>
      <c r="E3987" s="9" t="s">
        <v>737</v>
      </c>
      <c r="F3987" s="9" t="s">
        <v>738</v>
      </c>
    </row>
    <row r="3988" customFormat="false" ht="15" hidden="false" customHeight="false" outlineLevel="0" collapsed="false">
      <c r="B3988" s="12" t="n">
        <f aca="false">COUNT(Cleaned!$GG$2:$GG$125)</f>
        <v>23</v>
      </c>
      <c r="C3988" s="12" t="n">
        <f aca="false">IFERROR(AVERAGE(Cleaned!$GG$2:$GG$125),"")</f>
        <v>9.33652173913043</v>
      </c>
      <c r="D3988" s="12" t="n">
        <f aca="false">IFERROR(MEDIAN(Cleaned!$GG$2:$GG$125),"")</f>
        <v>1.452</v>
      </c>
      <c r="E3988" s="12" t="n">
        <f aca="false">IFERROR(MIN(Cleaned!$GG$2:$GG$125),"")</f>
        <v>0.028</v>
      </c>
      <c r="F3988" s="12" t="n">
        <f aca="false">IFERROR(MAX(Cleaned!$GG$2:$GG$125),"")</f>
        <v>76.86</v>
      </c>
    </row>
    <row r="3989" customFormat="false" ht="15" hidden="false" customHeight="false" outlineLevel="0" collapsed="false">
      <c r="A3989" s="11" t="s">
        <v>697</v>
      </c>
      <c r="B3989" s="9" t="s">
        <v>739</v>
      </c>
      <c r="C3989" s="9" t="s">
        <v>735</v>
      </c>
    </row>
    <row r="3990" customFormat="false" ht="15" hidden="false" customHeight="false" outlineLevel="0" collapsed="false">
      <c r="A3990" s="12" t="s">
        <v>698</v>
      </c>
      <c r="B3990" s="12" t="n">
        <f aca="false">COUNTIFS(Cleaned!$C$2:$C$125,1,Cleaned!GG$2:GG$125,"&lt;&gt;")</f>
        <v>2</v>
      </c>
      <c r="C3990" s="15" t="n">
        <f aca="false">IF(B3990=0,"",AVERAGEIF(Cleaned!$C$2:$C$125,1,Cleaned!GG$2:GG$125))</f>
        <v>0.031</v>
      </c>
    </row>
    <row r="3991" customFormat="false" ht="15" hidden="false" customHeight="false" outlineLevel="0" collapsed="false">
      <c r="A3991" s="12" t="s">
        <v>699</v>
      </c>
      <c r="B3991" s="12" t="n">
        <f aca="false">COUNTIFS(Cleaned!$C$2:$C$125,2,Cleaned!GG$2:GG$125,"&lt;&gt;")</f>
        <v>1</v>
      </c>
      <c r="C3991" s="15" t="n">
        <f aca="false">IF(B3991=0,"",AVERAGEIF(Cleaned!$C$2:$C$125,2,Cleaned!GG$2:GG$125))</f>
        <v>1.452</v>
      </c>
    </row>
    <row r="3992" customFormat="false" ht="15" hidden="false" customHeight="false" outlineLevel="0" collapsed="false">
      <c r="A3992" s="12" t="s">
        <v>700</v>
      </c>
      <c r="B3992" s="12" t="n">
        <f aca="false">COUNTIFS(Cleaned!$C$2:$C$125,3,Cleaned!GG$2:GG$125,"&lt;&gt;")</f>
        <v>5</v>
      </c>
      <c r="C3992" s="15" t="n">
        <f aca="false">IF(B3992=0,"",AVERAGEIF(Cleaned!$C$2:$C$125,3,Cleaned!GG$2:GG$125))</f>
        <v>0.414</v>
      </c>
    </row>
    <row r="3993" customFormat="false" ht="15" hidden="false" customHeight="false" outlineLevel="0" collapsed="false">
      <c r="A3993" s="12" t="s">
        <v>701</v>
      </c>
      <c r="B3993" s="12" t="n">
        <f aca="false">COUNTIFS(Cleaned!$C$2:$C$125,4,Cleaned!GG$2:GG$125,"&lt;&gt;")</f>
        <v>8</v>
      </c>
      <c r="C3993" s="15" t="n">
        <f aca="false">IF(B3993=0,"",AVERAGEIF(Cleaned!$C$2:$C$125,4,Cleaned!GG$2:GG$125))</f>
        <v>1.8645</v>
      </c>
    </row>
    <row r="3994" customFormat="false" ht="15" hidden="false" customHeight="false" outlineLevel="0" collapsed="false">
      <c r="A3994" s="12" t="s">
        <v>702</v>
      </c>
      <c r="B3994" s="12" t="n">
        <f aca="false">COUNTIFS(Cleaned!$C$2:$C$125,5,Cleaned!GG$2:GG$125,"&lt;&gt;")</f>
        <v>7</v>
      </c>
      <c r="C3994" s="15" t="n">
        <f aca="false">IF(B3994=0,"",AVERAGEIF(Cleaned!$C$2:$C$125,5,Cleaned!GG$2:GG$125))</f>
        <v>28.0342857142857</v>
      </c>
    </row>
    <row r="3995" customFormat="false" ht="15" hidden="false" customHeight="false" outlineLevel="0" collapsed="false">
      <c r="A3995" s="11" t="s">
        <v>3</v>
      </c>
      <c r="B3995" s="9" t="s">
        <v>739</v>
      </c>
      <c r="C3995" s="9" t="s">
        <v>735</v>
      </c>
    </row>
    <row r="3996" customFormat="false" ht="15" hidden="false" customHeight="false" outlineLevel="0" collapsed="false">
      <c r="A3996" s="12" t="s">
        <v>704</v>
      </c>
      <c r="B3996" s="12" t="n">
        <f aca="false">COUNTIFS(Cleaned!$D$2:$D$125,1,Cleaned!GG$2:GG$125,"&lt;&gt;")</f>
        <v>3</v>
      </c>
      <c r="C3996" s="15" t="n">
        <f aca="false">IF(B3996=0,"",AVERAGEIF(Cleaned!$D$2:$D$125,1,Cleaned!GG$2:GG$125))</f>
        <v>1.50666666666667</v>
      </c>
    </row>
    <row r="3997" customFormat="false" ht="15" hidden="false" customHeight="false" outlineLevel="0" collapsed="false">
      <c r="A3997" s="12" t="s">
        <v>705</v>
      </c>
      <c r="B3997" s="12" t="n">
        <f aca="false">COUNTIFS(Cleaned!$D$2:$D$125,2,Cleaned!GG$2:GG$125,"&lt;&gt;")</f>
        <v>2</v>
      </c>
      <c r="C3997" s="15" t="n">
        <f aca="false">IF(B3997=0,"",AVERAGEIF(Cleaned!$D$2:$D$125,2,Cleaned!GG$2:GG$125))</f>
        <v>13.17</v>
      </c>
    </row>
    <row r="3998" customFormat="false" ht="15" hidden="false" customHeight="false" outlineLevel="0" collapsed="false">
      <c r="A3998" s="12" t="s">
        <v>706</v>
      </c>
      <c r="B3998" s="12" t="n">
        <f aca="false">COUNTIFS(Cleaned!$D$2:$D$125,3,Cleaned!GG$2:GG$125,"&lt;&gt;")</f>
        <v>5</v>
      </c>
      <c r="C3998" s="15" t="n">
        <f aca="false">IF(B3998=0,"",AVERAGEIF(Cleaned!$D$2:$D$125,3,Cleaned!GG$2:GG$125))</f>
        <v>32.822</v>
      </c>
    </row>
    <row r="3999" customFormat="false" ht="15" hidden="false" customHeight="false" outlineLevel="0" collapsed="false">
      <c r="A3999" s="12" t="s">
        <v>707</v>
      </c>
      <c r="B3999" s="12" t="n">
        <f aca="false">COUNTIFS(Cleaned!$D$2:$D$125,4,Cleaned!GG$2:GG$125,"&lt;&gt;")</f>
        <v>3</v>
      </c>
      <c r="C3999" s="15" t="n">
        <f aca="false">IF(B3999=0,"",AVERAGEIF(Cleaned!$D$2:$D$125,4,Cleaned!GG$2:GG$125))</f>
        <v>1.40133333333333</v>
      </c>
    </row>
    <row r="4000" customFormat="false" ht="15" hidden="false" customHeight="false" outlineLevel="0" collapsed="false">
      <c r="A4000" s="12" t="s">
        <v>708</v>
      </c>
      <c r="B4000" s="12" t="n">
        <f aca="false">COUNTIFS(Cleaned!$D$2:$D$125,5,Cleaned!GG$2:GG$125,"&lt;&gt;")</f>
        <v>1</v>
      </c>
      <c r="C4000" s="15" t="n">
        <f aca="false">IF(B4000=0,"",AVERAGEIF(Cleaned!$D$2:$D$125,5,Cleaned!GG$2:GG$125))</f>
        <v>1.09</v>
      </c>
    </row>
    <row r="4001" customFormat="false" ht="15" hidden="false" customHeight="false" outlineLevel="0" collapsed="false">
      <c r="A4001" s="12" t="s">
        <v>709</v>
      </c>
      <c r="B4001" s="12" t="n">
        <f aca="false">COUNTIFS(Cleaned!$D$2:$D$125,6,Cleaned!GG$2:GG$125,"&lt;&gt;")</f>
        <v>1</v>
      </c>
      <c r="C4001" s="15" t="n">
        <f aca="false">IF(B4001=0,"",AVERAGEIF(Cleaned!$D$2:$D$125,6,Cleaned!GG$2:GG$125))</f>
        <v>2.5</v>
      </c>
    </row>
    <row r="4002" customFormat="false" ht="15" hidden="false" customHeight="false" outlineLevel="0" collapsed="false">
      <c r="A4002" s="12" t="s">
        <v>710</v>
      </c>
      <c r="B4002" s="12" t="n">
        <f aca="false">COUNTIFS(Cleaned!$D$2:$D$125,7,Cleaned!GG$2:GG$125,"&lt;&gt;")</f>
        <v>4</v>
      </c>
      <c r="C4002" s="15" t="n">
        <f aca="false">IF(B4002=0,"",AVERAGEIF(Cleaned!$D$2:$D$125,7,Cleaned!GG$2:GG$125))</f>
        <v>2.5525</v>
      </c>
    </row>
    <row r="4003" customFormat="false" ht="15" hidden="false" customHeight="false" outlineLevel="0" collapsed="false">
      <c r="A4003" s="12" t="s">
        <v>711</v>
      </c>
      <c r="B4003" s="12" t="n">
        <f aca="false">COUNTIFS(Cleaned!$D$2:$D$125,8,Cleaned!GG$2:GG$125,"&lt;&gt;")</f>
        <v>2</v>
      </c>
      <c r="C4003" s="15" t="n">
        <f aca="false">IF(B4003=0,"",AVERAGEIF(Cleaned!$D$2:$D$125,8,Cleaned!GG$2:GG$125))</f>
        <v>0.707</v>
      </c>
    </row>
    <row r="4004" customFormat="false" ht="15" hidden="false" customHeight="false" outlineLevel="0" collapsed="false">
      <c r="A4004" s="12" t="s">
        <v>712</v>
      </c>
      <c r="B4004" s="12" t="n">
        <f aca="false">COUNTIFS(Cleaned!$D$2:$D$125,9,Cleaned!GG$2:GG$125,"&lt;&gt;")</f>
        <v>0</v>
      </c>
      <c r="C4004" s="15" t="str">
        <f aca="false">IF(B4004=0,"",AVERAGEIF(Cleaned!$D$2:$D$125,9,Cleaned!GG$2:GG$125))</f>
        <v/>
      </c>
    </row>
    <row r="4005" customFormat="false" ht="15" hidden="false" customHeight="false" outlineLevel="0" collapsed="false">
      <c r="A4005" s="12" t="s">
        <v>713</v>
      </c>
      <c r="B4005" s="12" t="n">
        <f aca="false">COUNTIFS(Cleaned!$D$2:$D$125,10,Cleaned!GG$2:GG$125,"&lt;&gt;")</f>
        <v>0</v>
      </c>
      <c r="C4005" s="15" t="str">
        <f aca="false">IF(B4005=0,"",AVERAGEIF(Cleaned!$D$2:$D$125,10,Cleaned!GG$2:GG$125))</f>
        <v/>
      </c>
    </row>
    <row r="4006" customFormat="false" ht="15" hidden="false" customHeight="false" outlineLevel="0" collapsed="false">
      <c r="A4006" s="12" t="s">
        <v>714</v>
      </c>
      <c r="B4006" s="12" t="n">
        <f aca="false">COUNTIFS(Cleaned!$D$2:$D$125,11,Cleaned!GG$2:GG$125,"&lt;&gt;")</f>
        <v>1</v>
      </c>
      <c r="C4006" s="15" t="n">
        <f aca="false">IF(B4006=0,"",AVERAGEIF(Cleaned!$D$2:$D$125,11,Cleaned!GG$2:GG$125))</f>
        <v>0.324</v>
      </c>
    </row>
    <row r="4007" customFormat="false" ht="15" hidden="false" customHeight="false" outlineLevel="0" collapsed="false">
      <c r="A4007" s="12" t="s">
        <v>715</v>
      </c>
      <c r="B4007" s="12" t="n">
        <f aca="false">COUNTIFS(Cleaned!$D$2:$D$125,12,Cleaned!GG$2:GG$125,"&lt;&gt;")</f>
        <v>1</v>
      </c>
      <c r="C4007" s="15" t="n">
        <f aca="false">IF(B4007=0,"",AVERAGEIF(Cleaned!$D$2:$D$125,12,Cleaned!GG$2:GG$125))</f>
        <v>0.028</v>
      </c>
    </row>
    <row r="4010" customFormat="false" ht="15" hidden="false" customHeight="false" outlineLevel="0" collapsed="false">
      <c r="A4010" s="6" t="s">
        <v>179</v>
      </c>
      <c r="B4010" s="7" t="s">
        <v>950</v>
      </c>
    </row>
    <row r="4011" customFormat="false" ht="15" hidden="false" customHeight="false" outlineLevel="0" collapsed="false">
      <c r="A4011" s="11" t="s">
        <v>734</v>
      </c>
      <c r="B4011" s="9" t="s">
        <v>694</v>
      </c>
      <c r="C4011" s="9" t="s">
        <v>735</v>
      </c>
      <c r="D4011" s="9" t="s">
        <v>736</v>
      </c>
      <c r="E4011" s="9" t="s">
        <v>737</v>
      </c>
      <c r="F4011" s="9" t="s">
        <v>738</v>
      </c>
    </row>
    <row r="4012" customFormat="false" ht="15" hidden="false" customHeight="false" outlineLevel="0" collapsed="false">
      <c r="B4012" s="12" t="n">
        <f aca="false">COUNT(Cleaned!$GH$2:$GH$125)</f>
        <v>20</v>
      </c>
      <c r="C4012" s="12" t="n">
        <f aca="false">IFERROR(AVERAGE(Cleaned!$GH$2:$GH$125),"")</f>
        <v>64.63</v>
      </c>
      <c r="D4012" s="12" t="n">
        <f aca="false">IFERROR(MEDIAN(Cleaned!$GH$2:$GH$125),"")</f>
        <v>63</v>
      </c>
      <c r="E4012" s="12" t="n">
        <f aca="false">IFERROR(MIN(Cleaned!$GH$2:$GH$125),"")</f>
        <v>0.75</v>
      </c>
      <c r="F4012" s="12" t="n">
        <f aca="false">IFERROR(MAX(Cleaned!$GH$2:$GH$125),"")</f>
        <v>100</v>
      </c>
    </row>
    <row r="4013" customFormat="false" ht="15" hidden="false" customHeight="false" outlineLevel="0" collapsed="false">
      <c r="A4013" s="11" t="s">
        <v>697</v>
      </c>
      <c r="B4013" s="9" t="s">
        <v>739</v>
      </c>
      <c r="C4013" s="9" t="s">
        <v>735</v>
      </c>
    </row>
    <row r="4014" customFormat="false" ht="15" hidden="false" customHeight="false" outlineLevel="0" collapsed="false">
      <c r="A4014" s="12" t="s">
        <v>698</v>
      </c>
      <c r="B4014" s="12" t="n">
        <f aca="false">COUNTIFS(Cleaned!$C$2:$C$125,1,Cleaned!GH$2:GH$125,"&lt;&gt;")</f>
        <v>2</v>
      </c>
      <c r="C4014" s="15" t="n">
        <f aca="false">IF(B4014=0,"",AVERAGEIF(Cleaned!$C$2:$C$125,1,Cleaned!GH$2:GH$125))</f>
        <v>25.375</v>
      </c>
    </row>
    <row r="4015" customFormat="false" ht="15" hidden="false" customHeight="false" outlineLevel="0" collapsed="false">
      <c r="A4015" s="12" t="s">
        <v>699</v>
      </c>
      <c r="B4015" s="12" t="n">
        <f aca="false">COUNTIFS(Cleaned!$C$2:$C$125,2,Cleaned!GH$2:GH$125,"&lt;&gt;")</f>
        <v>1</v>
      </c>
      <c r="C4015" s="15" t="n">
        <f aca="false">IF(B4015=0,"",AVERAGEIF(Cleaned!$C$2:$C$125,2,Cleaned!GH$2:GH$125))</f>
        <v>50</v>
      </c>
    </row>
    <row r="4016" customFormat="false" ht="15" hidden="false" customHeight="false" outlineLevel="0" collapsed="false">
      <c r="A4016" s="12" t="s">
        <v>700</v>
      </c>
      <c r="B4016" s="12" t="n">
        <f aca="false">COUNTIFS(Cleaned!$C$2:$C$125,3,Cleaned!GH$2:GH$125,"&lt;&gt;")</f>
        <v>6</v>
      </c>
      <c r="C4016" s="15" t="n">
        <f aca="false">IF(B4016=0,"",AVERAGEIF(Cleaned!$C$2:$C$125,3,Cleaned!GH$2:GH$125))</f>
        <v>62.3333333333333</v>
      </c>
    </row>
    <row r="4017" customFormat="false" ht="15" hidden="false" customHeight="false" outlineLevel="0" collapsed="false">
      <c r="A4017" s="12" t="s">
        <v>701</v>
      </c>
      <c r="B4017" s="12" t="n">
        <f aca="false">COUNTIFS(Cleaned!$C$2:$C$125,4,Cleaned!GH$2:GH$125,"&lt;&gt;")</f>
        <v>6</v>
      </c>
      <c r="C4017" s="15" t="n">
        <f aca="false">IF(B4017=0,"",AVERAGEIF(Cleaned!$C$2:$C$125,4,Cleaned!GH$2:GH$125))</f>
        <v>92.6666666666667</v>
      </c>
    </row>
    <row r="4018" customFormat="false" ht="15" hidden="false" customHeight="false" outlineLevel="0" collapsed="false">
      <c r="A4018" s="12" t="s">
        <v>702</v>
      </c>
      <c r="B4018" s="12" t="n">
        <f aca="false">COUNTIFS(Cleaned!$C$2:$C$125,5,Cleaned!GH$2:GH$125,"&lt;&gt;")</f>
        <v>5</v>
      </c>
      <c r="C4018" s="15" t="n">
        <f aca="false">IF(B4018=0,"",AVERAGEIF(Cleaned!$C$2:$C$125,5,Cleaned!GH$2:GH$125))</f>
        <v>52.37</v>
      </c>
    </row>
    <row r="4019" customFormat="false" ht="15" hidden="false" customHeight="false" outlineLevel="0" collapsed="false">
      <c r="A4019" s="11" t="s">
        <v>3</v>
      </c>
      <c r="B4019" s="9" t="s">
        <v>739</v>
      </c>
      <c r="C4019" s="9" t="s">
        <v>735</v>
      </c>
    </row>
    <row r="4020" customFormat="false" ht="15" hidden="false" customHeight="false" outlineLevel="0" collapsed="false">
      <c r="A4020" s="12" t="s">
        <v>704</v>
      </c>
      <c r="B4020" s="12" t="n">
        <f aca="false">COUNTIFS(Cleaned!$D$2:$D$125,1,Cleaned!GH$2:GH$125,"&lt;&gt;")</f>
        <v>2</v>
      </c>
      <c r="C4020" s="15" t="n">
        <f aca="false">IF(B4020=0,"",AVERAGEIF(Cleaned!$D$2:$D$125,1,Cleaned!GH$2:GH$125))</f>
        <v>57.5</v>
      </c>
    </row>
    <row r="4021" customFormat="false" ht="15" hidden="false" customHeight="false" outlineLevel="0" collapsed="false">
      <c r="A4021" s="12" t="s">
        <v>705</v>
      </c>
      <c r="B4021" s="12" t="n">
        <f aca="false">COUNTIFS(Cleaned!$D$2:$D$125,2,Cleaned!GH$2:GH$125,"&lt;&gt;")</f>
        <v>3</v>
      </c>
      <c r="C4021" s="15" t="n">
        <f aca="false">IF(B4021=0,"",AVERAGEIF(Cleaned!$D$2:$D$125,2,Cleaned!GH$2:GH$125))</f>
        <v>53.95</v>
      </c>
    </row>
    <row r="4022" customFormat="false" ht="15" hidden="false" customHeight="false" outlineLevel="0" collapsed="false">
      <c r="A4022" s="12" t="s">
        <v>706</v>
      </c>
      <c r="B4022" s="12" t="n">
        <f aca="false">COUNTIFS(Cleaned!$D$2:$D$125,3,Cleaned!GH$2:GH$125,"&lt;&gt;")</f>
        <v>3</v>
      </c>
      <c r="C4022" s="15" t="n">
        <f aca="false">IF(B4022=0,"",AVERAGEIF(Cleaned!$D$2:$D$125,3,Cleaned!GH$2:GH$125))</f>
        <v>83.3333333333333</v>
      </c>
    </row>
    <row r="4023" customFormat="false" ht="15" hidden="false" customHeight="false" outlineLevel="0" collapsed="false">
      <c r="A4023" s="12" t="s">
        <v>707</v>
      </c>
      <c r="B4023" s="12" t="n">
        <f aca="false">COUNTIFS(Cleaned!$D$2:$D$125,4,Cleaned!GH$2:GH$125,"&lt;&gt;")</f>
        <v>3</v>
      </c>
      <c r="C4023" s="15" t="n">
        <f aca="false">IF(B4023=0,"",AVERAGEIF(Cleaned!$D$2:$D$125,4,Cleaned!GH$2:GH$125))</f>
        <v>81.6666666666667</v>
      </c>
    </row>
    <row r="4024" customFormat="false" ht="15" hidden="false" customHeight="false" outlineLevel="0" collapsed="false">
      <c r="A4024" s="12" t="s">
        <v>708</v>
      </c>
      <c r="B4024" s="12" t="n">
        <f aca="false">COUNTIFS(Cleaned!$D$2:$D$125,5,Cleaned!GH$2:GH$125,"&lt;&gt;")</f>
        <v>1</v>
      </c>
      <c r="C4024" s="15" t="n">
        <f aca="false">IF(B4024=0,"",AVERAGEIF(Cleaned!$D$2:$D$125,5,Cleaned!GH$2:GH$125))</f>
        <v>66</v>
      </c>
    </row>
    <row r="4025" customFormat="false" ht="15" hidden="false" customHeight="false" outlineLevel="0" collapsed="false">
      <c r="A4025" s="12" t="s">
        <v>709</v>
      </c>
      <c r="B4025" s="12" t="n">
        <f aca="false">COUNTIFS(Cleaned!$D$2:$D$125,6,Cleaned!GH$2:GH$125,"&lt;&gt;")</f>
        <v>1</v>
      </c>
      <c r="C4025" s="15" t="n">
        <f aca="false">IF(B4025=0,"",AVERAGEIF(Cleaned!$D$2:$D$125,6,Cleaned!GH$2:GH$125))</f>
        <v>100</v>
      </c>
    </row>
    <row r="4026" customFormat="false" ht="15" hidden="false" customHeight="false" outlineLevel="0" collapsed="false">
      <c r="A4026" s="12" t="s">
        <v>710</v>
      </c>
      <c r="B4026" s="12" t="n">
        <f aca="false">COUNTIFS(Cleaned!$D$2:$D$125,7,Cleaned!GH$2:GH$125,"&lt;&gt;")</f>
        <v>3</v>
      </c>
      <c r="C4026" s="15" t="n">
        <f aca="false">IF(B4026=0,"",AVERAGEIF(Cleaned!$D$2:$D$125,7,Cleaned!GH$2:GH$125))</f>
        <v>53</v>
      </c>
    </row>
    <row r="4027" customFormat="false" ht="15" hidden="false" customHeight="false" outlineLevel="0" collapsed="false">
      <c r="A4027" s="12" t="s">
        <v>711</v>
      </c>
      <c r="B4027" s="12" t="n">
        <f aca="false">COUNTIFS(Cleaned!$D$2:$D$125,8,Cleaned!GH$2:GH$125,"&lt;&gt;")</f>
        <v>2</v>
      </c>
      <c r="C4027" s="15" t="n">
        <f aca="false">IF(B4027=0,"",AVERAGEIF(Cleaned!$D$2:$D$125,8,Cleaned!GH$2:GH$125))</f>
        <v>47.875</v>
      </c>
    </row>
    <row r="4028" customFormat="false" ht="15" hidden="false" customHeight="false" outlineLevel="0" collapsed="false">
      <c r="A4028" s="12" t="s">
        <v>712</v>
      </c>
      <c r="B4028" s="12" t="n">
        <f aca="false">COUNTIFS(Cleaned!$D$2:$D$125,9,Cleaned!GH$2:GH$125,"&lt;&gt;")</f>
        <v>0</v>
      </c>
      <c r="C4028" s="15" t="str">
        <f aca="false">IF(B4028=0,"",AVERAGEIF(Cleaned!$D$2:$D$125,9,Cleaned!GH$2:GH$125))</f>
        <v/>
      </c>
    </row>
    <row r="4029" customFormat="false" ht="15" hidden="false" customHeight="false" outlineLevel="0" collapsed="false">
      <c r="A4029" s="12" t="s">
        <v>713</v>
      </c>
      <c r="B4029" s="12" t="n">
        <f aca="false">COUNTIFS(Cleaned!$D$2:$D$125,10,Cleaned!GH$2:GH$125,"&lt;&gt;")</f>
        <v>0</v>
      </c>
      <c r="C4029" s="15" t="str">
        <f aca="false">IF(B4029=0,"",AVERAGEIF(Cleaned!$D$2:$D$125,10,Cleaned!GH$2:GH$125))</f>
        <v/>
      </c>
    </row>
    <row r="4030" customFormat="false" ht="15" hidden="false" customHeight="false" outlineLevel="0" collapsed="false">
      <c r="A4030" s="12" t="s">
        <v>714</v>
      </c>
      <c r="B4030" s="12" t="n">
        <f aca="false">COUNTIFS(Cleaned!$D$2:$D$125,11,Cleaned!GH$2:GH$125,"&lt;&gt;")</f>
        <v>1</v>
      </c>
      <c r="C4030" s="15" t="n">
        <f aca="false">IF(B4030=0,"",AVERAGEIF(Cleaned!$D$2:$D$125,11,Cleaned!GH$2:GH$125))</f>
        <v>50</v>
      </c>
    </row>
    <row r="4031" customFormat="false" ht="15" hidden="false" customHeight="false" outlineLevel="0" collapsed="false">
      <c r="A4031" s="12" t="s">
        <v>715</v>
      </c>
      <c r="B4031" s="12" t="n">
        <f aca="false">COUNTIFS(Cleaned!$D$2:$D$125,12,Cleaned!GH$2:GH$125,"&lt;&gt;")</f>
        <v>1</v>
      </c>
      <c r="C4031" s="15" t="n">
        <f aca="false">IF(B4031=0,"",AVERAGEIF(Cleaned!$D$2:$D$125,12,Cleaned!GH$2:GH$125))</f>
        <v>50</v>
      </c>
    </row>
    <row r="4034" customFormat="false" ht="15" hidden="false" customHeight="false" outlineLevel="0" collapsed="false">
      <c r="A4034" s="6" t="s">
        <v>181</v>
      </c>
      <c r="B4034" s="7" t="s">
        <v>951</v>
      </c>
    </row>
    <row r="4035" customFormat="false" ht="15" hidden="false" customHeight="false" outlineLevel="0" collapsed="false">
      <c r="A4035" s="8"/>
      <c r="B4035" s="9" t="s">
        <v>726</v>
      </c>
      <c r="C4035" s="8"/>
      <c r="D4035" s="9" t="s">
        <v>362</v>
      </c>
      <c r="E4035" s="8"/>
      <c r="F4035" s="9" t="s">
        <v>694</v>
      </c>
    </row>
    <row r="4036" customFormat="false" ht="15" hidden="false" customHeight="false" outlineLevel="0" collapsed="false">
      <c r="B4036" s="10" t="s">
        <v>695</v>
      </c>
      <c r="C4036" s="10" t="s">
        <v>696</v>
      </c>
      <c r="D4036" s="10" t="s">
        <v>695</v>
      </c>
      <c r="E4036" s="10" t="s">
        <v>696</v>
      </c>
    </row>
    <row r="4037" customFormat="false" ht="15" hidden="false" customHeight="false" outlineLevel="0" collapsed="false">
      <c r="A4037" s="11" t="s">
        <v>697</v>
      </c>
    </row>
    <row r="4038" customFormat="false" ht="15" hidden="false" customHeight="false" outlineLevel="0" collapsed="false">
      <c r="A4038" s="12" t="s">
        <v>698</v>
      </c>
      <c r="B4038" s="12" t="n">
        <f aca="false">COUNTIFS(Cleaned!$C$2:$C$125,1,Cleaned!GK$2:GK$125,1)</f>
        <v>1</v>
      </c>
      <c r="C4038" s="13" t="n">
        <f aca="false">IFERROR(B4038/$F4038,"")</f>
        <v>0.333333333333333</v>
      </c>
      <c r="D4038" s="12" t="n">
        <f aca="false">COUNTIFS(Cleaned!$C$2:$C$125,1,Cleaned!GK$2:GK$125,2)</f>
        <v>2</v>
      </c>
      <c r="E4038" s="13" t="n">
        <f aca="false">IFERROR(D4038/$F4038,"")</f>
        <v>0.666666666666667</v>
      </c>
      <c r="F4038" s="12" t="n">
        <f aca="false">B4038+D4038</f>
        <v>3</v>
      </c>
    </row>
    <row r="4039" customFormat="false" ht="15" hidden="false" customHeight="false" outlineLevel="0" collapsed="false">
      <c r="A4039" s="12" t="s">
        <v>699</v>
      </c>
      <c r="B4039" s="12" t="n">
        <f aca="false">COUNTIFS(Cleaned!$C$2:$C$125,2,Cleaned!GK$2:GK$125,1)</f>
        <v>0</v>
      </c>
      <c r="C4039" s="13" t="n">
        <f aca="false">IFERROR(B4039/$F4039,"")</f>
        <v>0</v>
      </c>
      <c r="D4039" s="12" t="n">
        <f aca="false">COUNTIFS(Cleaned!$C$2:$C$125,2,Cleaned!GK$2:GK$125,2)</f>
        <v>1</v>
      </c>
      <c r="E4039" s="13" t="n">
        <f aca="false">IFERROR(D4039/$F4039,"")</f>
        <v>1</v>
      </c>
      <c r="F4039" s="12" t="n">
        <f aca="false">B4039+D4039</f>
        <v>1</v>
      </c>
    </row>
    <row r="4040" customFormat="false" ht="15" hidden="false" customHeight="false" outlineLevel="0" collapsed="false">
      <c r="A4040" s="12" t="s">
        <v>700</v>
      </c>
      <c r="B4040" s="12" t="n">
        <f aca="false">COUNTIFS(Cleaned!$C$2:$C$125,3,Cleaned!GK$2:GK$125,1)</f>
        <v>2</v>
      </c>
      <c r="C4040" s="13" t="n">
        <f aca="false">IFERROR(B4040/$F4040,"")</f>
        <v>0.285714285714286</v>
      </c>
      <c r="D4040" s="12" t="n">
        <f aca="false">COUNTIFS(Cleaned!$C$2:$C$125,3,Cleaned!GK$2:GK$125,2)</f>
        <v>5</v>
      </c>
      <c r="E4040" s="13" t="n">
        <f aca="false">IFERROR(D4040/$F4040,"")</f>
        <v>0.714285714285714</v>
      </c>
      <c r="F4040" s="12" t="n">
        <f aca="false">B4040+D4040</f>
        <v>7</v>
      </c>
    </row>
    <row r="4041" customFormat="false" ht="15" hidden="false" customHeight="false" outlineLevel="0" collapsed="false">
      <c r="A4041" s="12" t="s">
        <v>701</v>
      </c>
      <c r="B4041" s="12" t="n">
        <f aca="false">COUNTIFS(Cleaned!$C$2:$C$125,4,Cleaned!GK$2:GK$125,1)</f>
        <v>1</v>
      </c>
      <c r="C4041" s="13" t="n">
        <f aca="false">IFERROR(B4041/$F4041,"")</f>
        <v>0.111111111111111</v>
      </c>
      <c r="D4041" s="12" t="n">
        <f aca="false">COUNTIFS(Cleaned!$C$2:$C$125,4,Cleaned!GK$2:GK$125,2)</f>
        <v>8</v>
      </c>
      <c r="E4041" s="13" t="n">
        <f aca="false">IFERROR(D4041/$F4041,"")</f>
        <v>0.888888888888889</v>
      </c>
      <c r="F4041" s="12" t="n">
        <f aca="false">B4041+D4041</f>
        <v>9</v>
      </c>
    </row>
    <row r="4042" customFormat="false" ht="15" hidden="false" customHeight="false" outlineLevel="0" collapsed="false">
      <c r="A4042" s="12" t="s">
        <v>702</v>
      </c>
      <c r="B4042" s="12" t="n">
        <f aca="false">COUNTIFS(Cleaned!$C$2:$C$125,5,Cleaned!GK$2:GK$125,1)</f>
        <v>10</v>
      </c>
      <c r="C4042" s="13" t="n">
        <f aca="false">IFERROR(B4042/$F4042,"")</f>
        <v>0.625</v>
      </c>
      <c r="D4042" s="12" t="n">
        <f aca="false">COUNTIFS(Cleaned!$C$2:$C$125,5,Cleaned!GK$2:GK$125,2)</f>
        <v>6</v>
      </c>
      <c r="E4042" s="13" t="n">
        <f aca="false">IFERROR(D4042/$F4042,"")</f>
        <v>0.375</v>
      </c>
      <c r="F4042" s="12" t="n">
        <f aca="false">B4042+D4042</f>
        <v>16</v>
      </c>
    </row>
    <row r="4043" customFormat="false" ht="15" hidden="false" customHeight="false" outlineLevel="0" collapsed="false">
      <c r="A4043" s="11" t="s">
        <v>703</v>
      </c>
      <c r="B4043" s="11" t="n">
        <f aca="false">SUM(B4038:B4042)</f>
        <v>14</v>
      </c>
      <c r="C4043" s="14" t="n">
        <f aca="false">IFERROR(B4043/$F4043,"")</f>
        <v>0.388888888888889</v>
      </c>
      <c r="D4043" s="11" t="n">
        <f aca="false">SUM(D4038:D4042)</f>
        <v>22</v>
      </c>
      <c r="E4043" s="14" t="n">
        <f aca="false">IFERROR(D4043/$F4043,"")</f>
        <v>0.611111111111111</v>
      </c>
      <c r="F4043" s="11" t="n">
        <f aca="false">SUM(F4038:F4042)</f>
        <v>36</v>
      </c>
    </row>
    <row r="4044" customFormat="false" ht="15" hidden="false" customHeight="false" outlineLevel="0" collapsed="false">
      <c r="A4044" s="11" t="s">
        <v>3</v>
      </c>
    </row>
    <row r="4045" customFormat="false" ht="15" hidden="false" customHeight="false" outlineLevel="0" collapsed="false">
      <c r="A4045" s="12" t="s">
        <v>704</v>
      </c>
      <c r="B4045" s="12" t="n">
        <f aca="false">COUNTIFS(Cleaned!$D$2:$D$125,1,Cleaned!GK$2:GK$125,1)</f>
        <v>2</v>
      </c>
      <c r="C4045" s="13" t="n">
        <f aca="false">IFERROR(B4045/$F4045,"")</f>
        <v>0.5</v>
      </c>
      <c r="D4045" s="12" t="n">
        <f aca="false">COUNTIFS(Cleaned!$D$2:$D$125,1,Cleaned!GK$2:GK$125,2)</f>
        <v>2</v>
      </c>
      <c r="E4045" s="13" t="n">
        <f aca="false">IFERROR(D4045/$F4045,"")</f>
        <v>0.5</v>
      </c>
      <c r="F4045" s="12" t="n">
        <f aca="false">B4045+D4045</f>
        <v>4</v>
      </c>
    </row>
    <row r="4046" customFormat="false" ht="15" hidden="false" customHeight="false" outlineLevel="0" collapsed="false">
      <c r="A4046" s="12" t="s">
        <v>705</v>
      </c>
      <c r="B4046" s="12" t="n">
        <f aca="false">COUNTIFS(Cleaned!$D$2:$D$125,2,Cleaned!GK$2:GK$125,1)</f>
        <v>3</v>
      </c>
      <c r="C4046" s="13" t="n">
        <f aca="false">IFERROR(B4046/$F4046,"")</f>
        <v>0.333333333333333</v>
      </c>
      <c r="D4046" s="12" t="n">
        <f aca="false">COUNTIFS(Cleaned!$D$2:$D$125,2,Cleaned!GK$2:GK$125,2)</f>
        <v>6</v>
      </c>
      <c r="E4046" s="13" t="n">
        <f aca="false">IFERROR(D4046/$F4046,"")</f>
        <v>0.666666666666667</v>
      </c>
      <c r="F4046" s="12" t="n">
        <f aca="false">B4046+D4046</f>
        <v>9</v>
      </c>
    </row>
    <row r="4047" customFormat="false" ht="15" hidden="false" customHeight="false" outlineLevel="0" collapsed="false">
      <c r="A4047" s="12" t="s">
        <v>706</v>
      </c>
      <c r="B4047" s="12" t="n">
        <f aca="false">COUNTIFS(Cleaned!$D$2:$D$125,3,Cleaned!GK$2:GK$125,1)</f>
        <v>3</v>
      </c>
      <c r="C4047" s="13" t="n">
        <f aca="false">IFERROR(B4047/$F4047,"")</f>
        <v>0.6</v>
      </c>
      <c r="D4047" s="12" t="n">
        <f aca="false">COUNTIFS(Cleaned!$D$2:$D$125,3,Cleaned!GK$2:GK$125,2)</f>
        <v>2</v>
      </c>
      <c r="E4047" s="13" t="n">
        <f aca="false">IFERROR(D4047/$F4047,"")</f>
        <v>0.4</v>
      </c>
      <c r="F4047" s="12" t="n">
        <f aca="false">B4047+D4047</f>
        <v>5</v>
      </c>
    </row>
    <row r="4048" customFormat="false" ht="15" hidden="false" customHeight="false" outlineLevel="0" collapsed="false">
      <c r="A4048" s="12" t="s">
        <v>707</v>
      </c>
      <c r="B4048" s="12" t="n">
        <f aca="false">COUNTIFS(Cleaned!$D$2:$D$125,4,Cleaned!GK$2:GK$125,1)</f>
        <v>1</v>
      </c>
      <c r="C4048" s="13" t="n">
        <f aca="false">IFERROR(B4048/$F4048,"")</f>
        <v>0.25</v>
      </c>
      <c r="D4048" s="12" t="n">
        <f aca="false">COUNTIFS(Cleaned!$D$2:$D$125,4,Cleaned!GK$2:GK$125,2)</f>
        <v>3</v>
      </c>
      <c r="E4048" s="13" t="n">
        <f aca="false">IFERROR(D4048/$F4048,"")</f>
        <v>0.75</v>
      </c>
      <c r="F4048" s="12" t="n">
        <f aca="false">B4048+D4048</f>
        <v>4</v>
      </c>
    </row>
    <row r="4049" customFormat="false" ht="15" hidden="false" customHeight="false" outlineLevel="0" collapsed="false">
      <c r="A4049" s="12" t="s">
        <v>708</v>
      </c>
      <c r="B4049" s="12" t="n">
        <f aca="false">COUNTIFS(Cleaned!$D$2:$D$125,5,Cleaned!GK$2:GK$125,1)</f>
        <v>0</v>
      </c>
      <c r="C4049" s="13" t="n">
        <f aca="false">IFERROR(B4049/$F4049,"")</f>
        <v>0</v>
      </c>
      <c r="D4049" s="12" t="n">
        <f aca="false">COUNTIFS(Cleaned!$D$2:$D$125,5,Cleaned!GK$2:GK$125,2)</f>
        <v>1</v>
      </c>
      <c r="E4049" s="13" t="n">
        <f aca="false">IFERROR(D4049/$F4049,"")</f>
        <v>1</v>
      </c>
      <c r="F4049" s="12" t="n">
        <f aca="false">B4049+D4049</f>
        <v>1</v>
      </c>
    </row>
    <row r="4050" customFormat="false" ht="15" hidden="false" customHeight="false" outlineLevel="0" collapsed="false">
      <c r="A4050" s="12" t="s">
        <v>709</v>
      </c>
      <c r="B4050" s="12" t="n">
        <f aca="false">COUNTIFS(Cleaned!$D$2:$D$125,6,Cleaned!GK$2:GK$125,1)</f>
        <v>0</v>
      </c>
      <c r="C4050" s="13" t="n">
        <f aca="false">IFERROR(B4050/$F4050,"")</f>
        <v>0</v>
      </c>
      <c r="D4050" s="12" t="n">
        <f aca="false">COUNTIFS(Cleaned!$D$2:$D$125,6,Cleaned!GK$2:GK$125,2)</f>
        <v>2</v>
      </c>
      <c r="E4050" s="13" t="n">
        <f aca="false">IFERROR(D4050/$F4050,"")</f>
        <v>1</v>
      </c>
      <c r="F4050" s="12" t="n">
        <f aca="false">B4050+D4050</f>
        <v>2</v>
      </c>
    </row>
    <row r="4051" customFormat="false" ht="15" hidden="false" customHeight="false" outlineLevel="0" collapsed="false">
      <c r="A4051" s="12" t="s">
        <v>710</v>
      </c>
      <c r="B4051" s="12" t="n">
        <f aca="false">COUNTIFS(Cleaned!$D$2:$D$125,7,Cleaned!GK$2:GK$125,1)</f>
        <v>2</v>
      </c>
      <c r="C4051" s="13" t="n">
        <f aca="false">IFERROR(B4051/$F4051,"")</f>
        <v>0.5</v>
      </c>
      <c r="D4051" s="12" t="n">
        <f aca="false">COUNTIFS(Cleaned!$D$2:$D$125,7,Cleaned!GK$2:GK$125,2)</f>
        <v>2</v>
      </c>
      <c r="E4051" s="13" t="n">
        <f aca="false">IFERROR(D4051/$F4051,"")</f>
        <v>0.5</v>
      </c>
      <c r="F4051" s="12" t="n">
        <f aca="false">B4051+D4051</f>
        <v>4</v>
      </c>
    </row>
    <row r="4052" customFormat="false" ht="15" hidden="false" customHeight="false" outlineLevel="0" collapsed="false">
      <c r="A4052" s="12" t="s">
        <v>711</v>
      </c>
      <c r="B4052" s="12" t="n">
        <f aca="false">COUNTIFS(Cleaned!$D$2:$D$125,8,Cleaned!GK$2:GK$125,1)</f>
        <v>2</v>
      </c>
      <c r="C4052" s="13" t="n">
        <f aca="false">IFERROR(B4052/$F4052,"")</f>
        <v>1</v>
      </c>
      <c r="D4052" s="12" t="n">
        <f aca="false">COUNTIFS(Cleaned!$D$2:$D$125,8,Cleaned!GK$2:GK$125,2)</f>
        <v>0</v>
      </c>
      <c r="E4052" s="13" t="n">
        <f aca="false">IFERROR(D4052/$F4052,"")</f>
        <v>0</v>
      </c>
      <c r="F4052" s="12" t="n">
        <f aca="false">B4052+D4052</f>
        <v>2</v>
      </c>
    </row>
    <row r="4053" customFormat="false" ht="15" hidden="false" customHeight="false" outlineLevel="0" collapsed="false">
      <c r="A4053" s="12" t="s">
        <v>712</v>
      </c>
      <c r="B4053" s="12" t="n">
        <f aca="false">COUNTIFS(Cleaned!$D$2:$D$125,9,Cleaned!GK$2:GK$125,1)</f>
        <v>1</v>
      </c>
      <c r="C4053" s="13" t="n">
        <f aca="false">IFERROR(B4053/$F4053,"")</f>
        <v>0.5</v>
      </c>
      <c r="D4053" s="12" t="n">
        <f aca="false">COUNTIFS(Cleaned!$D$2:$D$125,9,Cleaned!GK$2:GK$125,2)</f>
        <v>1</v>
      </c>
      <c r="E4053" s="13" t="n">
        <f aca="false">IFERROR(D4053/$F4053,"")</f>
        <v>0.5</v>
      </c>
      <c r="F4053" s="12" t="n">
        <f aca="false">B4053+D4053</f>
        <v>2</v>
      </c>
    </row>
    <row r="4054" customFormat="false" ht="15" hidden="false" customHeight="false" outlineLevel="0" collapsed="false">
      <c r="A4054" s="12" t="s">
        <v>713</v>
      </c>
      <c r="B4054" s="12" t="n">
        <f aca="false">COUNTIFS(Cleaned!$D$2:$D$125,10,Cleaned!GK$2:GK$125,1)</f>
        <v>0</v>
      </c>
      <c r="C4054" s="13" t="str">
        <f aca="false">IFERROR(B4054/$F4054,"")</f>
        <v/>
      </c>
      <c r="D4054" s="12" t="n">
        <f aca="false">COUNTIFS(Cleaned!$D$2:$D$125,10,Cleaned!GK$2:GK$125,2)</f>
        <v>0</v>
      </c>
      <c r="E4054" s="13" t="str">
        <f aca="false">IFERROR(D4054/$F4054,"")</f>
        <v/>
      </c>
      <c r="F4054" s="12" t="n">
        <f aca="false">B4054+D4054</f>
        <v>0</v>
      </c>
    </row>
    <row r="4055" customFormat="false" ht="15" hidden="false" customHeight="false" outlineLevel="0" collapsed="false">
      <c r="A4055" s="12" t="s">
        <v>714</v>
      </c>
      <c r="B4055" s="12" t="n">
        <f aca="false">COUNTIFS(Cleaned!$D$2:$D$125,11,Cleaned!GK$2:GK$125,1)</f>
        <v>0</v>
      </c>
      <c r="C4055" s="13" t="n">
        <f aca="false">IFERROR(B4055/$F4055,"")</f>
        <v>0</v>
      </c>
      <c r="D4055" s="12" t="n">
        <f aca="false">COUNTIFS(Cleaned!$D$2:$D$125,11,Cleaned!GK$2:GK$125,2)</f>
        <v>2</v>
      </c>
      <c r="E4055" s="13" t="n">
        <f aca="false">IFERROR(D4055/$F4055,"")</f>
        <v>1</v>
      </c>
      <c r="F4055" s="12" t="n">
        <f aca="false">B4055+D4055</f>
        <v>2</v>
      </c>
    </row>
    <row r="4056" customFormat="false" ht="15" hidden="false" customHeight="false" outlineLevel="0" collapsed="false">
      <c r="A4056" s="12" t="s">
        <v>715</v>
      </c>
      <c r="B4056" s="12" t="n">
        <f aca="false">COUNTIFS(Cleaned!$D$2:$D$125,12,Cleaned!GK$2:GK$125,1)</f>
        <v>0</v>
      </c>
      <c r="C4056" s="13" t="n">
        <f aca="false">IFERROR(B4056/$F4056,"")</f>
        <v>0</v>
      </c>
      <c r="D4056" s="12" t="n">
        <f aca="false">COUNTIFS(Cleaned!$D$2:$D$125,12,Cleaned!GK$2:GK$125,2)</f>
        <v>1</v>
      </c>
      <c r="E4056" s="13" t="n">
        <f aca="false">IFERROR(D4056/$F4056,"")</f>
        <v>1</v>
      </c>
      <c r="F4056" s="12" t="n">
        <f aca="false">B4056+D4056</f>
        <v>1</v>
      </c>
    </row>
    <row r="4057" customFormat="false" ht="15" hidden="false" customHeight="false" outlineLevel="0" collapsed="false">
      <c r="A4057" s="11" t="s">
        <v>716</v>
      </c>
      <c r="B4057" s="11" t="n">
        <f aca="false">SUM(B4045:B4056)</f>
        <v>14</v>
      </c>
      <c r="C4057" s="14" t="n">
        <f aca="false">IFERROR(B4057/$F4057,"")</f>
        <v>0.388888888888889</v>
      </c>
      <c r="D4057" s="11" t="n">
        <f aca="false">SUM(D4045:D4056)</f>
        <v>22</v>
      </c>
      <c r="E4057" s="14" t="n">
        <f aca="false">IFERROR(D4057/$F4057,"")</f>
        <v>0.611111111111111</v>
      </c>
      <c r="F4057" s="11" t="n">
        <f aca="false">SUM(F4045:F4056)</f>
        <v>36</v>
      </c>
    </row>
    <row r="4060" customFormat="false" ht="15" hidden="false" customHeight="false" outlineLevel="0" collapsed="false">
      <c r="A4060" s="6" t="s">
        <v>182</v>
      </c>
      <c r="B4060" s="7" t="s">
        <v>952</v>
      </c>
    </row>
    <row r="4061" customFormat="false" ht="15" hidden="false" customHeight="false" outlineLevel="0" collapsed="false">
      <c r="A4061" s="8"/>
      <c r="B4061" s="9" t="s">
        <v>726</v>
      </c>
      <c r="C4061" s="8"/>
      <c r="D4061" s="9" t="s">
        <v>362</v>
      </c>
      <c r="E4061" s="8"/>
      <c r="F4061" s="9" t="s">
        <v>694</v>
      </c>
    </row>
    <row r="4062" customFormat="false" ht="15" hidden="false" customHeight="false" outlineLevel="0" collapsed="false">
      <c r="B4062" s="10" t="s">
        <v>695</v>
      </c>
      <c r="C4062" s="10" t="s">
        <v>696</v>
      </c>
      <c r="D4062" s="10" t="s">
        <v>695</v>
      </c>
      <c r="E4062" s="10" t="s">
        <v>696</v>
      </c>
    </row>
    <row r="4063" customFormat="false" ht="15" hidden="false" customHeight="false" outlineLevel="0" collapsed="false">
      <c r="A4063" s="11" t="s">
        <v>697</v>
      </c>
    </row>
    <row r="4064" customFormat="false" ht="15" hidden="false" customHeight="false" outlineLevel="0" collapsed="false">
      <c r="A4064" s="12" t="s">
        <v>698</v>
      </c>
      <c r="B4064" s="12" t="n">
        <f aca="false">COUNTIFS(Cleaned!$C$2:$C$125,1,Cleaned!GL$2:GL$125,1)</f>
        <v>0</v>
      </c>
      <c r="C4064" s="13" t="n">
        <f aca="false">IFERROR(B4064/$F4064,"")</f>
        <v>0</v>
      </c>
      <c r="D4064" s="12" t="n">
        <f aca="false">COUNTIFS(Cleaned!$C$2:$C$125,1,Cleaned!GL$2:GL$125,2)</f>
        <v>3</v>
      </c>
      <c r="E4064" s="13" t="n">
        <f aca="false">IFERROR(D4064/$F4064,"")</f>
        <v>1</v>
      </c>
      <c r="F4064" s="12" t="n">
        <f aca="false">B4064+D4064</f>
        <v>3</v>
      </c>
    </row>
    <row r="4065" customFormat="false" ht="15" hidden="false" customHeight="false" outlineLevel="0" collapsed="false">
      <c r="A4065" s="12" t="s">
        <v>699</v>
      </c>
      <c r="B4065" s="12" t="n">
        <f aca="false">COUNTIFS(Cleaned!$C$2:$C$125,2,Cleaned!GL$2:GL$125,1)</f>
        <v>0</v>
      </c>
      <c r="C4065" s="13" t="n">
        <f aca="false">IFERROR(B4065/$F4065,"")</f>
        <v>0</v>
      </c>
      <c r="D4065" s="12" t="n">
        <f aca="false">COUNTIFS(Cleaned!$C$2:$C$125,2,Cleaned!GL$2:GL$125,2)</f>
        <v>2</v>
      </c>
      <c r="E4065" s="13" t="n">
        <f aca="false">IFERROR(D4065/$F4065,"")</f>
        <v>1</v>
      </c>
      <c r="F4065" s="12" t="n">
        <f aca="false">B4065+D4065</f>
        <v>2</v>
      </c>
    </row>
    <row r="4066" customFormat="false" ht="15" hidden="false" customHeight="false" outlineLevel="0" collapsed="false">
      <c r="A4066" s="12" t="s">
        <v>700</v>
      </c>
      <c r="B4066" s="12" t="n">
        <f aca="false">COUNTIFS(Cleaned!$C$2:$C$125,3,Cleaned!GL$2:GL$125,1)</f>
        <v>1</v>
      </c>
      <c r="C4066" s="13" t="n">
        <f aca="false">IFERROR(B4066/$F4066,"")</f>
        <v>0.142857142857143</v>
      </c>
      <c r="D4066" s="12" t="n">
        <f aca="false">COUNTIFS(Cleaned!$C$2:$C$125,3,Cleaned!GL$2:GL$125,2)</f>
        <v>6</v>
      </c>
      <c r="E4066" s="13" t="n">
        <f aca="false">IFERROR(D4066/$F4066,"")</f>
        <v>0.857142857142857</v>
      </c>
      <c r="F4066" s="12" t="n">
        <f aca="false">B4066+D4066</f>
        <v>7</v>
      </c>
    </row>
    <row r="4067" customFormat="false" ht="15" hidden="false" customHeight="false" outlineLevel="0" collapsed="false">
      <c r="A4067" s="12" t="s">
        <v>701</v>
      </c>
      <c r="B4067" s="12" t="n">
        <f aca="false">COUNTIFS(Cleaned!$C$2:$C$125,4,Cleaned!GL$2:GL$125,1)</f>
        <v>4</v>
      </c>
      <c r="C4067" s="13" t="n">
        <f aca="false">IFERROR(B4067/$F4067,"")</f>
        <v>0.444444444444444</v>
      </c>
      <c r="D4067" s="12" t="n">
        <f aca="false">COUNTIFS(Cleaned!$C$2:$C$125,4,Cleaned!GL$2:GL$125,2)</f>
        <v>5</v>
      </c>
      <c r="E4067" s="13" t="n">
        <f aca="false">IFERROR(D4067/$F4067,"")</f>
        <v>0.555555555555556</v>
      </c>
      <c r="F4067" s="12" t="n">
        <f aca="false">B4067+D4067</f>
        <v>9</v>
      </c>
    </row>
    <row r="4068" customFormat="false" ht="15" hidden="false" customHeight="false" outlineLevel="0" collapsed="false">
      <c r="A4068" s="12" t="s">
        <v>702</v>
      </c>
      <c r="B4068" s="12" t="n">
        <f aca="false">COUNTIFS(Cleaned!$C$2:$C$125,5,Cleaned!GL$2:GL$125,1)</f>
        <v>2</v>
      </c>
      <c r="C4068" s="13" t="n">
        <f aca="false">IFERROR(B4068/$F4068,"")</f>
        <v>0.125</v>
      </c>
      <c r="D4068" s="12" t="n">
        <f aca="false">COUNTIFS(Cleaned!$C$2:$C$125,5,Cleaned!GL$2:GL$125,2)</f>
        <v>14</v>
      </c>
      <c r="E4068" s="13" t="n">
        <f aca="false">IFERROR(D4068/$F4068,"")</f>
        <v>0.875</v>
      </c>
      <c r="F4068" s="12" t="n">
        <f aca="false">B4068+D4068</f>
        <v>16</v>
      </c>
    </row>
    <row r="4069" customFormat="false" ht="15" hidden="false" customHeight="false" outlineLevel="0" collapsed="false">
      <c r="A4069" s="11" t="s">
        <v>703</v>
      </c>
      <c r="B4069" s="11" t="n">
        <f aca="false">SUM(B4064:B4068)</f>
        <v>7</v>
      </c>
      <c r="C4069" s="14" t="n">
        <f aca="false">IFERROR(B4069/$F4069,"")</f>
        <v>0.189189189189189</v>
      </c>
      <c r="D4069" s="11" t="n">
        <f aca="false">SUM(D4064:D4068)</f>
        <v>30</v>
      </c>
      <c r="E4069" s="14" t="n">
        <f aca="false">IFERROR(D4069/$F4069,"")</f>
        <v>0.810810810810811</v>
      </c>
      <c r="F4069" s="11" t="n">
        <f aca="false">SUM(F4064:F4068)</f>
        <v>37</v>
      </c>
    </row>
    <row r="4070" customFormat="false" ht="15" hidden="false" customHeight="false" outlineLevel="0" collapsed="false">
      <c r="A4070" s="11" t="s">
        <v>3</v>
      </c>
    </row>
    <row r="4071" customFormat="false" ht="15" hidden="false" customHeight="false" outlineLevel="0" collapsed="false">
      <c r="A4071" s="12" t="s">
        <v>704</v>
      </c>
      <c r="B4071" s="12" t="n">
        <f aca="false">COUNTIFS(Cleaned!$D$2:$D$125,1,Cleaned!GL$2:GL$125,1)</f>
        <v>0</v>
      </c>
      <c r="C4071" s="13" t="n">
        <f aca="false">IFERROR(B4071/$F4071,"")</f>
        <v>0</v>
      </c>
      <c r="D4071" s="12" t="n">
        <f aca="false">COUNTIFS(Cleaned!$D$2:$D$125,1,Cleaned!GL$2:GL$125,2)</f>
        <v>4</v>
      </c>
      <c r="E4071" s="13" t="n">
        <f aca="false">IFERROR(D4071/$F4071,"")</f>
        <v>1</v>
      </c>
      <c r="F4071" s="12" t="n">
        <f aca="false">B4071+D4071</f>
        <v>4</v>
      </c>
    </row>
    <row r="4072" customFormat="false" ht="15" hidden="false" customHeight="false" outlineLevel="0" collapsed="false">
      <c r="A4072" s="12" t="s">
        <v>705</v>
      </c>
      <c r="B4072" s="12" t="n">
        <f aca="false">COUNTIFS(Cleaned!$D$2:$D$125,2,Cleaned!GL$2:GL$125,1)</f>
        <v>0</v>
      </c>
      <c r="C4072" s="13" t="n">
        <f aca="false">IFERROR(B4072/$F4072,"")</f>
        <v>0</v>
      </c>
      <c r="D4072" s="12" t="n">
        <f aca="false">COUNTIFS(Cleaned!$D$2:$D$125,2,Cleaned!GL$2:GL$125,2)</f>
        <v>10</v>
      </c>
      <c r="E4072" s="13" t="n">
        <f aca="false">IFERROR(D4072/$F4072,"")</f>
        <v>1</v>
      </c>
      <c r="F4072" s="12" t="n">
        <f aca="false">B4072+D4072</f>
        <v>10</v>
      </c>
    </row>
    <row r="4073" customFormat="false" ht="15" hidden="false" customHeight="false" outlineLevel="0" collapsed="false">
      <c r="A4073" s="12" t="s">
        <v>706</v>
      </c>
      <c r="B4073" s="12" t="n">
        <f aca="false">COUNTIFS(Cleaned!$D$2:$D$125,3,Cleaned!GL$2:GL$125,1)</f>
        <v>4</v>
      </c>
      <c r="C4073" s="13" t="n">
        <f aca="false">IFERROR(B4073/$F4073,"")</f>
        <v>0.8</v>
      </c>
      <c r="D4073" s="12" t="n">
        <f aca="false">COUNTIFS(Cleaned!$D$2:$D$125,3,Cleaned!GL$2:GL$125,2)</f>
        <v>1</v>
      </c>
      <c r="E4073" s="13" t="n">
        <f aca="false">IFERROR(D4073/$F4073,"")</f>
        <v>0.2</v>
      </c>
      <c r="F4073" s="12" t="n">
        <f aca="false">B4073+D4073</f>
        <v>5</v>
      </c>
    </row>
    <row r="4074" customFormat="false" ht="15" hidden="false" customHeight="false" outlineLevel="0" collapsed="false">
      <c r="A4074" s="12" t="s">
        <v>707</v>
      </c>
      <c r="B4074" s="12" t="n">
        <f aca="false">COUNTIFS(Cleaned!$D$2:$D$125,4,Cleaned!GL$2:GL$125,1)</f>
        <v>1</v>
      </c>
      <c r="C4074" s="13" t="n">
        <f aca="false">IFERROR(B4074/$F4074,"")</f>
        <v>0.25</v>
      </c>
      <c r="D4074" s="12" t="n">
        <f aca="false">COUNTIFS(Cleaned!$D$2:$D$125,4,Cleaned!GL$2:GL$125,2)</f>
        <v>3</v>
      </c>
      <c r="E4074" s="13" t="n">
        <f aca="false">IFERROR(D4074/$F4074,"")</f>
        <v>0.75</v>
      </c>
      <c r="F4074" s="12" t="n">
        <f aca="false">B4074+D4074</f>
        <v>4</v>
      </c>
    </row>
    <row r="4075" customFormat="false" ht="15" hidden="false" customHeight="false" outlineLevel="0" collapsed="false">
      <c r="A4075" s="12" t="s">
        <v>708</v>
      </c>
      <c r="B4075" s="12" t="n">
        <f aca="false">COUNTIFS(Cleaned!$D$2:$D$125,5,Cleaned!GL$2:GL$125,1)</f>
        <v>1</v>
      </c>
      <c r="C4075" s="13" t="n">
        <f aca="false">IFERROR(B4075/$F4075,"")</f>
        <v>1</v>
      </c>
      <c r="D4075" s="12" t="n">
        <f aca="false">COUNTIFS(Cleaned!$D$2:$D$125,5,Cleaned!GL$2:GL$125,2)</f>
        <v>0</v>
      </c>
      <c r="E4075" s="13" t="n">
        <f aca="false">IFERROR(D4075/$F4075,"")</f>
        <v>0</v>
      </c>
      <c r="F4075" s="12" t="n">
        <f aca="false">B4075+D4075</f>
        <v>1</v>
      </c>
    </row>
    <row r="4076" customFormat="false" ht="15" hidden="false" customHeight="false" outlineLevel="0" collapsed="false">
      <c r="A4076" s="12" t="s">
        <v>709</v>
      </c>
      <c r="B4076" s="12" t="n">
        <f aca="false">COUNTIFS(Cleaned!$D$2:$D$125,6,Cleaned!GL$2:GL$125,1)</f>
        <v>1</v>
      </c>
      <c r="C4076" s="13" t="n">
        <f aca="false">IFERROR(B4076/$F4076,"")</f>
        <v>0.5</v>
      </c>
      <c r="D4076" s="12" t="n">
        <f aca="false">COUNTIFS(Cleaned!$D$2:$D$125,6,Cleaned!GL$2:GL$125,2)</f>
        <v>1</v>
      </c>
      <c r="E4076" s="13" t="n">
        <f aca="false">IFERROR(D4076/$F4076,"")</f>
        <v>0.5</v>
      </c>
      <c r="F4076" s="12" t="n">
        <f aca="false">B4076+D4076</f>
        <v>2</v>
      </c>
    </row>
    <row r="4077" customFormat="false" ht="15" hidden="false" customHeight="false" outlineLevel="0" collapsed="false">
      <c r="A4077" s="12" t="s">
        <v>710</v>
      </c>
      <c r="B4077" s="12" t="n">
        <f aca="false">COUNTIFS(Cleaned!$D$2:$D$125,7,Cleaned!GL$2:GL$125,1)</f>
        <v>0</v>
      </c>
      <c r="C4077" s="13" t="n">
        <f aca="false">IFERROR(B4077/$F4077,"")</f>
        <v>0</v>
      </c>
      <c r="D4077" s="12" t="n">
        <f aca="false">COUNTIFS(Cleaned!$D$2:$D$125,7,Cleaned!GL$2:GL$125,2)</f>
        <v>4</v>
      </c>
      <c r="E4077" s="13" t="n">
        <f aca="false">IFERROR(D4077/$F4077,"")</f>
        <v>1</v>
      </c>
      <c r="F4077" s="12" t="n">
        <f aca="false">B4077+D4077</f>
        <v>4</v>
      </c>
    </row>
    <row r="4078" customFormat="false" ht="15" hidden="false" customHeight="false" outlineLevel="0" collapsed="false">
      <c r="A4078" s="12" t="s">
        <v>711</v>
      </c>
      <c r="B4078" s="12" t="n">
        <f aca="false">COUNTIFS(Cleaned!$D$2:$D$125,8,Cleaned!GL$2:GL$125,1)</f>
        <v>0</v>
      </c>
      <c r="C4078" s="13" t="n">
        <f aca="false">IFERROR(B4078/$F4078,"")</f>
        <v>0</v>
      </c>
      <c r="D4078" s="12" t="n">
        <f aca="false">COUNTIFS(Cleaned!$D$2:$D$125,8,Cleaned!GL$2:GL$125,2)</f>
        <v>2</v>
      </c>
      <c r="E4078" s="13" t="n">
        <f aca="false">IFERROR(D4078/$F4078,"")</f>
        <v>1</v>
      </c>
      <c r="F4078" s="12" t="n">
        <f aca="false">B4078+D4078</f>
        <v>2</v>
      </c>
    </row>
    <row r="4079" customFormat="false" ht="15" hidden="false" customHeight="false" outlineLevel="0" collapsed="false">
      <c r="A4079" s="12" t="s">
        <v>712</v>
      </c>
      <c r="B4079" s="12" t="n">
        <f aca="false">COUNTIFS(Cleaned!$D$2:$D$125,9,Cleaned!GL$2:GL$125,1)</f>
        <v>0</v>
      </c>
      <c r="C4079" s="13" t="n">
        <f aca="false">IFERROR(B4079/$F4079,"")</f>
        <v>0</v>
      </c>
      <c r="D4079" s="12" t="n">
        <f aca="false">COUNTIFS(Cleaned!$D$2:$D$125,9,Cleaned!GL$2:GL$125,2)</f>
        <v>2</v>
      </c>
      <c r="E4079" s="13" t="n">
        <f aca="false">IFERROR(D4079/$F4079,"")</f>
        <v>1</v>
      </c>
      <c r="F4079" s="12" t="n">
        <f aca="false">B4079+D4079</f>
        <v>2</v>
      </c>
    </row>
    <row r="4080" customFormat="false" ht="15" hidden="false" customHeight="false" outlineLevel="0" collapsed="false">
      <c r="A4080" s="12" t="s">
        <v>713</v>
      </c>
      <c r="B4080" s="12" t="n">
        <f aca="false">COUNTIFS(Cleaned!$D$2:$D$125,10,Cleaned!GL$2:GL$125,1)</f>
        <v>0</v>
      </c>
      <c r="C4080" s="13" t="str">
        <f aca="false">IFERROR(B4080/$F4080,"")</f>
        <v/>
      </c>
      <c r="D4080" s="12" t="n">
        <f aca="false">COUNTIFS(Cleaned!$D$2:$D$125,10,Cleaned!GL$2:GL$125,2)</f>
        <v>0</v>
      </c>
      <c r="E4080" s="13" t="str">
        <f aca="false">IFERROR(D4080/$F4080,"")</f>
        <v/>
      </c>
      <c r="F4080" s="12" t="n">
        <f aca="false">B4080+D4080</f>
        <v>0</v>
      </c>
    </row>
    <row r="4081" customFormat="false" ht="15" hidden="false" customHeight="false" outlineLevel="0" collapsed="false">
      <c r="A4081" s="12" t="s">
        <v>714</v>
      </c>
      <c r="B4081" s="12" t="n">
        <f aca="false">COUNTIFS(Cleaned!$D$2:$D$125,11,Cleaned!GL$2:GL$125,1)</f>
        <v>0</v>
      </c>
      <c r="C4081" s="13" t="n">
        <f aca="false">IFERROR(B4081/$F4081,"")</f>
        <v>0</v>
      </c>
      <c r="D4081" s="12" t="n">
        <f aca="false">COUNTIFS(Cleaned!$D$2:$D$125,11,Cleaned!GL$2:GL$125,2)</f>
        <v>2</v>
      </c>
      <c r="E4081" s="13" t="n">
        <f aca="false">IFERROR(D4081/$F4081,"")</f>
        <v>1</v>
      </c>
      <c r="F4081" s="12" t="n">
        <f aca="false">B4081+D4081</f>
        <v>2</v>
      </c>
    </row>
    <row r="4082" customFormat="false" ht="15" hidden="false" customHeight="false" outlineLevel="0" collapsed="false">
      <c r="A4082" s="12" t="s">
        <v>715</v>
      </c>
      <c r="B4082" s="12" t="n">
        <f aca="false">COUNTIFS(Cleaned!$D$2:$D$125,12,Cleaned!GL$2:GL$125,1)</f>
        <v>0</v>
      </c>
      <c r="C4082" s="13" t="n">
        <f aca="false">IFERROR(B4082/$F4082,"")</f>
        <v>0</v>
      </c>
      <c r="D4082" s="12" t="n">
        <f aca="false">COUNTIFS(Cleaned!$D$2:$D$125,12,Cleaned!GL$2:GL$125,2)</f>
        <v>1</v>
      </c>
      <c r="E4082" s="13" t="n">
        <f aca="false">IFERROR(D4082/$F4082,"")</f>
        <v>1</v>
      </c>
      <c r="F4082" s="12" t="n">
        <f aca="false">B4082+D4082</f>
        <v>1</v>
      </c>
    </row>
    <row r="4083" customFormat="false" ht="15" hidden="false" customHeight="false" outlineLevel="0" collapsed="false">
      <c r="A4083" s="11" t="s">
        <v>716</v>
      </c>
      <c r="B4083" s="11" t="n">
        <f aca="false">SUM(B4071:B4082)</f>
        <v>7</v>
      </c>
      <c r="C4083" s="14" t="n">
        <f aca="false">IFERROR(B4083/$F4083,"")</f>
        <v>0.189189189189189</v>
      </c>
      <c r="D4083" s="11" t="n">
        <f aca="false">SUM(D4071:D4082)</f>
        <v>30</v>
      </c>
      <c r="E4083" s="14" t="n">
        <f aca="false">IFERROR(D4083/$F4083,"")</f>
        <v>0.810810810810811</v>
      </c>
      <c r="F4083" s="11" t="n">
        <f aca="false">SUM(F4071:F4082)</f>
        <v>37</v>
      </c>
    </row>
    <row r="4086" customFormat="false" ht="15" hidden="false" customHeight="false" outlineLevel="0" collapsed="false">
      <c r="A4086" s="6" t="s">
        <v>185</v>
      </c>
      <c r="B4086" s="7" t="s">
        <v>953</v>
      </c>
    </row>
    <row r="4087" customFormat="false" ht="15" hidden="false" customHeight="false" outlineLevel="0" collapsed="false">
      <c r="A4087" s="8"/>
      <c r="B4087" s="9" t="s">
        <v>726</v>
      </c>
      <c r="C4087" s="8"/>
      <c r="D4087" s="9" t="s">
        <v>362</v>
      </c>
      <c r="E4087" s="8"/>
      <c r="F4087" s="9" t="s">
        <v>694</v>
      </c>
    </row>
    <row r="4088" customFormat="false" ht="15" hidden="false" customHeight="false" outlineLevel="0" collapsed="false">
      <c r="B4088" s="10" t="s">
        <v>695</v>
      </c>
      <c r="C4088" s="10" t="s">
        <v>696</v>
      </c>
      <c r="D4088" s="10" t="s">
        <v>695</v>
      </c>
      <c r="E4088" s="10" t="s">
        <v>696</v>
      </c>
    </row>
    <row r="4089" customFormat="false" ht="15" hidden="false" customHeight="false" outlineLevel="0" collapsed="false">
      <c r="A4089" s="11" t="s">
        <v>697</v>
      </c>
    </row>
    <row r="4090" customFormat="false" ht="15" hidden="false" customHeight="false" outlineLevel="0" collapsed="false">
      <c r="A4090" s="12" t="s">
        <v>698</v>
      </c>
      <c r="B4090" s="12" t="n">
        <f aca="false">COUNTIFS(Cleaned!$C$2:$C$125,1,Cleaned!GO$2:GO$125,1)</f>
        <v>0</v>
      </c>
      <c r="C4090" s="13" t="n">
        <f aca="false">IFERROR(B4090/$F4090,"")</f>
        <v>0</v>
      </c>
      <c r="D4090" s="12" t="n">
        <f aca="false">COUNTIFS(Cleaned!$C$2:$C$125,1,Cleaned!GO$2:GO$125,2)</f>
        <v>4</v>
      </c>
      <c r="E4090" s="13" t="n">
        <f aca="false">IFERROR(D4090/$F4090,"")</f>
        <v>1</v>
      </c>
      <c r="F4090" s="12" t="n">
        <f aca="false">B4090+D4090</f>
        <v>4</v>
      </c>
    </row>
    <row r="4091" customFormat="false" ht="15" hidden="false" customHeight="false" outlineLevel="0" collapsed="false">
      <c r="A4091" s="12" t="s">
        <v>699</v>
      </c>
      <c r="B4091" s="12" t="n">
        <f aca="false">COUNTIFS(Cleaned!$C$2:$C$125,2,Cleaned!GO$2:GO$125,1)</f>
        <v>3</v>
      </c>
      <c r="C4091" s="13" t="n">
        <f aca="false">IFERROR(B4091/$F4091,"")</f>
        <v>0.6</v>
      </c>
      <c r="D4091" s="12" t="n">
        <f aca="false">COUNTIFS(Cleaned!$C$2:$C$125,2,Cleaned!GO$2:GO$125,2)</f>
        <v>2</v>
      </c>
      <c r="E4091" s="13" t="n">
        <f aca="false">IFERROR(D4091/$F4091,"")</f>
        <v>0.4</v>
      </c>
      <c r="F4091" s="12" t="n">
        <f aca="false">B4091+D4091</f>
        <v>5</v>
      </c>
    </row>
    <row r="4092" customFormat="false" ht="15" hidden="false" customHeight="false" outlineLevel="0" collapsed="false">
      <c r="A4092" s="12" t="s">
        <v>700</v>
      </c>
      <c r="B4092" s="12" t="n">
        <f aca="false">COUNTIFS(Cleaned!$C$2:$C$125,3,Cleaned!GO$2:GO$125,1)</f>
        <v>1</v>
      </c>
      <c r="C4092" s="13" t="n">
        <f aca="false">IFERROR(B4092/$F4092,"")</f>
        <v>0.111111111111111</v>
      </c>
      <c r="D4092" s="12" t="n">
        <f aca="false">COUNTIFS(Cleaned!$C$2:$C$125,3,Cleaned!GO$2:GO$125,2)</f>
        <v>8</v>
      </c>
      <c r="E4092" s="13" t="n">
        <f aca="false">IFERROR(D4092/$F4092,"")</f>
        <v>0.888888888888889</v>
      </c>
      <c r="F4092" s="12" t="n">
        <f aca="false">B4092+D4092</f>
        <v>9</v>
      </c>
    </row>
    <row r="4093" customFormat="false" ht="15" hidden="false" customHeight="false" outlineLevel="0" collapsed="false">
      <c r="A4093" s="12" t="s">
        <v>701</v>
      </c>
      <c r="B4093" s="12" t="n">
        <f aca="false">COUNTIFS(Cleaned!$C$2:$C$125,4,Cleaned!GO$2:GO$125,1)</f>
        <v>5</v>
      </c>
      <c r="C4093" s="13" t="n">
        <f aca="false">IFERROR(B4093/$F4093,"")</f>
        <v>0.5</v>
      </c>
      <c r="D4093" s="12" t="n">
        <f aca="false">COUNTIFS(Cleaned!$C$2:$C$125,4,Cleaned!GO$2:GO$125,2)</f>
        <v>5</v>
      </c>
      <c r="E4093" s="13" t="n">
        <f aca="false">IFERROR(D4093/$F4093,"")</f>
        <v>0.5</v>
      </c>
      <c r="F4093" s="12" t="n">
        <f aca="false">B4093+D4093</f>
        <v>10</v>
      </c>
    </row>
    <row r="4094" customFormat="false" ht="15" hidden="false" customHeight="false" outlineLevel="0" collapsed="false">
      <c r="A4094" s="12" t="s">
        <v>702</v>
      </c>
      <c r="B4094" s="12" t="n">
        <f aca="false">COUNTIFS(Cleaned!$C$2:$C$125,5,Cleaned!GO$2:GO$125,1)</f>
        <v>4</v>
      </c>
      <c r="C4094" s="13" t="n">
        <f aca="false">IFERROR(B4094/$F4094,"")</f>
        <v>0.222222222222222</v>
      </c>
      <c r="D4094" s="12" t="n">
        <f aca="false">COUNTIFS(Cleaned!$C$2:$C$125,5,Cleaned!GO$2:GO$125,2)</f>
        <v>14</v>
      </c>
      <c r="E4094" s="13" t="n">
        <f aca="false">IFERROR(D4094/$F4094,"")</f>
        <v>0.777777777777778</v>
      </c>
      <c r="F4094" s="12" t="n">
        <f aca="false">B4094+D4094</f>
        <v>18</v>
      </c>
    </row>
    <row r="4095" customFormat="false" ht="15" hidden="false" customHeight="false" outlineLevel="0" collapsed="false">
      <c r="A4095" s="11" t="s">
        <v>703</v>
      </c>
      <c r="B4095" s="11" t="n">
        <f aca="false">SUM(B4090:B4094)</f>
        <v>13</v>
      </c>
      <c r="C4095" s="14" t="n">
        <f aca="false">IFERROR(B4095/$F4095,"")</f>
        <v>0.282608695652174</v>
      </c>
      <c r="D4095" s="11" t="n">
        <f aca="false">SUM(D4090:D4094)</f>
        <v>33</v>
      </c>
      <c r="E4095" s="14" t="n">
        <f aca="false">IFERROR(D4095/$F4095,"")</f>
        <v>0.717391304347826</v>
      </c>
      <c r="F4095" s="11" t="n">
        <f aca="false">SUM(F4090:F4094)</f>
        <v>46</v>
      </c>
    </row>
    <row r="4096" customFormat="false" ht="15" hidden="false" customHeight="false" outlineLevel="0" collapsed="false">
      <c r="A4096" s="11" t="s">
        <v>3</v>
      </c>
    </row>
    <row r="4097" customFormat="false" ht="15" hidden="false" customHeight="false" outlineLevel="0" collapsed="false">
      <c r="A4097" s="12" t="s">
        <v>704</v>
      </c>
      <c r="B4097" s="12" t="n">
        <f aca="false">COUNTIFS(Cleaned!$D$2:$D$125,1,Cleaned!GO$2:GO$125,1)</f>
        <v>1</v>
      </c>
      <c r="C4097" s="13" t="n">
        <f aca="false">IFERROR(B4097/$F4097,"")</f>
        <v>0.142857142857143</v>
      </c>
      <c r="D4097" s="12" t="n">
        <f aca="false">COUNTIFS(Cleaned!$D$2:$D$125,1,Cleaned!GO$2:GO$125,2)</f>
        <v>6</v>
      </c>
      <c r="E4097" s="13" t="n">
        <f aca="false">IFERROR(D4097/$F4097,"")</f>
        <v>0.857142857142857</v>
      </c>
      <c r="F4097" s="12" t="n">
        <f aca="false">B4097+D4097</f>
        <v>7</v>
      </c>
    </row>
    <row r="4098" customFormat="false" ht="15" hidden="false" customHeight="false" outlineLevel="0" collapsed="false">
      <c r="A4098" s="12" t="s">
        <v>705</v>
      </c>
      <c r="B4098" s="12" t="n">
        <f aca="false">COUNTIFS(Cleaned!$D$2:$D$125,2,Cleaned!GO$2:GO$125,1)</f>
        <v>2</v>
      </c>
      <c r="C4098" s="13" t="n">
        <f aca="false">IFERROR(B4098/$F4098,"")</f>
        <v>0.166666666666667</v>
      </c>
      <c r="D4098" s="12" t="n">
        <f aca="false">COUNTIFS(Cleaned!$D$2:$D$125,2,Cleaned!GO$2:GO$125,2)</f>
        <v>10</v>
      </c>
      <c r="E4098" s="13" t="n">
        <f aca="false">IFERROR(D4098/$F4098,"")</f>
        <v>0.833333333333333</v>
      </c>
      <c r="F4098" s="12" t="n">
        <f aca="false">B4098+D4098</f>
        <v>12</v>
      </c>
    </row>
    <row r="4099" customFormat="false" ht="15" hidden="false" customHeight="false" outlineLevel="0" collapsed="false">
      <c r="A4099" s="12" t="s">
        <v>706</v>
      </c>
      <c r="B4099" s="12" t="n">
        <f aca="false">COUNTIFS(Cleaned!$D$2:$D$125,3,Cleaned!GO$2:GO$125,1)</f>
        <v>3</v>
      </c>
      <c r="C4099" s="13" t="n">
        <f aca="false">IFERROR(B4099/$F4099,"")</f>
        <v>0.6</v>
      </c>
      <c r="D4099" s="12" t="n">
        <f aca="false">COUNTIFS(Cleaned!$D$2:$D$125,3,Cleaned!GO$2:GO$125,2)</f>
        <v>2</v>
      </c>
      <c r="E4099" s="13" t="n">
        <f aca="false">IFERROR(D4099/$F4099,"")</f>
        <v>0.4</v>
      </c>
      <c r="F4099" s="12" t="n">
        <f aca="false">B4099+D4099</f>
        <v>5</v>
      </c>
    </row>
    <row r="4100" customFormat="false" ht="15" hidden="false" customHeight="false" outlineLevel="0" collapsed="false">
      <c r="A4100" s="12" t="s">
        <v>707</v>
      </c>
      <c r="B4100" s="12" t="n">
        <f aca="false">COUNTIFS(Cleaned!$D$2:$D$125,4,Cleaned!GO$2:GO$125,1)</f>
        <v>0</v>
      </c>
      <c r="C4100" s="13" t="n">
        <f aca="false">IFERROR(B4100/$F4100,"")</f>
        <v>0</v>
      </c>
      <c r="D4100" s="12" t="n">
        <f aca="false">COUNTIFS(Cleaned!$D$2:$D$125,4,Cleaned!GO$2:GO$125,2)</f>
        <v>4</v>
      </c>
      <c r="E4100" s="13" t="n">
        <f aca="false">IFERROR(D4100/$F4100,"")</f>
        <v>1</v>
      </c>
      <c r="F4100" s="12" t="n">
        <f aca="false">B4100+D4100</f>
        <v>4</v>
      </c>
    </row>
    <row r="4101" customFormat="false" ht="15" hidden="false" customHeight="false" outlineLevel="0" collapsed="false">
      <c r="A4101" s="12" t="s">
        <v>708</v>
      </c>
      <c r="B4101" s="12" t="n">
        <f aca="false">COUNTIFS(Cleaned!$D$2:$D$125,5,Cleaned!GO$2:GO$125,1)</f>
        <v>0</v>
      </c>
      <c r="C4101" s="13" t="n">
        <f aca="false">IFERROR(B4101/$F4101,"")</f>
        <v>0</v>
      </c>
      <c r="D4101" s="12" t="n">
        <f aca="false">COUNTIFS(Cleaned!$D$2:$D$125,5,Cleaned!GO$2:GO$125,2)</f>
        <v>1</v>
      </c>
      <c r="E4101" s="13" t="n">
        <f aca="false">IFERROR(D4101/$F4101,"")</f>
        <v>1</v>
      </c>
      <c r="F4101" s="12" t="n">
        <f aca="false">B4101+D4101</f>
        <v>1</v>
      </c>
    </row>
    <row r="4102" customFormat="false" ht="15" hidden="false" customHeight="false" outlineLevel="0" collapsed="false">
      <c r="A4102" s="12" t="s">
        <v>709</v>
      </c>
      <c r="B4102" s="12" t="n">
        <f aca="false">COUNTIFS(Cleaned!$D$2:$D$125,6,Cleaned!GO$2:GO$125,1)</f>
        <v>2</v>
      </c>
      <c r="C4102" s="13" t="n">
        <f aca="false">IFERROR(B4102/$F4102,"")</f>
        <v>1</v>
      </c>
      <c r="D4102" s="12" t="n">
        <f aca="false">COUNTIFS(Cleaned!$D$2:$D$125,6,Cleaned!GO$2:GO$125,2)</f>
        <v>0</v>
      </c>
      <c r="E4102" s="13" t="n">
        <f aca="false">IFERROR(D4102/$F4102,"")</f>
        <v>0</v>
      </c>
      <c r="F4102" s="12" t="n">
        <f aca="false">B4102+D4102</f>
        <v>2</v>
      </c>
    </row>
    <row r="4103" customFormat="false" ht="15" hidden="false" customHeight="false" outlineLevel="0" collapsed="false">
      <c r="A4103" s="12" t="s">
        <v>710</v>
      </c>
      <c r="B4103" s="12" t="n">
        <f aca="false">COUNTIFS(Cleaned!$D$2:$D$125,7,Cleaned!GO$2:GO$125,1)</f>
        <v>2</v>
      </c>
      <c r="C4103" s="13" t="n">
        <f aca="false">IFERROR(B4103/$F4103,"")</f>
        <v>0.4</v>
      </c>
      <c r="D4103" s="12" t="n">
        <f aca="false">COUNTIFS(Cleaned!$D$2:$D$125,7,Cleaned!GO$2:GO$125,2)</f>
        <v>3</v>
      </c>
      <c r="E4103" s="13" t="n">
        <f aca="false">IFERROR(D4103/$F4103,"")</f>
        <v>0.6</v>
      </c>
      <c r="F4103" s="12" t="n">
        <f aca="false">B4103+D4103</f>
        <v>5</v>
      </c>
    </row>
    <row r="4104" customFormat="false" ht="15" hidden="false" customHeight="false" outlineLevel="0" collapsed="false">
      <c r="A4104" s="12" t="s">
        <v>711</v>
      </c>
      <c r="B4104" s="12" t="n">
        <f aca="false">COUNTIFS(Cleaned!$D$2:$D$125,8,Cleaned!GO$2:GO$125,1)</f>
        <v>1</v>
      </c>
      <c r="C4104" s="13" t="n">
        <f aca="false">IFERROR(B4104/$F4104,"")</f>
        <v>0.5</v>
      </c>
      <c r="D4104" s="12" t="n">
        <f aca="false">COUNTIFS(Cleaned!$D$2:$D$125,8,Cleaned!GO$2:GO$125,2)</f>
        <v>1</v>
      </c>
      <c r="E4104" s="13" t="n">
        <f aca="false">IFERROR(D4104/$F4104,"")</f>
        <v>0.5</v>
      </c>
      <c r="F4104" s="12" t="n">
        <f aca="false">B4104+D4104</f>
        <v>2</v>
      </c>
    </row>
    <row r="4105" customFormat="false" ht="15" hidden="false" customHeight="false" outlineLevel="0" collapsed="false">
      <c r="A4105" s="12" t="s">
        <v>712</v>
      </c>
      <c r="B4105" s="12" t="n">
        <f aca="false">COUNTIFS(Cleaned!$D$2:$D$125,9,Cleaned!GO$2:GO$125,1)</f>
        <v>0</v>
      </c>
      <c r="C4105" s="13" t="n">
        <f aca="false">IFERROR(B4105/$F4105,"")</f>
        <v>0</v>
      </c>
      <c r="D4105" s="12" t="n">
        <f aca="false">COUNTIFS(Cleaned!$D$2:$D$125,9,Cleaned!GO$2:GO$125,2)</f>
        <v>1</v>
      </c>
      <c r="E4105" s="13" t="n">
        <f aca="false">IFERROR(D4105/$F4105,"")</f>
        <v>1</v>
      </c>
      <c r="F4105" s="12" t="n">
        <f aca="false">B4105+D4105</f>
        <v>1</v>
      </c>
    </row>
    <row r="4106" customFormat="false" ht="15" hidden="false" customHeight="false" outlineLevel="0" collapsed="false">
      <c r="A4106" s="12" t="s">
        <v>713</v>
      </c>
      <c r="B4106" s="12" t="n">
        <f aca="false">COUNTIFS(Cleaned!$D$2:$D$125,10,Cleaned!GO$2:GO$125,1)</f>
        <v>0</v>
      </c>
      <c r="C4106" s="13" t="str">
        <f aca="false">IFERROR(B4106/$F4106,"")</f>
        <v/>
      </c>
      <c r="D4106" s="12" t="n">
        <f aca="false">COUNTIFS(Cleaned!$D$2:$D$125,10,Cleaned!GO$2:GO$125,2)</f>
        <v>0</v>
      </c>
      <c r="E4106" s="13" t="str">
        <f aca="false">IFERROR(D4106/$F4106,"")</f>
        <v/>
      </c>
      <c r="F4106" s="12" t="n">
        <f aca="false">B4106+D4106</f>
        <v>0</v>
      </c>
    </row>
    <row r="4107" customFormat="false" ht="15" hidden="false" customHeight="false" outlineLevel="0" collapsed="false">
      <c r="A4107" s="12" t="s">
        <v>714</v>
      </c>
      <c r="B4107" s="12" t="n">
        <f aca="false">COUNTIFS(Cleaned!$D$2:$D$125,11,Cleaned!GO$2:GO$125,1)</f>
        <v>2</v>
      </c>
      <c r="C4107" s="13" t="n">
        <f aca="false">IFERROR(B4107/$F4107,"")</f>
        <v>0.5</v>
      </c>
      <c r="D4107" s="12" t="n">
        <f aca="false">COUNTIFS(Cleaned!$D$2:$D$125,11,Cleaned!GO$2:GO$125,2)</f>
        <v>2</v>
      </c>
      <c r="E4107" s="13" t="n">
        <f aca="false">IFERROR(D4107/$F4107,"")</f>
        <v>0.5</v>
      </c>
      <c r="F4107" s="12" t="n">
        <f aca="false">B4107+D4107</f>
        <v>4</v>
      </c>
    </row>
    <row r="4108" customFormat="false" ht="15" hidden="false" customHeight="false" outlineLevel="0" collapsed="false">
      <c r="A4108" s="12" t="s">
        <v>715</v>
      </c>
      <c r="B4108" s="12" t="n">
        <f aca="false">COUNTIFS(Cleaned!$D$2:$D$125,12,Cleaned!GO$2:GO$125,1)</f>
        <v>0</v>
      </c>
      <c r="C4108" s="13" t="n">
        <f aca="false">IFERROR(B4108/$F4108,"")</f>
        <v>0</v>
      </c>
      <c r="D4108" s="12" t="n">
        <f aca="false">COUNTIFS(Cleaned!$D$2:$D$125,12,Cleaned!GO$2:GO$125,2)</f>
        <v>3</v>
      </c>
      <c r="E4108" s="13" t="n">
        <f aca="false">IFERROR(D4108/$F4108,"")</f>
        <v>1</v>
      </c>
      <c r="F4108" s="12" t="n">
        <f aca="false">B4108+D4108</f>
        <v>3</v>
      </c>
    </row>
    <row r="4109" customFormat="false" ht="15" hidden="false" customHeight="false" outlineLevel="0" collapsed="false">
      <c r="A4109" s="11" t="s">
        <v>716</v>
      </c>
      <c r="B4109" s="11" t="n">
        <f aca="false">SUM(B4097:B4108)</f>
        <v>13</v>
      </c>
      <c r="C4109" s="14" t="n">
        <f aca="false">IFERROR(B4109/$F4109,"")</f>
        <v>0.282608695652174</v>
      </c>
      <c r="D4109" s="11" t="n">
        <f aca="false">SUM(D4097:D4108)</f>
        <v>33</v>
      </c>
      <c r="E4109" s="14" t="n">
        <f aca="false">IFERROR(D4109/$F4109,"")</f>
        <v>0.717391304347826</v>
      </c>
      <c r="F4109" s="11" t="n">
        <f aca="false">SUM(F4097:F4108)</f>
        <v>46</v>
      </c>
    </row>
    <row r="4112" customFormat="false" ht="15" hidden="false" customHeight="false" outlineLevel="0" collapsed="false">
      <c r="A4112" s="6" t="s">
        <v>187</v>
      </c>
      <c r="B4112" s="7" t="s">
        <v>954</v>
      </c>
    </row>
    <row r="4113" customFormat="false" ht="15" hidden="false" customHeight="false" outlineLevel="0" collapsed="false">
      <c r="A4113" s="8"/>
      <c r="B4113" s="9" t="s">
        <v>726</v>
      </c>
      <c r="C4113" s="8"/>
      <c r="D4113" s="9" t="s">
        <v>362</v>
      </c>
      <c r="E4113" s="8"/>
      <c r="F4113" s="9" t="s">
        <v>694</v>
      </c>
    </row>
    <row r="4114" customFormat="false" ht="15" hidden="false" customHeight="false" outlineLevel="0" collapsed="false">
      <c r="B4114" s="10" t="s">
        <v>695</v>
      </c>
      <c r="C4114" s="10" t="s">
        <v>696</v>
      </c>
      <c r="D4114" s="10" t="s">
        <v>695</v>
      </c>
      <c r="E4114" s="10" t="s">
        <v>696</v>
      </c>
    </row>
    <row r="4115" customFormat="false" ht="15" hidden="false" customHeight="false" outlineLevel="0" collapsed="false">
      <c r="A4115" s="11" t="s">
        <v>697</v>
      </c>
    </row>
    <row r="4116" customFormat="false" ht="15" hidden="false" customHeight="false" outlineLevel="0" collapsed="false">
      <c r="A4116" s="12" t="s">
        <v>698</v>
      </c>
      <c r="B4116" s="12" t="n">
        <f aca="false">COUNTIFS(Cleaned!$C$2:$C$125,1,Cleaned!GQ$2:GQ$125,1)</f>
        <v>0</v>
      </c>
      <c r="C4116" s="13" t="n">
        <f aca="false">IFERROR(B4116/$F4116,"")</f>
        <v>0</v>
      </c>
      <c r="D4116" s="12" t="n">
        <f aca="false">COUNTIFS(Cleaned!$C$2:$C$125,1,Cleaned!GQ$2:GQ$125,2)</f>
        <v>3</v>
      </c>
      <c r="E4116" s="13" t="n">
        <f aca="false">IFERROR(D4116/$F4116,"")</f>
        <v>1</v>
      </c>
      <c r="F4116" s="12" t="n">
        <f aca="false">B4116+D4116</f>
        <v>3</v>
      </c>
    </row>
    <row r="4117" customFormat="false" ht="15" hidden="false" customHeight="false" outlineLevel="0" collapsed="false">
      <c r="A4117" s="12" t="s">
        <v>699</v>
      </c>
      <c r="B4117" s="12" t="n">
        <f aca="false">COUNTIFS(Cleaned!$C$2:$C$125,2,Cleaned!GQ$2:GQ$125,1)</f>
        <v>0</v>
      </c>
      <c r="C4117" s="13" t="n">
        <f aca="false">IFERROR(B4117/$F4117,"")</f>
        <v>0</v>
      </c>
      <c r="D4117" s="12" t="n">
        <f aca="false">COUNTIFS(Cleaned!$C$2:$C$125,2,Cleaned!GQ$2:GQ$125,2)</f>
        <v>5</v>
      </c>
      <c r="E4117" s="13" t="n">
        <f aca="false">IFERROR(D4117/$F4117,"")</f>
        <v>1</v>
      </c>
      <c r="F4117" s="12" t="n">
        <f aca="false">B4117+D4117</f>
        <v>5</v>
      </c>
    </row>
    <row r="4118" customFormat="false" ht="15" hidden="false" customHeight="false" outlineLevel="0" collapsed="false">
      <c r="A4118" s="12" t="s">
        <v>700</v>
      </c>
      <c r="B4118" s="12" t="n">
        <f aca="false">COUNTIFS(Cleaned!$C$2:$C$125,3,Cleaned!GQ$2:GQ$125,1)</f>
        <v>2</v>
      </c>
      <c r="C4118" s="13" t="n">
        <f aca="false">IFERROR(B4118/$F4118,"")</f>
        <v>0.222222222222222</v>
      </c>
      <c r="D4118" s="12" t="n">
        <f aca="false">COUNTIFS(Cleaned!$C$2:$C$125,3,Cleaned!GQ$2:GQ$125,2)</f>
        <v>7</v>
      </c>
      <c r="E4118" s="13" t="n">
        <f aca="false">IFERROR(D4118/$F4118,"")</f>
        <v>0.777777777777778</v>
      </c>
      <c r="F4118" s="12" t="n">
        <f aca="false">B4118+D4118</f>
        <v>9</v>
      </c>
    </row>
    <row r="4119" customFormat="false" ht="15" hidden="false" customHeight="false" outlineLevel="0" collapsed="false">
      <c r="A4119" s="12" t="s">
        <v>701</v>
      </c>
      <c r="B4119" s="12" t="n">
        <f aca="false">COUNTIFS(Cleaned!$C$2:$C$125,4,Cleaned!GQ$2:GQ$125,1)</f>
        <v>5</v>
      </c>
      <c r="C4119" s="13" t="n">
        <f aca="false">IFERROR(B4119/$F4119,"")</f>
        <v>0.555555555555556</v>
      </c>
      <c r="D4119" s="12" t="n">
        <f aca="false">COUNTIFS(Cleaned!$C$2:$C$125,4,Cleaned!GQ$2:GQ$125,2)</f>
        <v>4</v>
      </c>
      <c r="E4119" s="13" t="n">
        <f aca="false">IFERROR(D4119/$F4119,"")</f>
        <v>0.444444444444444</v>
      </c>
      <c r="F4119" s="12" t="n">
        <f aca="false">B4119+D4119</f>
        <v>9</v>
      </c>
    </row>
    <row r="4120" customFormat="false" ht="15" hidden="false" customHeight="false" outlineLevel="0" collapsed="false">
      <c r="A4120" s="12" t="s">
        <v>702</v>
      </c>
      <c r="B4120" s="12" t="n">
        <f aca="false">COUNTIFS(Cleaned!$C$2:$C$125,5,Cleaned!GQ$2:GQ$125,1)</f>
        <v>5</v>
      </c>
      <c r="C4120" s="13" t="n">
        <f aca="false">IFERROR(B4120/$F4120,"")</f>
        <v>0.3125</v>
      </c>
      <c r="D4120" s="12" t="n">
        <f aca="false">COUNTIFS(Cleaned!$C$2:$C$125,5,Cleaned!GQ$2:GQ$125,2)</f>
        <v>11</v>
      </c>
      <c r="E4120" s="13" t="n">
        <f aca="false">IFERROR(D4120/$F4120,"")</f>
        <v>0.6875</v>
      </c>
      <c r="F4120" s="12" t="n">
        <f aca="false">B4120+D4120</f>
        <v>16</v>
      </c>
    </row>
    <row r="4121" customFormat="false" ht="15" hidden="false" customHeight="false" outlineLevel="0" collapsed="false">
      <c r="A4121" s="11" t="s">
        <v>703</v>
      </c>
      <c r="B4121" s="11" t="n">
        <f aca="false">SUM(B4116:B4120)</f>
        <v>12</v>
      </c>
      <c r="C4121" s="14" t="n">
        <f aca="false">IFERROR(B4121/$F4121,"")</f>
        <v>0.285714285714286</v>
      </c>
      <c r="D4121" s="11" t="n">
        <f aca="false">SUM(D4116:D4120)</f>
        <v>30</v>
      </c>
      <c r="E4121" s="14" t="n">
        <f aca="false">IFERROR(D4121/$F4121,"")</f>
        <v>0.714285714285714</v>
      </c>
      <c r="F4121" s="11" t="n">
        <f aca="false">SUM(F4116:F4120)</f>
        <v>42</v>
      </c>
    </row>
    <row r="4122" customFormat="false" ht="15" hidden="false" customHeight="false" outlineLevel="0" collapsed="false">
      <c r="A4122" s="11" t="s">
        <v>3</v>
      </c>
    </row>
    <row r="4123" customFormat="false" ht="15" hidden="false" customHeight="false" outlineLevel="0" collapsed="false">
      <c r="A4123" s="12" t="s">
        <v>704</v>
      </c>
      <c r="B4123" s="12" t="n">
        <f aca="false">COUNTIFS(Cleaned!$D$2:$D$125,1,Cleaned!GQ$2:GQ$125,1)</f>
        <v>0</v>
      </c>
      <c r="C4123" s="13" t="n">
        <f aca="false">IFERROR(B4123/$F4123,"")</f>
        <v>0</v>
      </c>
      <c r="D4123" s="12" t="n">
        <f aca="false">COUNTIFS(Cleaned!$D$2:$D$125,1,Cleaned!GQ$2:GQ$125,2)</f>
        <v>7</v>
      </c>
      <c r="E4123" s="13" t="n">
        <f aca="false">IFERROR(D4123/$F4123,"")</f>
        <v>1</v>
      </c>
      <c r="F4123" s="12" t="n">
        <f aca="false">B4123+D4123</f>
        <v>7</v>
      </c>
    </row>
    <row r="4124" customFormat="false" ht="15" hidden="false" customHeight="false" outlineLevel="0" collapsed="false">
      <c r="A4124" s="12" t="s">
        <v>705</v>
      </c>
      <c r="B4124" s="12" t="n">
        <f aca="false">COUNTIFS(Cleaned!$D$2:$D$125,2,Cleaned!GQ$2:GQ$125,1)</f>
        <v>2</v>
      </c>
      <c r="C4124" s="13" t="n">
        <f aca="false">IFERROR(B4124/$F4124,"")</f>
        <v>0.222222222222222</v>
      </c>
      <c r="D4124" s="12" t="n">
        <f aca="false">COUNTIFS(Cleaned!$D$2:$D$125,2,Cleaned!GQ$2:GQ$125,2)</f>
        <v>7</v>
      </c>
      <c r="E4124" s="13" t="n">
        <f aca="false">IFERROR(D4124/$F4124,"")</f>
        <v>0.777777777777778</v>
      </c>
      <c r="F4124" s="12" t="n">
        <f aca="false">B4124+D4124</f>
        <v>9</v>
      </c>
    </row>
    <row r="4125" customFormat="false" ht="15" hidden="false" customHeight="false" outlineLevel="0" collapsed="false">
      <c r="A4125" s="12" t="s">
        <v>706</v>
      </c>
      <c r="B4125" s="12" t="n">
        <f aca="false">COUNTIFS(Cleaned!$D$2:$D$125,3,Cleaned!GQ$2:GQ$125,1)</f>
        <v>1</v>
      </c>
      <c r="C4125" s="13" t="n">
        <f aca="false">IFERROR(B4125/$F4125,"")</f>
        <v>0.2</v>
      </c>
      <c r="D4125" s="12" t="n">
        <f aca="false">COUNTIFS(Cleaned!$D$2:$D$125,3,Cleaned!GQ$2:GQ$125,2)</f>
        <v>4</v>
      </c>
      <c r="E4125" s="13" t="n">
        <f aca="false">IFERROR(D4125/$F4125,"")</f>
        <v>0.8</v>
      </c>
      <c r="F4125" s="12" t="n">
        <f aca="false">B4125+D4125</f>
        <v>5</v>
      </c>
    </row>
    <row r="4126" customFormat="false" ht="15" hidden="false" customHeight="false" outlineLevel="0" collapsed="false">
      <c r="A4126" s="12" t="s">
        <v>707</v>
      </c>
      <c r="B4126" s="12" t="n">
        <f aca="false">COUNTIFS(Cleaned!$D$2:$D$125,4,Cleaned!GQ$2:GQ$125,1)</f>
        <v>3</v>
      </c>
      <c r="C4126" s="13" t="n">
        <f aca="false">IFERROR(B4126/$F4126,"")</f>
        <v>0.75</v>
      </c>
      <c r="D4126" s="12" t="n">
        <f aca="false">COUNTIFS(Cleaned!$D$2:$D$125,4,Cleaned!GQ$2:GQ$125,2)</f>
        <v>1</v>
      </c>
      <c r="E4126" s="13" t="n">
        <f aca="false">IFERROR(D4126/$F4126,"")</f>
        <v>0.25</v>
      </c>
      <c r="F4126" s="12" t="n">
        <f aca="false">B4126+D4126</f>
        <v>4</v>
      </c>
    </row>
    <row r="4127" customFormat="false" ht="15" hidden="false" customHeight="false" outlineLevel="0" collapsed="false">
      <c r="A4127" s="12" t="s">
        <v>708</v>
      </c>
      <c r="B4127" s="12" t="n">
        <f aca="false">COUNTIFS(Cleaned!$D$2:$D$125,5,Cleaned!GQ$2:GQ$125,1)</f>
        <v>1</v>
      </c>
      <c r="C4127" s="13" t="n">
        <f aca="false">IFERROR(B4127/$F4127,"")</f>
        <v>1</v>
      </c>
      <c r="D4127" s="12" t="n">
        <f aca="false">COUNTIFS(Cleaned!$D$2:$D$125,5,Cleaned!GQ$2:GQ$125,2)</f>
        <v>0</v>
      </c>
      <c r="E4127" s="13" t="n">
        <f aca="false">IFERROR(D4127/$F4127,"")</f>
        <v>0</v>
      </c>
      <c r="F4127" s="12" t="n">
        <f aca="false">B4127+D4127</f>
        <v>1</v>
      </c>
    </row>
    <row r="4128" customFormat="false" ht="15" hidden="false" customHeight="false" outlineLevel="0" collapsed="false">
      <c r="A4128" s="12" t="s">
        <v>709</v>
      </c>
      <c r="B4128" s="12" t="n">
        <f aca="false">COUNTIFS(Cleaned!$D$2:$D$125,6,Cleaned!GQ$2:GQ$125,1)</f>
        <v>1</v>
      </c>
      <c r="C4128" s="13" t="n">
        <f aca="false">IFERROR(B4128/$F4128,"")</f>
        <v>0.5</v>
      </c>
      <c r="D4128" s="12" t="n">
        <f aca="false">COUNTIFS(Cleaned!$D$2:$D$125,6,Cleaned!GQ$2:GQ$125,2)</f>
        <v>1</v>
      </c>
      <c r="E4128" s="13" t="n">
        <f aca="false">IFERROR(D4128/$F4128,"")</f>
        <v>0.5</v>
      </c>
      <c r="F4128" s="12" t="n">
        <f aca="false">B4128+D4128</f>
        <v>2</v>
      </c>
    </row>
    <row r="4129" customFormat="false" ht="15" hidden="false" customHeight="false" outlineLevel="0" collapsed="false">
      <c r="A4129" s="12" t="s">
        <v>710</v>
      </c>
      <c r="B4129" s="12" t="n">
        <f aca="false">COUNTIFS(Cleaned!$D$2:$D$125,7,Cleaned!GQ$2:GQ$125,1)</f>
        <v>3</v>
      </c>
      <c r="C4129" s="13" t="n">
        <f aca="false">IFERROR(B4129/$F4129,"")</f>
        <v>0.6</v>
      </c>
      <c r="D4129" s="12" t="n">
        <f aca="false">COUNTIFS(Cleaned!$D$2:$D$125,7,Cleaned!GQ$2:GQ$125,2)</f>
        <v>2</v>
      </c>
      <c r="E4129" s="13" t="n">
        <f aca="false">IFERROR(D4129/$F4129,"")</f>
        <v>0.4</v>
      </c>
      <c r="F4129" s="12" t="n">
        <f aca="false">B4129+D4129</f>
        <v>5</v>
      </c>
    </row>
    <row r="4130" customFormat="false" ht="15" hidden="false" customHeight="false" outlineLevel="0" collapsed="false">
      <c r="A4130" s="12" t="s">
        <v>711</v>
      </c>
      <c r="B4130" s="12" t="n">
        <f aca="false">COUNTIFS(Cleaned!$D$2:$D$125,8,Cleaned!GQ$2:GQ$125,1)</f>
        <v>0</v>
      </c>
      <c r="C4130" s="13" t="n">
        <f aca="false">IFERROR(B4130/$F4130,"")</f>
        <v>0</v>
      </c>
      <c r="D4130" s="12" t="n">
        <f aca="false">COUNTIFS(Cleaned!$D$2:$D$125,8,Cleaned!GQ$2:GQ$125,2)</f>
        <v>1</v>
      </c>
      <c r="E4130" s="13" t="n">
        <f aca="false">IFERROR(D4130/$F4130,"")</f>
        <v>1</v>
      </c>
      <c r="F4130" s="12" t="n">
        <f aca="false">B4130+D4130</f>
        <v>1</v>
      </c>
    </row>
    <row r="4131" customFormat="false" ht="15" hidden="false" customHeight="false" outlineLevel="0" collapsed="false">
      <c r="A4131" s="12" t="s">
        <v>712</v>
      </c>
      <c r="B4131" s="12" t="n">
        <f aca="false">COUNTIFS(Cleaned!$D$2:$D$125,9,Cleaned!GQ$2:GQ$125,1)</f>
        <v>0</v>
      </c>
      <c r="C4131" s="13" t="n">
        <f aca="false">IFERROR(B4131/$F4131,"")</f>
        <v>0</v>
      </c>
      <c r="D4131" s="12" t="n">
        <f aca="false">COUNTIFS(Cleaned!$D$2:$D$125,9,Cleaned!GQ$2:GQ$125,2)</f>
        <v>1</v>
      </c>
      <c r="E4131" s="13" t="n">
        <f aca="false">IFERROR(D4131/$F4131,"")</f>
        <v>1</v>
      </c>
      <c r="F4131" s="12" t="n">
        <f aca="false">B4131+D4131</f>
        <v>1</v>
      </c>
    </row>
    <row r="4132" customFormat="false" ht="15" hidden="false" customHeight="false" outlineLevel="0" collapsed="false">
      <c r="A4132" s="12" t="s">
        <v>713</v>
      </c>
      <c r="B4132" s="12" t="n">
        <f aca="false">COUNTIFS(Cleaned!$D$2:$D$125,10,Cleaned!GQ$2:GQ$125,1)</f>
        <v>0</v>
      </c>
      <c r="C4132" s="13" t="str">
        <f aca="false">IFERROR(B4132/$F4132,"")</f>
        <v/>
      </c>
      <c r="D4132" s="12" t="n">
        <f aca="false">COUNTIFS(Cleaned!$D$2:$D$125,10,Cleaned!GQ$2:GQ$125,2)</f>
        <v>0</v>
      </c>
      <c r="E4132" s="13" t="str">
        <f aca="false">IFERROR(D4132/$F4132,"")</f>
        <v/>
      </c>
      <c r="F4132" s="12" t="n">
        <f aca="false">B4132+D4132</f>
        <v>0</v>
      </c>
    </row>
    <row r="4133" customFormat="false" ht="15" hidden="false" customHeight="false" outlineLevel="0" collapsed="false">
      <c r="A4133" s="12" t="s">
        <v>714</v>
      </c>
      <c r="B4133" s="12" t="n">
        <f aca="false">COUNTIFS(Cleaned!$D$2:$D$125,11,Cleaned!GQ$2:GQ$125,1)</f>
        <v>1</v>
      </c>
      <c r="C4133" s="13" t="n">
        <f aca="false">IFERROR(B4133/$F4133,"")</f>
        <v>0.25</v>
      </c>
      <c r="D4133" s="12" t="n">
        <f aca="false">COUNTIFS(Cleaned!$D$2:$D$125,11,Cleaned!GQ$2:GQ$125,2)</f>
        <v>3</v>
      </c>
      <c r="E4133" s="13" t="n">
        <f aca="false">IFERROR(D4133/$F4133,"")</f>
        <v>0.75</v>
      </c>
      <c r="F4133" s="12" t="n">
        <f aca="false">B4133+D4133</f>
        <v>4</v>
      </c>
    </row>
    <row r="4134" customFormat="false" ht="15" hidden="false" customHeight="false" outlineLevel="0" collapsed="false">
      <c r="A4134" s="12" t="s">
        <v>715</v>
      </c>
      <c r="B4134" s="12" t="n">
        <f aca="false">COUNTIFS(Cleaned!$D$2:$D$125,12,Cleaned!GQ$2:GQ$125,1)</f>
        <v>0</v>
      </c>
      <c r="C4134" s="13" t="n">
        <f aca="false">IFERROR(B4134/$F4134,"")</f>
        <v>0</v>
      </c>
      <c r="D4134" s="12" t="n">
        <f aca="false">COUNTIFS(Cleaned!$D$2:$D$125,12,Cleaned!GQ$2:GQ$125,2)</f>
        <v>3</v>
      </c>
      <c r="E4134" s="13" t="n">
        <f aca="false">IFERROR(D4134/$F4134,"")</f>
        <v>1</v>
      </c>
      <c r="F4134" s="12" t="n">
        <f aca="false">B4134+D4134</f>
        <v>3</v>
      </c>
    </row>
    <row r="4135" customFormat="false" ht="15" hidden="false" customHeight="false" outlineLevel="0" collapsed="false">
      <c r="A4135" s="11" t="s">
        <v>716</v>
      </c>
      <c r="B4135" s="11" t="n">
        <f aca="false">SUM(B4123:B4134)</f>
        <v>12</v>
      </c>
      <c r="C4135" s="14" t="n">
        <f aca="false">IFERROR(B4135/$F4135,"")</f>
        <v>0.285714285714286</v>
      </c>
      <c r="D4135" s="11" t="n">
        <f aca="false">SUM(D4123:D4134)</f>
        <v>30</v>
      </c>
      <c r="E4135" s="14" t="n">
        <f aca="false">IFERROR(D4135/$F4135,"")</f>
        <v>0.714285714285714</v>
      </c>
      <c r="F4135" s="11" t="n">
        <f aca="false">SUM(F4123:F4134)</f>
        <v>42</v>
      </c>
    </row>
    <row r="4138" customFormat="false" ht="15" hidden="false" customHeight="false" outlineLevel="0" collapsed="false">
      <c r="A4138" s="6" t="s">
        <v>188</v>
      </c>
      <c r="B4138" s="7" t="s">
        <v>955</v>
      </c>
    </row>
    <row r="4139" customFormat="false" ht="15" hidden="false" customHeight="false" outlineLevel="0" collapsed="false">
      <c r="A4139" s="8"/>
      <c r="B4139" s="9" t="s">
        <v>956</v>
      </c>
      <c r="C4139" s="8"/>
      <c r="D4139" s="9" t="s">
        <v>957</v>
      </c>
      <c r="E4139" s="8"/>
      <c r="F4139" s="9" t="s">
        <v>958</v>
      </c>
      <c r="G4139" s="8"/>
      <c r="H4139" s="9" t="s">
        <v>959</v>
      </c>
      <c r="I4139" s="8"/>
      <c r="J4139" s="9" t="s">
        <v>960</v>
      </c>
      <c r="K4139" s="8"/>
      <c r="L4139" s="9" t="s">
        <v>961</v>
      </c>
      <c r="M4139" s="8"/>
      <c r="N4139" s="9" t="s">
        <v>694</v>
      </c>
    </row>
    <row r="4140" customFormat="false" ht="15" hidden="false" customHeight="false" outlineLevel="0" collapsed="false">
      <c r="B4140" s="10" t="s">
        <v>695</v>
      </c>
      <c r="C4140" s="10" t="s">
        <v>696</v>
      </c>
      <c r="D4140" s="10" t="s">
        <v>695</v>
      </c>
      <c r="E4140" s="10" t="s">
        <v>696</v>
      </c>
      <c r="F4140" s="10" t="s">
        <v>695</v>
      </c>
      <c r="G4140" s="10" t="s">
        <v>696</v>
      </c>
      <c r="H4140" s="10" t="s">
        <v>695</v>
      </c>
      <c r="I4140" s="10" t="s">
        <v>696</v>
      </c>
      <c r="J4140" s="10" t="s">
        <v>695</v>
      </c>
      <c r="K4140" s="10" t="s">
        <v>696</v>
      </c>
      <c r="L4140" s="10" t="s">
        <v>695</v>
      </c>
      <c r="M4140" s="10" t="s">
        <v>696</v>
      </c>
    </row>
    <row r="4141" customFormat="false" ht="15" hidden="false" customHeight="false" outlineLevel="0" collapsed="false">
      <c r="A4141" s="11" t="s">
        <v>697</v>
      </c>
    </row>
    <row r="4142" customFormat="false" ht="15" hidden="false" customHeight="false" outlineLevel="0" collapsed="false">
      <c r="A4142" s="12" t="s">
        <v>698</v>
      </c>
      <c r="B4142" s="12" t="n">
        <f aca="false">COUNTIFS(Cleaned!$C$2:$C$125,1,Cleaned!GR$2:GR$125,1)</f>
        <v>0</v>
      </c>
      <c r="C4142" s="13" t="str">
        <f aca="false">IFERROR(B4142/$N4142,"")</f>
        <v/>
      </c>
      <c r="D4142" s="12" t="n">
        <f aca="false">COUNTIFS(Cleaned!$C$2:$C$125,1,Cleaned!GR$2:GR$125,2)</f>
        <v>0</v>
      </c>
      <c r="E4142" s="13" t="str">
        <f aca="false">IFERROR(D4142/$N4142,"")</f>
        <v/>
      </c>
      <c r="F4142" s="12" t="n">
        <f aca="false">COUNTIFS(Cleaned!$C$2:$C$125,1,Cleaned!GR$2:GR$125,3)</f>
        <v>0</v>
      </c>
      <c r="G4142" s="13" t="str">
        <f aca="false">IFERROR(F4142/$N4142,"")</f>
        <v/>
      </c>
      <c r="H4142" s="12" t="n">
        <f aca="false">COUNTIFS(Cleaned!$C$2:$C$125,1,Cleaned!GR$2:GR$125,4)</f>
        <v>0</v>
      </c>
      <c r="I4142" s="13" t="str">
        <f aca="false">IFERROR(H4142/$N4142,"")</f>
        <v/>
      </c>
      <c r="J4142" s="12" t="n">
        <f aca="false">COUNTIFS(Cleaned!$C$2:$C$125,1,Cleaned!GR$2:GR$125,5)</f>
        <v>0</v>
      </c>
      <c r="K4142" s="13" t="str">
        <f aca="false">IFERROR(J4142/$N4142,"")</f>
        <v/>
      </c>
      <c r="L4142" s="12" t="n">
        <f aca="false">COUNTIFS(Cleaned!$C$2:$C$125,1,Cleaned!GR$2:GR$125,6)</f>
        <v>0</v>
      </c>
      <c r="M4142" s="13" t="str">
        <f aca="false">IFERROR(L4142/$N4142,"")</f>
        <v/>
      </c>
      <c r="N4142" s="12" t="n">
        <f aca="false">B4142+D4142+F4142+H4142+J4142+L4142</f>
        <v>0</v>
      </c>
    </row>
    <row r="4143" customFormat="false" ht="15" hidden="false" customHeight="false" outlineLevel="0" collapsed="false">
      <c r="A4143" s="12" t="s">
        <v>699</v>
      </c>
      <c r="B4143" s="12" t="n">
        <f aca="false">COUNTIFS(Cleaned!$C$2:$C$125,2,Cleaned!GR$2:GR$125,1)</f>
        <v>0</v>
      </c>
      <c r="C4143" s="13" t="str">
        <f aca="false">IFERROR(B4143/$N4143,"")</f>
        <v/>
      </c>
      <c r="D4143" s="12" t="n">
        <f aca="false">COUNTIFS(Cleaned!$C$2:$C$125,2,Cleaned!GR$2:GR$125,2)</f>
        <v>0</v>
      </c>
      <c r="E4143" s="13" t="str">
        <f aca="false">IFERROR(D4143/$N4143,"")</f>
        <v/>
      </c>
      <c r="F4143" s="12" t="n">
        <f aca="false">COUNTIFS(Cleaned!$C$2:$C$125,2,Cleaned!GR$2:GR$125,3)</f>
        <v>0</v>
      </c>
      <c r="G4143" s="13" t="str">
        <f aca="false">IFERROR(F4143/$N4143,"")</f>
        <v/>
      </c>
      <c r="H4143" s="12" t="n">
        <f aca="false">COUNTIFS(Cleaned!$C$2:$C$125,2,Cleaned!GR$2:GR$125,4)</f>
        <v>0</v>
      </c>
      <c r="I4143" s="13" t="str">
        <f aca="false">IFERROR(H4143/$N4143,"")</f>
        <v/>
      </c>
      <c r="J4143" s="12" t="n">
        <f aca="false">COUNTIFS(Cleaned!$C$2:$C$125,2,Cleaned!GR$2:GR$125,5)</f>
        <v>0</v>
      </c>
      <c r="K4143" s="13" t="str">
        <f aca="false">IFERROR(J4143/$N4143,"")</f>
        <v/>
      </c>
      <c r="L4143" s="12" t="n">
        <f aca="false">COUNTIFS(Cleaned!$C$2:$C$125,2,Cleaned!GR$2:GR$125,6)</f>
        <v>0</v>
      </c>
      <c r="M4143" s="13" t="str">
        <f aca="false">IFERROR(L4143/$N4143,"")</f>
        <v/>
      </c>
      <c r="N4143" s="12" t="n">
        <f aca="false">B4143+D4143+F4143+H4143+J4143+L4143</f>
        <v>0</v>
      </c>
    </row>
    <row r="4144" customFormat="false" ht="15" hidden="false" customHeight="false" outlineLevel="0" collapsed="false">
      <c r="A4144" s="12" t="s">
        <v>700</v>
      </c>
      <c r="B4144" s="12" t="n">
        <f aca="false">COUNTIFS(Cleaned!$C$2:$C$125,3,Cleaned!GR$2:GR$125,1)</f>
        <v>1</v>
      </c>
      <c r="C4144" s="13" t="n">
        <f aca="false">IFERROR(B4144/$N4144,"")</f>
        <v>0.5</v>
      </c>
      <c r="D4144" s="12" t="n">
        <f aca="false">COUNTIFS(Cleaned!$C$2:$C$125,3,Cleaned!GR$2:GR$125,2)</f>
        <v>0</v>
      </c>
      <c r="E4144" s="13" t="n">
        <f aca="false">IFERROR(D4144/$N4144,"")</f>
        <v>0</v>
      </c>
      <c r="F4144" s="12" t="n">
        <f aca="false">COUNTIFS(Cleaned!$C$2:$C$125,3,Cleaned!GR$2:GR$125,3)</f>
        <v>1</v>
      </c>
      <c r="G4144" s="13" t="n">
        <f aca="false">IFERROR(F4144/$N4144,"")</f>
        <v>0.5</v>
      </c>
      <c r="H4144" s="12" t="n">
        <f aca="false">COUNTIFS(Cleaned!$C$2:$C$125,3,Cleaned!GR$2:GR$125,4)</f>
        <v>0</v>
      </c>
      <c r="I4144" s="13" t="n">
        <f aca="false">IFERROR(H4144/$N4144,"")</f>
        <v>0</v>
      </c>
      <c r="J4144" s="12" t="n">
        <f aca="false">COUNTIFS(Cleaned!$C$2:$C$125,3,Cleaned!GR$2:GR$125,5)</f>
        <v>0</v>
      </c>
      <c r="K4144" s="13" t="n">
        <f aca="false">IFERROR(J4144/$N4144,"")</f>
        <v>0</v>
      </c>
      <c r="L4144" s="12" t="n">
        <f aca="false">COUNTIFS(Cleaned!$C$2:$C$125,3,Cleaned!GR$2:GR$125,6)</f>
        <v>0</v>
      </c>
      <c r="M4144" s="13" t="n">
        <f aca="false">IFERROR(L4144/$N4144,"")</f>
        <v>0</v>
      </c>
      <c r="N4144" s="12" t="n">
        <f aca="false">B4144+D4144+F4144+H4144+J4144+L4144</f>
        <v>2</v>
      </c>
    </row>
    <row r="4145" customFormat="false" ht="15" hidden="false" customHeight="false" outlineLevel="0" collapsed="false">
      <c r="A4145" s="12" t="s">
        <v>701</v>
      </c>
      <c r="B4145" s="12" t="n">
        <f aca="false">COUNTIFS(Cleaned!$C$2:$C$125,4,Cleaned!GR$2:GR$125,1)</f>
        <v>3</v>
      </c>
      <c r="C4145" s="13" t="n">
        <f aca="false">IFERROR(B4145/$N4145,"")</f>
        <v>0.6</v>
      </c>
      <c r="D4145" s="12" t="n">
        <f aca="false">COUNTIFS(Cleaned!$C$2:$C$125,4,Cleaned!GR$2:GR$125,2)</f>
        <v>0</v>
      </c>
      <c r="E4145" s="13" t="n">
        <f aca="false">IFERROR(D4145/$N4145,"")</f>
        <v>0</v>
      </c>
      <c r="F4145" s="12" t="n">
        <f aca="false">COUNTIFS(Cleaned!$C$2:$C$125,4,Cleaned!GR$2:GR$125,3)</f>
        <v>0</v>
      </c>
      <c r="G4145" s="13" t="n">
        <f aca="false">IFERROR(F4145/$N4145,"")</f>
        <v>0</v>
      </c>
      <c r="H4145" s="12" t="n">
        <f aca="false">COUNTIFS(Cleaned!$C$2:$C$125,4,Cleaned!GR$2:GR$125,4)</f>
        <v>1</v>
      </c>
      <c r="I4145" s="13" t="n">
        <f aca="false">IFERROR(H4145/$N4145,"")</f>
        <v>0.2</v>
      </c>
      <c r="J4145" s="12" t="n">
        <f aca="false">COUNTIFS(Cleaned!$C$2:$C$125,4,Cleaned!GR$2:GR$125,5)</f>
        <v>0</v>
      </c>
      <c r="K4145" s="13" t="n">
        <f aca="false">IFERROR(J4145/$N4145,"")</f>
        <v>0</v>
      </c>
      <c r="L4145" s="12" t="n">
        <f aca="false">COUNTIFS(Cleaned!$C$2:$C$125,4,Cleaned!GR$2:GR$125,6)</f>
        <v>1</v>
      </c>
      <c r="M4145" s="13" t="n">
        <f aca="false">IFERROR(L4145/$N4145,"")</f>
        <v>0.2</v>
      </c>
      <c r="N4145" s="12" t="n">
        <f aca="false">B4145+D4145+F4145+H4145+J4145+L4145</f>
        <v>5</v>
      </c>
    </row>
    <row r="4146" customFormat="false" ht="15" hidden="false" customHeight="false" outlineLevel="0" collapsed="false">
      <c r="A4146" s="12" t="s">
        <v>702</v>
      </c>
      <c r="B4146" s="12" t="n">
        <f aca="false">COUNTIFS(Cleaned!$C$2:$C$125,5,Cleaned!GR$2:GR$125,1)</f>
        <v>3</v>
      </c>
      <c r="C4146" s="13" t="n">
        <f aca="false">IFERROR(B4146/$N4146,"")</f>
        <v>0.6</v>
      </c>
      <c r="D4146" s="12" t="n">
        <f aca="false">COUNTIFS(Cleaned!$C$2:$C$125,5,Cleaned!GR$2:GR$125,2)</f>
        <v>1</v>
      </c>
      <c r="E4146" s="13" t="n">
        <f aca="false">IFERROR(D4146/$N4146,"")</f>
        <v>0.2</v>
      </c>
      <c r="F4146" s="12" t="n">
        <f aca="false">COUNTIFS(Cleaned!$C$2:$C$125,5,Cleaned!GR$2:GR$125,3)</f>
        <v>0</v>
      </c>
      <c r="G4146" s="13" t="n">
        <f aca="false">IFERROR(F4146/$N4146,"")</f>
        <v>0</v>
      </c>
      <c r="H4146" s="12" t="n">
        <f aca="false">COUNTIFS(Cleaned!$C$2:$C$125,5,Cleaned!GR$2:GR$125,4)</f>
        <v>0</v>
      </c>
      <c r="I4146" s="13" t="n">
        <f aca="false">IFERROR(H4146/$N4146,"")</f>
        <v>0</v>
      </c>
      <c r="J4146" s="12" t="n">
        <f aca="false">COUNTIFS(Cleaned!$C$2:$C$125,5,Cleaned!GR$2:GR$125,5)</f>
        <v>1</v>
      </c>
      <c r="K4146" s="13" t="n">
        <f aca="false">IFERROR(J4146/$N4146,"")</f>
        <v>0.2</v>
      </c>
      <c r="L4146" s="12" t="n">
        <f aca="false">COUNTIFS(Cleaned!$C$2:$C$125,5,Cleaned!GR$2:GR$125,6)</f>
        <v>0</v>
      </c>
      <c r="M4146" s="13" t="n">
        <f aca="false">IFERROR(L4146/$N4146,"")</f>
        <v>0</v>
      </c>
      <c r="N4146" s="12" t="n">
        <f aca="false">B4146+D4146+F4146+H4146+J4146+L4146</f>
        <v>5</v>
      </c>
    </row>
    <row r="4147" customFormat="false" ht="15" hidden="false" customHeight="false" outlineLevel="0" collapsed="false">
      <c r="A4147" s="11" t="s">
        <v>703</v>
      </c>
      <c r="B4147" s="11" t="n">
        <f aca="false">SUM(B4142:B4146)</f>
        <v>7</v>
      </c>
      <c r="C4147" s="14" t="n">
        <f aca="false">IFERROR(B4147/$N4147,"")</f>
        <v>0.583333333333333</v>
      </c>
      <c r="D4147" s="11" t="n">
        <f aca="false">SUM(D4142:D4146)</f>
        <v>1</v>
      </c>
      <c r="E4147" s="14" t="n">
        <f aca="false">IFERROR(D4147/$N4147,"")</f>
        <v>0.0833333333333333</v>
      </c>
      <c r="F4147" s="11" t="n">
        <f aca="false">SUM(F4142:F4146)</f>
        <v>1</v>
      </c>
      <c r="G4147" s="14" t="n">
        <f aca="false">IFERROR(F4147/$N4147,"")</f>
        <v>0.0833333333333333</v>
      </c>
      <c r="H4147" s="11" t="n">
        <f aca="false">SUM(H4142:H4146)</f>
        <v>1</v>
      </c>
      <c r="I4147" s="14" t="n">
        <f aca="false">IFERROR(H4147/$N4147,"")</f>
        <v>0.0833333333333333</v>
      </c>
      <c r="J4147" s="11" t="n">
        <f aca="false">SUM(J4142:J4146)</f>
        <v>1</v>
      </c>
      <c r="K4147" s="14" t="n">
        <f aca="false">IFERROR(J4147/$N4147,"")</f>
        <v>0.0833333333333333</v>
      </c>
      <c r="L4147" s="11" t="n">
        <f aca="false">SUM(L4142:L4146)</f>
        <v>1</v>
      </c>
      <c r="M4147" s="14" t="n">
        <f aca="false">IFERROR(L4147/$N4147,"")</f>
        <v>0.0833333333333333</v>
      </c>
      <c r="N4147" s="11" t="n">
        <f aca="false">SUM(N4142:N4146)</f>
        <v>12</v>
      </c>
    </row>
    <row r="4148" customFormat="false" ht="15" hidden="false" customHeight="false" outlineLevel="0" collapsed="false">
      <c r="A4148" s="11" t="s">
        <v>3</v>
      </c>
    </row>
    <row r="4149" customFormat="false" ht="15" hidden="false" customHeight="false" outlineLevel="0" collapsed="false">
      <c r="A4149" s="12" t="s">
        <v>704</v>
      </c>
      <c r="B4149" s="12" t="n">
        <f aca="false">COUNTIFS(Cleaned!$D$2:$D$125,1,Cleaned!GR$2:GR$125,1)</f>
        <v>0</v>
      </c>
      <c r="C4149" s="13" t="str">
        <f aca="false">IFERROR(B4149/$N4149,"")</f>
        <v/>
      </c>
      <c r="D4149" s="12" t="n">
        <f aca="false">COUNTIFS(Cleaned!$D$2:$D$125,1,Cleaned!GR$2:GR$125,2)</f>
        <v>0</v>
      </c>
      <c r="E4149" s="13" t="str">
        <f aca="false">IFERROR(D4149/$N4149,"")</f>
        <v/>
      </c>
      <c r="F4149" s="12" t="n">
        <f aca="false">COUNTIFS(Cleaned!$D$2:$D$125,1,Cleaned!GR$2:GR$125,3)</f>
        <v>0</v>
      </c>
      <c r="G4149" s="13" t="str">
        <f aca="false">IFERROR(F4149/$N4149,"")</f>
        <v/>
      </c>
      <c r="H4149" s="12" t="n">
        <f aca="false">COUNTIFS(Cleaned!$D$2:$D$125,1,Cleaned!GR$2:GR$125,4)</f>
        <v>0</v>
      </c>
      <c r="I4149" s="13" t="str">
        <f aca="false">IFERROR(H4149/$N4149,"")</f>
        <v/>
      </c>
      <c r="J4149" s="12" t="n">
        <f aca="false">COUNTIFS(Cleaned!$D$2:$D$125,1,Cleaned!GR$2:GR$125,5)</f>
        <v>0</v>
      </c>
      <c r="K4149" s="13" t="str">
        <f aca="false">IFERROR(J4149/$N4149,"")</f>
        <v/>
      </c>
      <c r="L4149" s="12" t="n">
        <f aca="false">COUNTIFS(Cleaned!$D$2:$D$125,1,Cleaned!GR$2:GR$125,6)</f>
        <v>0</v>
      </c>
      <c r="M4149" s="13" t="str">
        <f aca="false">IFERROR(L4149/$N4149,"")</f>
        <v/>
      </c>
      <c r="N4149" s="12" t="n">
        <f aca="false">B4149+D4149+F4149+H4149+J4149+L4149</f>
        <v>0</v>
      </c>
    </row>
    <row r="4150" customFormat="false" ht="15" hidden="false" customHeight="false" outlineLevel="0" collapsed="false">
      <c r="A4150" s="12" t="s">
        <v>705</v>
      </c>
      <c r="B4150" s="12" t="n">
        <f aca="false">COUNTIFS(Cleaned!$D$2:$D$125,2,Cleaned!GR$2:GR$125,1)</f>
        <v>1</v>
      </c>
      <c r="C4150" s="13" t="n">
        <f aca="false">IFERROR(B4150/$N4150,"")</f>
        <v>0.5</v>
      </c>
      <c r="D4150" s="12" t="n">
        <f aca="false">COUNTIFS(Cleaned!$D$2:$D$125,2,Cleaned!GR$2:GR$125,2)</f>
        <v>0</v>
      </c>
      <c r="E4150" s="13" t="n">
        <f aca="false">IFERROR(D4150/$N4150,"")</f>
        <v>0</v>
      </c>
      <c r="F4150" s="12" t="n">
        <f aca="false">COUNTIFS(Cleaned!$D$2:$D$125,2,Cleaned!GR$2:GR$125,3)</f>
        <v>0</v>
      </c>
      <c r="G4150" s="13" t="n">
        <f aca="false">IFERROR(F4150/$N4150,"")</f>
        <v>0</v>
      </c>
      <c r="H4150" s="12" t="n">
        <f aca="false">COUNTIFS(Cleaned!$D$2:$D$125,2,Cleaned!GR$2:GR$125,4)</f>
        <v>0</v>
      </c>
      <c r="I4150" s="13" t="n">
        <f aca="false">IFERROR(H4150/$N4150,"")</f>
        <v>0</v>
      </c>
      <c r="J4150" s="12" t="n">
        <f aca="false">COUNTIFS(Cleaned!$D$2:$D$125,2,Cleaned!GR$2:GR$125,5)</f>
        <v>1</v>
      </c>
      <c r="K4150" s="13" t="n">
        <f aca="false">IFERROR(J4150/$N4150,"")</f>
        <v>0.5</v>
      </c>
      <c r="L4150" s="12" t="n">
        <f aca="false">COUNTIFS(Cleaned!$D$2:$D$125,2,Cleaned!GR$2:GR$125,6)</f>
        <v>0</v>
      </c>
      <c r="M4150" s="13" t="n">
        <f aca="false">IFERROR(L4150/$N4150,"")</f>
        <v>0</v>
      </c>
      <c r="N4150" s="12" t="n">
        <f aca="false">B4150+D4150+F4150+H4150+J4150+L4150</f>
        <v>2</v>
      </c>
    </row>
    <row r="4151" customFormat="false" ht="15" hidden="false" customHeight="false" outlineLevel="0" collapsed="false">
      <c r="A4151" s="12" t="s">
        <v>706</v>
      </c>
      <c r="B4151" s="12" t="n">
        <f aca="false">COUNTIFS(Cleaned!$D$2:$D$125,3,Cleaned!GR$2:GR$125,1)</f>
        <v>1</v>
      </c>
      <c r="C4151" s="13" t="n">
        <f aca="false">IFERROR(B4151/$N4151,"")</f>
        <v>1</v>
      </c>
      <c r="D4151" s="12" t="n">
        <f aca="false">COUNTIFS(Cleaned!$D$2:$D$125,3,Cleaned!GR$2:GR$125,2)</f>
        <v>0</v>
      </c>
      <c r="E4151" s="13" t="n">
        <f aca="false">IFERROR(D4151/$N4151,"")</f>
        <v>0</v>
      </c>
      <c r="F4151" s="12" t="n">
        <f aca="false">COUNTIFS(Cleaned!$D$2:$D$125,3,Cleaned!GR$2:GR$125,3)</f>
        <v>0</v>
      </c>
      <c r="G4151" s="13" t="n">
        <f aca="false">IFERROR(F4151/$N4151,"")</f>
        <v>0</v>
      </c>
      <c r="H4151" s="12" t="n">
        <f aca="false">COUNTIFS(Cleaned!$D$2:$D$125,3,Cleaned!GR$2:GR$125,4)</f>
        <v>0</v>
      </c>
      <c r="I4151" s="13" t="n">
        <f aca="false">IFERROR(H4151/$N4151,"")</f>
        <v>0</v>
      </c>
      <c r="J4151" s="12" t="n">
        <f aca="false">COUNTIFS(Cleaned!$D$2:$D$125,3,Cleaned!GR$2:GR$125,5)</f>
        <v>0</v>
      </c>
      <c r="K4151" s="13" t="n">
        <f aca="false">IFERROR(J4151/$N4151,"")</f>
        <v>0</v>
      </c>
      <c r="L4151" s="12" t="n">
        <f aca="false">COUNTIFS(Cleaned!$D$2:$D$125,3,Cleaned!GR$2:GR$125,6)</f>
        <v>0</v>
      </c>
      <c r="M4151" s="13" t="n">
        <f aca="false">IFERROR(L4151/$N4151,"")</f>
        <v>0</v>
      </c>
      <c r="N4151" s="12" t="n">
        <f aca="false">B4151+D4151+F4151+H4151+J4151+L4151</f>
        <v>1</v>
      </c>
    </row>
    <row r="4152" customFormat="false" ht="15" hidden="false" customHeight="false" outlineLevel="0" collapsed="false">
      <c r="A4152" s="12" t="s">
        <v>707</v>
      </c>
      <c r="B4152" s="12" t="n">
        <f aca="false">COUNTIFS(Cleaned!$D$2:$D$125,4,Cleaned!GR$2:GR$125,1)</f>
        <v>2</v>
      </c>
      <c r="C4152" s="13" t="n">
        <f aca="false">IFERROR(B4152/$N4152,"")</f>
        <v>0.666666666666667</v>
      </c>
      <c r="D4152" s="12" t="n">
        <f aca="false">COUNTIFS(Cleaned!$D$2:$D$125,4,Cleaned!GR$2:GR$125,2)</f>
        <v>0</v>
      </c>
      <c r="E4152" s="13" t="n">
        <f aca="false">IFERROR(D4152/$N4152,"")</f>
        <v>0</v>
      </c>
      <c r="F4152" s="12" t="n">
        <f aca="false">COUNTIFS(Cleaned!$D$2:$D$125,4,Cleaned!GR$2:GR$125,3)</f>
        <v>1</v>
      </c>
      <c r="G4152" s="13" t="n">
        <f aca="false">IFERROR(F4152/$N4152,"")</f>
        <v>0.333333333333333</v>
      </c>
      <c r="H4152" s="12" t="n">
        <f aca="false">COUNTIFS(Cleaned!$D$2:$D$125,4,Cleaned!GR$2:GR$125,4)</f>
        <v>0</v>
      </c>
      <c r="I4152" s="13" t="n">
        <f aca="false">IFERROR(H4152/$N4152,"")</f>
        <v>0</v>
      </c>
      <c r="J4152" s="12" t="n">
        <f aca="false">COUNTIFS(Cleaned!$D$2:$D$125,4,Cleaned!GR$2:GR$125,5)</f>
        <v>0</v>
      </c>
      <c r="K4152" s="13" t="n">
        <f aca="false">IFERROR(J4152/$N4152,"")</f>
        <v>0</v>
      </c>
      <c r="L4152" s="12" t="n">
        <f aca="false">COUNTIFS(Cleaned!$D$2:$D$125,4,Cleaned!GR$2:GR$125,6)</f>
        <v>0</v>
      </c>
      <c r="M4152" s="13" t="n">
        <f aca="false">IFERROR(L4152/$N4152,"")</f>
        <v>0</v>
      </c>
      <c r="N4152" s="12" t="n">
        <f aca="false">B4152+D4152+F4152+H4152+J4152+L4152</f>
        <v>3</v>
      </c>
    </row>
    <row r="4153" customFormat="false" ht="15" hidden="false" customHeight="false" outlineLevel="0" collapsed="false">
      <c r="A4153" s="12" t="s">
        <v>708</v>
      </c>
      <c r="B4153" s="12" t="n">
        <f aca="false">COUNTIFS(Cleaned!$D$2:$D$125,5,Cleaned!GR$2:GR$125,1)</f>
        <v>0</v>
      </c>
      <c r="C4153" s="13" t="n">
        <f aca="false">IFERROR(B4153/$N4153,"")</f>
        <v>0</v>
      </c>
      <c r="D4153" s="12" t="n">
        <f aca="false">COUNTIFS(Cleaned!$D$2:$D$125,5,Cleaned!GR$2:GR$125,2)</f>
        <v>0</v>
      </c>
      <c r="E4153" s="13" t="n">
        <f aca="false">IFERROR(D4153/$N4153,"")</f>
        <v>0</v>
      </c>
      <c r="F4153" s="12" t="n">
        <f aca="false">COUNTIFS(Cleaned!$D$2:$D$125,5,Cleaned!GR$2:GR$125,3)</f>
        <v>0</v>
      </c>
      <c r="G4153" s="13" t="n">
        <f aca="false">IFERROR(F4153/$N4153,"")</f>
        <v>0</v>
      </c>
      <c r="H4153" s="12" t="n">
        <f aca="false">COUNTIFS(Cleaned!$D$2:$D$125,5,Cleaned!GR$2:GR$125,4)</f>
        <v>1</v>
      </c>
      <c r="I4153" s="13" t="n">
        <f aca="false">IFERROR(H4153/$N4153,"")</f>
        <v>1</v>
      </c>
      <c r="J4153" s="12" t="n">
        <f aca="false">COUNTIFS(Cleaned!$D$2:$D$125,5,Cleaned!GR$2:GR$125,5)</f>
        <v>0</v>
      </c>
      <c r="K4153" s="13" t="n">
        <f aca="false">IFERROR(J4153/$N4153,"")</f>
        <v>0</v>
      </c>
      <c r="L4153" s="12" t="n">
        <f aca="false">COUNTIFS(Cleaned!$D$2:$D$125,5,Cleaned!GR$2:GR$125,6)</f>
        <v>0</v>
      </c>
      <c r="M4153" s="13" t="n">
        <f aca="false">IFERROR(L4153/$N4153,"")</f>
        <v>0</v>
      </c>
      <c r="N4153" s="12" t="n">
        <f aca="false">B4153+D4153+F4153+H4153+J4153+L4153</f>
        <v>1</v>
      </c>
    </row>
    <row r="4154" customFormat="false" ht="15" hidden="false" customHeight="false" outlineLevel="0" collapsed="false">
      <c r="A4154" s="12" t="s">
        <v>709</v>
      </c>
      <c r="B4154" s="12" t="n">
        <f aca="false">COUNTIFS(Cleaned!$D$2:$D$125,6,Cleaned!GR$2:GR$125,1)</f>
        <v>0</v>
      </c>
      <c r="C4154" s="13" t="n">
        <f aca="false">IFERROR(B4154/$N4154,"")</f>
        <v>0</v>
      </c>
      <c r="D4154" s="12" t="n">
        <f aca="false">COUNTIFS(Cleaned!$D$2:$D$125,6,Cleaned!GR$2:GR$125,2)</f>
        <v>0</v>
      </c>
      <c r="E4154" s="13" t="n">
        <f aca="false">IFERROR(D4154/$N4154,"")</f>
        <v>0</v>
      </c>
      <c r="F4154" s="12" t="n">
        <f aca="false">COUNTIFS(Cleaned!$D$2:$D$125,6,Cleaned!GR$2:GR$125,3)</f>
        <v>0</v>
      </c>
      <c r="G4154" s="13" t="n">
        <f aca="false">IFERROR(F4154/$N4154,"")</f>
        <v>0</v>
      </c>
      <c r="H4154" s="12" t="n">
        <f aca="false">COUNTIFS(Cleaned!$D$2:$D$125,6,Cleaned!GR$2:GR$125,4)</f>
        <v>0</v>
      </c>
      <c r="I4154" s="13" t="n">
        <f aca="false">IFERROR(H4154/$N4154,"")</f>
        <v>0</v>
      </c>
      <c r="J4154" s="12" t="n">
        <f aca="false">COUNTIFS(Cleaned!$D$2:$D$125,6,Cleaned!GR$2:GR$125,5)</f>
        <v>0</v>
      </c>
      <c r="K4154" s="13" t="n">
        <f aca="false">IFERROR(J4154/$N4154,"")</f>
        <v>0</v>
      </c>
      <c r="L4154" s="12" t="n">
        <f aca="false">COUNTIFS(Cleaned!$D$2:$D$125,6,Cleaned!GR$2:GR$125,6)</f>
        <v>1</v>
      </c>
      <c r="M4154" s="13" t="n">
        <f aca="false">IFERROR(L4154/$N4154,"")</f>
        <v>1</v>
      </c>
      <c r="N4154" s="12" t="n">
        <f aca="false">B4154+D4154+F4154+H4154+J4154+L4154</f>
        <v>1</v>
      </c>
    </row>
    <row r="4155" customFormat="false" ht="15" hidden="false" customHeight="false" outlineLevel="0" collapsed="false">
      <c r="A4155" s="12" t="s">
        <v>710</v>
      </c>
      <c r="B4155" s="12" t="n">
        <f aca="false">COUNTIFS(Cleaned!$D$2:$D$125,7,Cleaned!GR$2:GR$125,1)</f>
        <v>2</v>
      </c>
      <c r="C4155" s="13" t="n">
        <f aca="false">IFERROR(B4155/$N4155,"")</f>
        <v>0.666666666666667</v>
      </c>
      <c r="D4155" s="12" t="n">
        <f aca="false">COUNTIFS(Cleaned!$D$2:$D$125,7,Cleaned!GR$2:GR$125,2)</f>
        <v>1</v>
      </c>
      <c r="E4155" s="13" t="n">
        <f aca="false">IFERROR(D4155/$N4155,"")</f>
        <v>0.333333333333333</v>
      </c>
      <c r="F4155" s="12" t="n">
        <f aca="false">COUNTIFS(Cleaned!$D$2:$D$125,7,Cleaned!GR$2:GR$125,3)</f>
        <v>0</v>
      </c>
      <c r="G4155" s="13" t="n">
        <f aca="false">IFERROR(F4155/$N4155,"")</f>
        <v>0</v>
      </c>
      <c r="H4155" s="12" t="n">
        <f aca="false">COUNTIFS(Cleaned!$D$2:$D$125,7,Cleaned!GR$2:GR$125,4)</f>
        <v>0</v>
      </c>
      <c r="I4155" s="13" t="n">
        <f aca="false">IFERROR(H4155/$N4155,"")</f>
        <v>0</v>
      </c>
      <c r="J4155" s="12" t="n">
        <f aca="false">COUNTIFS(Cleaned!$D$2:$D$125,7,Cleaned!GR$2:GR$125,5)</f>
        <v>0</v>
      </c>
      <c r="K4155" s="13" t="n">
        <f aca="false">IFERROR(J4155/$N4155,"")</f>
        <v>0</v>
      </c>
      <c r="L4155" s="12" t="n">
        <f aca="false">COUNTIFS(Cleaned!$D$2:$D$125,7,Cleaned!GR$2:GR$125,6)</f>
        <v>0</v>
      </c>
      <c r="M4155" s="13" t="n">
        <f aca="false">IFERROR(L4155/$N4155,"")</f>
        <v>0</v>
      </c>
      <c r="N4155" s="12" t="n">
        <f aca="false">B4155+D4155+F4155+H4155+J4155+L4155</f>
        <v>3</v>
      </c>
    </row>
    <row r="4156" customFormat="false" ht="15" hidden="false" customHeight="false" outlineLevel="0" collapsed="false">
      <c r="A4156" s="12" t="s">
        <v>711</v>
      </c>
      <c r="B4156" s="12" t="n">
        <f aca="false">COUNTIFS(Cleaned!$D$2:$D$125,8,Cleaned!GR$2:GR$125,1)</f>
        <v>0</v>
      </c>
      <c r="C4156" s="13" t="str">
        <f aca="false">IFERROR(B4156/$N4156,"")</f>
        <v/>
      </c>
      <c r="D4156" s="12" t="n">
        <f aca="false">COUNTIFS(Cleaned!$D$2:$D$125,8,Cleaned!GR$2:GR$125,2)</f>
        <v>0</v>
      </c>
      <c r="E4156" s="13" t="str">
        <f aca="false">IFERROR(D4156/$N4156,"")</f>
        <v/>
      </c>
      <c r="F4156" s="12" t="n">
        <f aca="false">COUNTIFS(Cleaned!$D$2:$D$125,8,Cleaned!GR$2:GR$125,3)</f>
        <v>0</v>
      </c>
      <c r="G4156" s="13" t="str">
        <f aca="false">IFERROR(F4156/$N4156,"")</f>
        <v/>
      </c>
      <c r="H4156" s="12" t="n">
        <f aca="false">COUNTIFS(Cleaned!$D$2:$D$125,8,Cleaned!GR$2:GR$125,4)</f>
        <v>0</v>
      </c>
      <c r="I4156" s="13" t="str">
        <f aca="false">IFERROR(H4156/$N4156,"")</f>
        <v/>
      </c>
      <c r="J4156" s="12" t="n">
        <f aca="false">COUNTIFS(Cleaned!$D$2:$D$125,8,Cleaned!GR$2:GR$125,5)</f>
        <v>0</v>
      </c>
      <c r="K4156" s="13" t="str">
        <f aca="false">IFERROR(J4156/$N4156,"")</f>
        <v/>
      </c>
      <c r="L4156" s="12" t="n">
        <f aca="false">COUNTIFS(Cleaned!$D$2:$D$125,8,Cleaned!GR$2:GR$125,6)</f>
        <v>0</v>
      </c>
      <c r="M4156" s="13" t="str">
        <f aca="false">IFERROR(L4156/$N4156,"")</f>
        <v/>
      </c>
      <c r="N4156" s="12" t="n">
        <f aca="false">B4156+D4156+F4156+H4156+J4156+L4156</f>
        <v>0</v>
      </c>
    </row>
    <row r="4157" customFormat="false" ht="15" hidden="false" customHeight="false" outlineLevel="0" collapsed="false">
      <c r="A4157" s="12" t="s">
        <v>712</v>
      </c>
      <c r="B4157" s="12" t="n">
        <f aca="false">COUNTIFS(Cleaned!$D$2:$D$125,9,Cleaned!GR$2:GR$125,1)</f>
        <v>0</v>
      </c>
      <c r="C4157" s="13" t="str">
        <f aca="false">IFERROR(B4157/$N4157,"")</f>
        <v/>
      </c>
      <c r="D4157" s="12" t="n">
        <f aca="false">COUNTIFS(Cleaned!$D$2:$D$125,9,Cleaned!GR$2:GR$125,2)</f>
        <v>0</v>
      </c>
      <c r="E4157" s="13" t="str">
        <f aca="false">IFERROR(D4157/$N4157,"")</f>
        <v/>
      </c>
      <c r="F4157" s="12" t="n">
        <f aca="false">COUNTIFS(Cleaned!$D$2:$D$125,9,Cleaned!GR$2:GR$125,3)</f>
        <v>0</v>
      </c>
      <c r="G4157" s="13" t="str">
        <f aca="false">IFERROR(F4157/$N4157,"")</f>
        <v/>
      </c>
      <c r="H4157" s="12" t="n">
        <f aca="false">COUNTIFS(Cleaned!$D$2:$D$125,9,Cleaned!GR$2:GR$125,4)</f>
        <v>0</v>
      </c>
      <c r="I4157" s="13" t="str">
        <f aca="false">IFERROR(H4157/$N4157,"")</f>
        <v/>
      </c>
      <c r="J4157" s="12" t="n">
        <f aca="false">COUNTIFS(Cleaned!$D$2:$D$125,9,Cleaned!GR$2:GR$125,5)</f>
        <v>0</v>
      </c>
      <c r="K4157" s="13" t="str">
        <f aca="false">IFERROR(J4157/$N4157,"")</f>
        <v/>
      </c>
      <c r="L4157" s="12" t="n">
        <f aca="false">COUNTIFS(Cleaned!$D$2:$D$125,9,Cleaned!GR$2:GR$125,6)</f>
        <v>0</v>
      </c>
      <c r="M4157" s="13" t="str">
        <f aca="false">IFERROR(L4157/$N4157,"")</f>
        <v/>
      </c>
      <c r="N4157" s="12" t="n">
        <f aca="false">B4157+D4157+F4157+H4157+J4157+L4157</f>
        <v>0</v>
      </c>
    </row>
    <row r="4158" customFormat="false" ht="15" hidden="false" customHeight="false" outlineLevel="0" collapsed="false">
      <c r="A4158" s="12" t="s">
        <v>713</v>
      </c>
      <c r="B4158" s="12" t="n">
        <f aca="false">COUNTIFS(Cleaned!$D$2:$D$125,10,Cleaned!GR$2:GR$125,1)</f>
        <v>0</v>
      </c>
      <c r="C4158" s="13" t="str">
        <f aca="false">IFERROR(B4158/$N4158,"")</f>
        <v/>
      </c>
      <c r="D4158" s="12" t="n">
        <f aca="false">COUNTIFS(Cleaned!$D$2:$D$125,10,Cleaned!GR$2:GR$125,2)</f>
        <v>0</v>
      </c>
      <c r="E4158" s="13" t="str">
        <f aca="false">IFERROR(D4158/$N4158,"")</f>
        <v/>
      </c>
      <c r="F4158" s="12" t="n">
        <f aca="false">COUNTIFS(Cleaned!$D$2:$D$125,10,Cleaned!GR$2:GR$125,3)</f>
        <v>0</v>
      </c>
      <c r="G4158" s="13" t="str">
        <f aca="false">IFERROR(F4158/$N4158,"")</f>
        <v/>
      </c>
      <c r="H4158" s="12" t="n">
        <f aca="false">COUNTIFS(Cleaned!$D$2:$D$125,10,Cleaned!GR$2:GR$125,4)</f>
        <v>0</v>
      </c>
      <c r="I4158" s="13" t="str">
        <f aca="false">IFERROR(H4158/$N4158,"")</f>
        <v/>
      </c>
      <c r="J4158" s="12" t="n">
        <f aca="false">COUNTIFS(Cleaned!$D$2:$D$125,10,Cleaned!GR$2:GR$125,5)</f>
        <v>0</v>
      </c>
      <c r="K4158" s="13" t="str">
        <f aca="false">IFERROR(J4158/$N4158,"")</f>
        <v/>
      </c>
      <c r="L4158" s="12" t="n">
        <f aca="false">COUNTIFS(Cleaned!$D$2:$D$125,10,Cleaned!GR$2:GR$125,6)</f>
        <v>0</v>
      </c>
      <c r="M4158" s="13" t="str">
        <f aca="false">IFERROR(L4158/$N4158,"")</f>
        <v/>
      </c>
      <c r="N4158" s="12" t="n">
        <f aca="false">B4158+D4158+F4158+H4158+J4158+L4158</f>
        <v>0</v>
      </c>
    </row>
    <row r="4159" customFormat="false" ht="15" hidden="false" customHeight="false" outlineLevel="0" collapsed="false">
      <c r="A4159" s="12" t="s">
        <v>714</v>
      </c>
      <c r="B4159" s="12" t="n">
        <f aca="false">COUNTIFS(Cleaned!$D$2:$D$125,11,Cleaned!GR$2:GR$125,1)</f>
        <v>1</v>
      </c>
      <c r="C4159" s="13" t="n">
        <f aca="false">IFERROR(B4159/$N4159,"")</f>
        <v>1</v>
      </c>
      <c r="D4159" s="12" t="n">
        <f aca="false">COUNTIFS(Cleaned!$D$2:$D$125,11,Cleaned!GR$2:GR$125,2)</f>
        <v>0</v>
      </c>
      <c r="E4159" s="13" t="n">
        <f aca="false">IFERROR(D4159/$N4159,"")</f>
        <v>0</v>
      </c>
      <c r="F4159" s="12" t="n">
        <f aca="false">COUNTIFS(Cleaned!$D$2:$D$125,11,Cleaned!GR$2:GR$125,3)</f>
        <v>0</v>
      </c>
      <c r="G4159" s="13" t="n">
        <f aca="false">IFERROR(F4159/$N4159,"")</f>
        <v>0</v>
      </c>
      <c r="H4159" s="12" t="n">
        <f aca="false">COUNTIFS(Cleaned!$D$2:$D$125,11,Cleaned!GR$2:GR$125,4)</f>
        <v>0</v>
      </c>
      <c r="I4159" s="13" t="n">
        <f aca="false">IFERROR(H4159/$N4159,"")</f>
        <v>0</v>
      </c>
      <c r="J4159" s="12" t="n">
        <f aca="false">COUNTIFS(Cleaned!$D$2:$D$125,11,Cleaned!GR$2:GR$125,5)</f>
        <v>0</v>
      </c>
      <c r="K4159" s="13" t="n">
        <f aca="false">IFERROR(J4159/$N4159,"")</f>
        <v>0</v>
      </c>
      <c r="L4159" s="12" t="n">
        <f aca="false">COUNTIFS(Cleaned!$D$2:$D$125,11,Cleaned!GR$2:GR$125,6)</f>
        <v>0</v>
      </c>
      <c r="M4159" s="13" t="n">
        <f aca="false">IFERROR(L4159/$N4159,"")</f>
        <v>0</v>
      </c>
      <c r="N4159" s="12" t="n">
        <f aca="false">B4159+D4159+F4159+H4159+J4159+L4159</f>
        <v>1</v>
      </c>
    </row>
    <row r="4160" customFormat="false" ht="15" hidden="false" customHeight="false" outlineLevel="0" collapsed="false">
      <c r="A4160" s="12" t="s">
        <v>715</v>
      </c>
      <c r="B4160" s="12" t="n">
        <f aca="false">COUNTIFS(Cleaned!$D$2:$D$125,12,Cleaned!GR$2:GR$125,1)</f>
        <v>0</v>
      </c>
      <c r="C4160" s="13" t="str">
        <f aca="false">IFERROR(B4160/$N4160,"")</f>
        <v/>
      </c>
      <c r="D4160" s="12" t="n">
        <f aca="false">COUNTIFS(Cleaned!$D$2:$D$125,12,Cleaned!GR$2:GR$125,2)</f>
        <v>0</v>
      </c>
      <c r="E4160" s="13" t="str">
        <f aca="false">IFERROR(D4160/$N4160,"")</f>
        <v/>
      </c>
      <c r="F4160" s="12" t="n">
        <f aca="false">COUNTIFS(Cleaned!$D$2:$D$125,12,Cleaned!GR$2:GR$125,3)</f>
        <v>0</v>
      </c>
      <c r="G4160" s="13" t="str">
        <f aca="false">IFERROR(F4160/$N4160,"")</f>
        <v/>
      </c>
      <c r="H4160" s="12" t="n">
        <f aca="false">COUNTIFS(Cleaned!$D$2:$D$125,12,Cleaned!GR$2:GR$125,4)</f>
        <v>0</v>
      </c>
      <c r="I4160" s="13" t="str">
        <f aca="false">IFERROR(H4160/$N4160,"")</f>
        <v/>
      </c>
      <c r="J4160" s="12" t="n">
        <f aca="false">COUNTIFS(Cleaned!$D$2:$D$125,12,Cleaned!GR$2:GR$125,5)</f>
        <v>0</v>
      </c>
      <c r="K4160" s="13" t="str">
        <f aca="false">IFERROR(J4160/$N4160,"")</f>
        <v/>
      </c>
      <c r="L4160" s="12" t="n">
        <f aca="false">COUNTIFS(Cleaned!$D$2:$D$125,12,Cleaned!GR$2:GR$125,6)</f>
        <v>0</v>
      </c>
      <c r="M4160" s="13" t="str">
        <f aca="false">IFERROR(L4160/$N4160,"")</f>
        <v/>
      </c>
      <c r="N4160" s="12" t="n">
        <f aca="false">B4160+D4160+F4160+H4160+J4160+L4160</f>
        <v>0</v>
      </c>
    </row>
    <row r="4161" customFormat="false" ht="15" hidden="false" customHeight="false" outlineLevel="0" collapsed="false">
      <c r="A4161" s="11" t="s">
        <v>716</v>
      </c>
      <c r="B4161" s="11" t="n">
        <f aca="false">SUM(B4149:B4160)</f>
        <v>7</v>
      </c>
      <c r="C4161" s="14" t="n">
        <f aca="false">IFERROR(B4161/$N4161,"")</f>
        <v>0.583333333333333</v>
      </c>
      <c r="D4161" s="11" t="n">
        <f aca="false">SUM(D4149:D4160)</f>
        <v>1</v>
      </c>
      <c r="E4161" s="14" t="n">
        <f aca="false">IFERROR(D4161/$N4161,"")</f>
        <v>0.0833333333333333</v>
      </c>
      <c r="F4161" s="11" t="n">
        <f aca="false">SUM(F4149:F4160)</f>
        <v>1</v>
      </c>
      <c r="G4161" s="14" t="n">
        <f aca="false">IFERROR(F4161/$N4161,"")</f>
        <v>0.0833333333333333</v>
      </c>
      <c r="H4161" s="11" t="n">
        <f aca="false">SUM(H4149:H4160)</f>
        <v>1</v>
      </c>
      <c r="I4161" s="14" t="n">
        <f aca="false">IFERROR(H4161/$N4161,"")</f>
        <v>0.0833333333333333</v>
      </c>
      <c r="J4161" s="11" t="n">
        <f aca="false">SUM(J4149:J4160)</f>
        <v>1</v>
      </c>
      <c r="K4161" s="14" t="n">
        <f aca="false">IFERROR(J4161/$N4161,"")</f>
        <v>0.0833333333333333</v>
      </c>
      <c r="L4161" s="11" t="n">
        <f aca="false">SUM(L4149:L4160)</f>
        <v>1</v>
      </c>
      <c r="M4161" s="14" t="n">
        <f aca="false">IFERROR(L4161/$N4161,"")</f>
        <v>0.0833333333333333</v>
      </c>
      <c r="N4161" s="11" t="n">
        <f aca="false">SUM(N4149:N4160)</f>
        <v>12</v>
      </c>
    </row>
    <row r="4164" customFormat="false" ht="15" hidden="false" customHeight="false" outlineLevel="0" collapsed="false">
      <c r="A4164" s="6" t="s">
        <v>190</v>
      </c>
      <c r="B4164" s="7" t="s">
        <v>962</v>
      </c>
    </row>
    <row r="4165" customFormat="false" ht="15" hidden="false" customHeight="false" outlineLevel="0" collapsed="false">
      <c r="A4165" s="8"/>
      <c r="B4165" s="9" t="s">
        <v>726</v>
      </c>
      <c r="C4165" s="8"/>
      <c r="D4165" s="9" t="s">
        <v>362</v>
      </c>
      <c r="E4165" s="8"/>
      <c r="F4165" s="9" t="s">
        <v>694</v>
      </c>
    </row>
    <row r="4166" customFormat="false" ht="15" hidden="false" customHeight="false" outlineLevel="0" collapsed="false">
      <c r="B4166" s="10" t="s">
        <v>695</v>
      </c>
      <c r="C4166" s="10" t="s">
        <v>696</v>
      </c>
      <c r="D4166" s="10" t="s">
        <v>695</v>
      </c>
      <c r="E4166" s="10" t="s">
        <v>696</v>
      </c>
    </row>
    <row r="4167" customFormat="false" ht="15" hidden="false" customHeight="false" outlineLevel="0" collapsed="false">
      <c r="A4167" s="11" t="s">
        <v>697</v>
      </c>
    </row>
    <row r="4168" customFormat="false" ht="15" hidden="false" customHeight="false" outlineLevel="0" collapsed="false">
      <c r="A4168" s="12" t="s">
        <v>698</v>
      </c>
      <c r="B4168" s="12" t="n">
        <f aca="false">COUNTIFS(Cleaned!$C$2:$C$125,1,Cleaned!GT$2:GT$125,1)</f>
        <v>2</v>
      </c>
      <c r="C4168" s="13" t="n">
        <f aca="false">IFERROR(B4168/$F4168,"")</f>
        <v>0.25</v>
      </c>
      <c r="D4168" s="12" t="n">
        <f aca="false">COUNTIFS(Cleaned!$C$2:$C$125,1,Cleaned!GT$2:GT$125,2)</f>
        <v>6</v>
      </c>
      <c r="E4168" s="13" t="n">
        <f aca="false">IFERROR(D4168/$F4168,"")</f>
        <v>0.75</v>
      </c>
      <c r="F4168" s="12" t="n">
        <f aca="false">B4168+D4168</f>
        <v>8</v>
      </c>
    </row>
    <row r="4169" customFormat="false" ht="15" hidden="false" customHeight="false" outlineLevel="0" collapsed="false">
      <c r="A4169" s="12" t="s">
        <v>699</v>
      </c>
      <c r="B4169" s="12" t="n">
        <f aca="false">COUNTIFS(Cleaned!$C$2:$C$125,2,Cleaned!GT$2:GT$125,1)</f>
        <v>1</v>
      </c>
      <c r="C4169" s="13" t="n">
        <f aca="false">IFERROR(B4169/$F4169,"")</f>
        <v>0.166666666666667</v>
      </c>
      <c r="D4169" s="12" t="n">
        <f aca="false">COUNTIFS(Cleaned!$C$2:$C$125,2,Cleaned!GT$2:GT$125,2)</f>
        <v>5</v>
      </c>
      <c r="E4169" s="13" t="n">
        <f aca="false">IFERROR(D4169/$F4169,"")</f>
        <v>0.833333333333333</v>
      </c>
      <c r="F4169" s="12" t="n">
        <f aca="false">B4169+D4169</f>
        <v>6</v>
      </c>
    </row>
    <row r="4170" customFormat="false" ht="15" hidden="false" customHeight="false" outlineLevel="0" collapsed="false">
      <c r="A4170" s="12" t="s">
        <v>700</v>
      </c>
      <c r="B4170" s="12" t="n">
        <f aca="false">COUNTIFS(Cleaned!$C$2:$C$125,3,Cleaned!GT$2:GT$125,1)</f>
        <v>2</v>
      </c>
      <c r="C4170" s="13" t="n">
        <f aca="false">IFERROR(B4170/$F4170,"")</f>
        <v>0.2</v>
      </c>
      <c r="D4170" s="12" t="n">
        <f aca="false">COUNTIFS(Cleaned!$C$2:$C$125,3,Cleaned!GT$2:GT$125,2)</f>
        <v>8</v>
      </c>
      <c r="E4170" s="13" t="n">
        <f aca="false">IFERROR(D4170/$F4170,"")</f>
        <v>0.8</v>
      </c>
      <c r="F4170" s="12" t="n">
        <f aca="false">B4170+D4170</f>
        <v>10</v>
      </c>
    </row>
    <row r="4171" customFormat="false" ht="15" hidden="false" customHeight="false" outlineLevel="0" collapsed="false">
      <c r="A4171" s="12" t="s">
        <v>701</v>
      </c>
      <c r="B4171" s="12" t="n">
        <f aca="false">COUNTIFS(Cleaned!$C$2:$C$125,4,Cleaned!GT$2:GT$125,1)</f>
        <v>9</v>
      </c>
      <c r="C4171" s="13" t="n">
        <f aca="false">IFERROR(B4171/$F4171,"")</f>
        <v>0.818181818181818</v>
      </c>
      <c r="D4171" s="12" t="n">
        <f aca="false">COUNTIFS(Cleaned!$C$2:$C$125,4,Cleaned!GT$2:GT$125,2)</f>
        <v>2</v>
      </c>
      <c r="E4171" s="13" t="n">
        <f aca="false">IFERROR(D4171/$F4171,"")</f>
        <v>0.181818181818182</v>
      </c>
      <c r="F4171" s="12" t="n">
        <f aca="false">B4171+D4171</f>
        <v>11</v>
      </c>
    </row>
    <row r="4172" customFormat="false" ht="15" hidden="false" customHeight="false" outlineLevel="0" collapsed="false">
      <c r="A4172" s="12" t="s">
        <v>702</v>
      </c>
      <c r="B4172" s="12" t="n">
        <f aca="false">COUNTIFS(Cleaned!$C$2:$C$125,5,Cleaned!GT$2:GT$125,1)</f>
        <v>20</v>
      </c>
      <c r="C4172" s="13" t="n">
        <f aca="false">IFERROR(B4172/$F4172,"")</f>
        <v>1</v>
      </c>
      <c r="D4172" s="12" t="n">
        <f aca="false">COUNTIFS(Cleaned!$C$2:$C$125,5,Cleaned!GT$2:GT$125,2)</f>
        <v>0</v>
      </c>
      <c r="E4172" s="13" t="n">
        <f aca="false">IFERROR(D4172/$F4172,"")</f>
        <v>0</v>
      </c>
      <c r="F4172" s="12" t="n">
        <f aca="false">B4172+D4172</f>
        <v>20</v>
      </c>
    </row>
    <row r="4173" customFormat="false" ht="15" hidden="false" customHeight="false" outlineLevel="0" collapsed="false">
      <c r="A4173" s="11" t="s">
        <v>703</v>
      </c>
      <c r="B4173" s="11" t="n">
        <f aca="false">SUM(B4168:B4172)</f>
        <v>34</v>
      </c>
      <c r="C4173" s="14" t="n">
        <f aca="false">IFERROR(B4173/$F4173,"")</f>
        <v>0.618181818181818</v>
      </c>
      <c r="D4173" s="11" t="n">
        <f aca="false">SUM(D4168:D4172)</f>
        <v>21</v>
      </c>
      <c r="E4173" s="14" t="n">
        <f aca="false">IFERROR(D4173/$F4173,"")</f>
        <v>0.381818181818182</v>
      </c>
      <c r="F4173" s="11" t="n">
        <f aca="false">SUM(F4168:F4172)</f>
        <v>55</v>
      </c>
    </row>
    <row r="4174" customFormat="false" ht="15" hidden="false" customHeight="false" outlineLevel="0" collapsed="false">
      <c r="A4174" s="11" t="s">
        <v>3</v>
      </c>
    </row>
    <row r="4175" customFormat="false" ht="15" hidden="false" customHeight="false" outlineLevel="0" collapsed="false">
      <c r="A4175" s="12" t="s">
        <v>704</v>
      </c>
      <c r="B4175" s="12" t="n">
        <f aca="false">COUNTIFS(Cleaned!$D$2:$D$125,1,Cleaned!GT$2:GT$125,1)</f>
        <v>3</v>
      </c>
      <c r="C4175" s="13" t="n">
        <f aca="false">IFERROR(B4175/$F4175,"")</f>
        <v>0.3</v>
      </c>
      <c r="D4175" s="12" t="n">
        <f aca="false">COUNTIFS(Cleaned!$D$2:$D$125,1,Cleaned!GT$2:GT$125,2)</f>
        <v>7</v>
      </c>
      <c r="E4175" s="13" t="n">
        <f aca="false">IFERROR(D4175/$F4175,"")</f>
        <v>0.7</v>
      </c>
      <c r="F4175" s="12" t="n">
        <f aca="false">B4175+D4175</f>
        <v>10</v>
      </c>
    </row>
    <row r="4176" customFormat="false" ht="15" hidden="false" customHeight="false" outlineLevel="0" collapsed="false">
      <c r="A4176" s="12" t="s">
        <v>705</v>
      </c>
      <c r="B4176" s="12" t="n">
        <f aca="false">COUNTIFS(Cleaned!$D$2:$D$125,2,Cleaned!GT$2:GT$125,1)</f>
        <v>12</v>
      </c>
      <c r="C4176" s="13" t="n">
        <f aca="false">IFERROR(B4176/$F4176,"")</f>
        <v>0.923076923076923</v>
      </c>
      <c r="D4176" s="12" t="n">
        <f aca="false">COUNTIFS(Cleaned!$D$2:$D$125,2,Cleaned!GT$2:GT$125,2)</f>
        <v>1</v>
      </c>
      <c r="E4176" s="13" t="n">
        <f aca="false">IFERROR(D4176/$F4176,"")</f>
        <v>0.0769230769230769</v>
      </c>
      <c r="F4176" s="12" t="n">
        <f aca="false">B4176+D4176</f>
        <v>13</v>
      </c>
    </row>
    <row r="4177" customFormat="false" ht="15" hidden="false" customHeight="false" outlineLevel="0" collapsed="false">
      <c r="A4177" s="12" t="s">
        <v>706</v>
      </c>
      <c r="B4177" s="12" t="n">
        <f aca="false">COUNTIFS(Cleaned!$D$2:$D$125,3,Cleaned!GT$2:GT$125,1)</f>
        <v>4</v>
      </c>
      <c r="C4177" s="13" t="n">
        <f aca="false">IFERROR(B4177/$F4177,"")</f>
        <v>0.666666666666667</v>
      </c>
      <c r="D4177" s="12" t="n">
        <f aca="false">COUNTIFS(Cleaned!$D$2:$D$125,3,Cleaned!GT$2:GT$125,2)</f>
        <v>2</v>
      </c>
      <c r="E4177" s="13" t="n">
        <f aca="false">IFERROR(D4177/$F4177,"")</f>
        <v>0.333333333333333</v>
      </c>
      <c r="F4177" s="12" t="n">
        <f aca="false">B4177+D4177</f>
        <v>6</v>
      </c>
    </row>
    <row r="4178" customFormat="false" ht="15" hidden="false" customHeight="false" outlineLevel="0" collapsed="false">
      <c r="A4178" s="12" t="s">
        <v>707</v>
      </c>
      <c r="B4178" s="12" t="n">
        <f aca="false">COUNTIFS(Cleaned!$D$2:$D$125,4,Cleaned!GT$2:GT$125,1)</f>
        <v>4</v>
      </c>
      <c r="C4178" s="13" t="n">
        <f aca="false">IFERROR(B4178/$F4178,"")</f>
        <v>1</v>
      </c>
      <c r="D4178" s="12" t="n">
        <f aca="false">COUNTIFS(Cleaned!$D$2:$D$125,4,Cleaned!GT$2:GT$125,2)</f>
        <v>0</v>
      </c>
      <c r="E4178" s="13" t="n">
        <f aca="false">IFERROR(D4178/$F4178,"")</f>
        <v>0</v>
      </c>
      <c r="F4178" s="12" t="n">
        <f aca="false">B4178+D4178</f>
        <v>4</v>
      </c>
    </row>
    <row r="4179" customFormat="false" ht="15" hidden="false" customHeight="false" outlineLevel="0" collapsed="false">
      <c r="A4179" s="12" t="s">
        <v>708</v>
      </c>
      <c r="B4179" s="12" t="n">
        <f aca="false">COUNTIFS(Cleaned!$D$2:$D$125,5,Cleaned!GT$2:GT$125,1)</f>
        <v>1</v>
      </c>
      <c r="C4179" s="13" t="n">
        <f aca="false">IFERROR(B4179/$F4179,"")</f>
        <v>1</v>
      </c>
      <c r="D4179" s="12" t="n">
        <f aca="false">COUNTIFS(Cleaned!$D$2:$D$125,5,Cleaned!GT$2:GT$125,2)</f>
        <v>0</v>
      </c>
      <c r="E4179" s="13" t="n">
        <f aca="false">IFERROR(D4179/$F4179,"")</f>
        <v>0</v>
      </c>
      <c r="F4179" s="12" t="n">
        <f aca="false">B4179+D4179</f>
        <v>1</v>
      </c>
    </row>
    <row r="4180" customFormat="false" ht="15" hidden="false" customHeight="false" outlineLevel="0" collapsed="false">
      <c r="A4180" s="12" t="s">
        <v>709</v>
      </c>
      <c r="B4180" s="12" t="n">
        <f aca="false">COUNTIFS(Cleaned!$D$2:$D$125,6,Cleaned!GT$2:GT$125,1)</f>
        <v>2</v>
      </c>
      <c r="C4180" s="13" t="n">
        <f aca="false">IFERROR(B4180/$F4180,"")</f>
        <v>1</v>
      </c>
      <c r="D4180" s="12" t="n">
        <f aca="false">COUNTIFS(Cleaned!$D$2:$D$125,6,Cleaned!GT$2:GT$125,2)</f>
        <v>0</v>
      </c>
      <c r="E4180" s="13" t="n">
        <f aca="false">IFERROR(D4180/$F4180,"")</f>
        <v>0</v>
      </c>
      <c r="F4180" s="12" t="n">
        <f aca="false">B4180+D4180</f>
        <v>2</v>
      </c>
    </row>
    <row r="4181" customFormat="false" ht="15" hidden="false" customHeight="false" outlineLevel="0" collapsed="false">
      <c r="A4181" s="12" t="s">
        <v>710</v>
      </c>
      <c r="B4181" s="12" t="n">
        <f aca="false">COUNTIFS(Cleaned!$D$2:$D$125,7,Cleaned!GT$2:GT$125,1)</f>
        <v>4</v>
      </c>
      <c r="C4181" s="13" t="n">
        <f aca="false">IFERROR(B4181/$F4181,"")</f>
        <v>0.666666666666667</v>
      </c>
      <c r="D4181" s="12" t="n">
        <f aca="false">COUNTIFS(Cleaned!$D$2:$D$125,7,Cleaned!GT$2:GT$125,2)</f>
        <v>2</v>
      </c>
      <c r="E4181" s="13" t="n">
        <f aca="false">IFERROR(D4181/$F4181,"")</f>
        <v>0.333333333333333</v>
      </c>
      <c r="F4181" s="12" t="n">
        <f aca="false">B4181+D4181</f>
        <v>6</v>
      </c>
    </row>
    <row r="4182" customFormat="false" ht="15" hidden="false" customHeight="false" outlineLevel="0" collapsed="false">
      <c r="A4182" s="12" t="s">
        <v>711</v>
      </c>
      <c r="B4182" s="12" t="n">
        <f aca="false">COUNTIFS(Cleaned!$D$2:$D$125,8,Cleaned!GT$2:GT$125,1)</f>
        <v>1</v>
      </c>
      <c r="C4182" s="13" t="n">
        <f aca="false">IFERROR(B4182/$F4182,"")</f>
        <v>0.333333333333333</v>
      </c>
      <c r="D4182" s="12" t="n">
        <f aca="false">COUNTIFS(Cleaned!$D$2:$D$125,8,Cleaned!GT$2:GT$125,2)</f>
        <v>2</v>
      </c>
      <c r="E4182" s="13" t="n">
        <f aca="false">IFERROR(D4182/$F4182,"")</f>
        <v>0.666666666666667</v>
      </c>
      <c r="F4182" s="12" t="n">
        <f aca="false">B4182+D4182</f>
        <v>3</v>
      </c>
    </row>
    <row r="4183" customFormat="false" ht="15" hidden="false" customHeight="false" outlineLevel="0" collapsed="false">
      <c r="A4183" s="12" t="s">
        <v>712</v>
      </c>
      <c r="B4183" s="12" t="n">
        <f aca="false">COUNTIFS(Cleaned!$D$2:$D$125,9,Cleaned!GT$2:GT$125,1)</f>
        <v>1</v>
      </c>
      <c r="C4183" s="13" t="n">
        <f aca="false">IFERROR(B4183/$F4183,"")</f>
        <v>0.5</v>
      </c>
      <c r="D4183" s="12" t="n">
        <f aca="false">COUNTIFS(Cleaned!$D$2:$D$125,9,Cleaned!GT$2:GT$125,2)</f>
        <v>1</v>
      </c>
      <c r="E4183" s="13" t="n">
        <f aca="false">IFERROR(D4183/$F4183,"")</f>
        <v>0.5</v>
      </c>
      <c r="F4183" s="12" t="n">
        <f aca="false">B4183+D4183</f>
        <v>2</v>
      </c>
    </row>
    <row r="4184" customFormat="false" ht="15" hidden="false" customHeight="false" outlineLevel="0" collapsed="false">
      <c r="A4184" s="12" t="s">
        <v>713</v>
      </c>
      <c r="B4184" s="12" t="n">
        <f aca="false">COUNTIFS(Cleaned!$D$2:$D$125,10,Cleaned!GT$2:GT$125,1)</f>
        <v>0</v>
      </c>
      <c r="C4184" s="13" t="str">
        <f aca="false">IFERROR(B4184/$F4184,"")</f>
        <v/>
      </c>
      <c r="D4184" s="12" t="n">
        <f aca="false">COUNTIFS(Cleaned!$D$2:$D$125,10,Cleaned!GT$2:GT$125,2)</f>
        <v>0</v>
      </c>
      <c r="E4184" s="13" t="str">
        <f aca="false">IFERROR(D4184/$F4184,"")</f>
        <v/>
      </c>
      <c r="F4184" s="12" t="n">
        <f aca="false">B4184+D4184</f>
        <v>0</v>
      </c>
    </row>
    <row r="4185" customFormat="false" ht="15" hidden="false" customHeight="false" outlineLevel="0" collapsed="false">
      <c r="A4185" s="12" t="s">
        <v>714</v>
      </c>
      <c r="B4185" s="12" t="n">
        <f aca="false">COUNTIFS(Cleaned!$D$2:$D$125,11,Cleaned!GT$2:GT$125,1)</f>
        <v>1</v>
      </c>
      <c r="C4185" s="13" t="n">
        <f aca="false">IFERROR(B4185/$F4185,"")</f>
        <v>0.2</v>
      </c>
      <c r="D4185" s="12" t="n">
        <f aca="false">COUNTIFS(Cleaned!$D$2:$D$125,11,Cleaned!GT$2:GT$125,2)</f>
        <v>4</v>
      </c>
      <c r="E4185" s="13" t="n">
        <f aca="false">IFERROR(D4185/$F4185,"")</f>
        <v>0.8</v>
      </c>
      <c r="F4185" s="12" t="n">
        <f aca="false">B4185+D4185</f>
        <v>5</v>
      </c>
    </row>
    <row r="4186" customFormat="false" ht="15" hidden="false" customHeight="false" outlineLevel="0" collapsed="false">
      <c r="A4186" s="12" t="s">
        <v>715</v>
      </c>
      <c r="B4186" s="12" t="n">
        <f aca="false">COUNTIFS(Cleaned!$D$2:$D$125,12,Cleaned!GT$2:GT$125,1)</f>
        <v>1</v>
      </c>
      <c r="C4186" s="13" t="n">
        <f aca="false">IFERROR(B4186/$F4186,"")</f>
        <v>0.333333333333333</v>
      </c>
      <c r="D4186" s="12" t="n">
        <f aca="false">COUNTIFS(Cleaned!$D$2:$D$125,12,Cleaned!GT$2:GT$125,2)</f>
        <v>2</v>
      </c>
      <c r="E4186" s="13" t="n">
        <f aca="false">IFERROR(D4186/$F4186,"")</f>
        <v>0.666666666666667</v>
      </c>
      <c r="F4186" s="12" t="n">
        <f aca="false">B4186+D4186</f>
        <v>3</v>
      </c>
    </row>
    <row r="4187" customFormat="false" ht="15" hidden="false" customHeight="false" outlineLevel="0" collapsed="false">
      <c r="A4187" s="11" t="s">
        <v>716</v>
      </c>
      <c r="B4187" s="11" t="n">
        <f aca="false">SUM(B4175:B4186)</f>
        <v>34</v>
      </c>
      <c r="C4187" s="14" t="n">
        <f aca="false">IFERROR(B4187/$F4187,"")</f>
        <v>0.618181818181818</v>
      </c>
      <c r="D4187" s="11" t="n">
        <f aca="false">SUM(D4175:D4186)</f>
        <v>21</v>
      </c>
      <c r="E4187" s="14" t="n">
        <f aca="false">IFERROR(D4187/$F4187,"")</f>
        <v>0.381818181818182</v>
      </c>
      <c r="F4187" s="11" t="n">
        <f aca="false">SUM(F4175:F4186)</f>
        <v>55</v>
      </c>
    </row>
    <row r="4190" customFormat="false" ht="15" hidden="false" customHeight="false" outlineLevel="0" collapsed="false">
      <c r="A4190" s="6" t="s">
        <v>191</v>
      </c>
      <c r="B4190" s="7" t="s">
        <v>963</v>
      </c>
    </row>
    <row r="4191" customFormat="false" ht="15" hidden="false" customHeight="false" outlineLevel="0" collapsed="false">
      <c r="A4191" s="11" t="s">
        <v>734</v>
      </c>
      <c r="B4191" s="9" t="s">
        <v>694</v>
      </c>
      <c r="C4191" s="9" t="s">
        <v>735</v>
      </c>
      <c r="D4191" s="9" t="s">
        <v>736</v>
      </c>
      <c r="E4191" s="9" t="s">
        <v>737</v>
      </c>
      <c r="F4191" s="9" t="s">
        <v>738</v>
      </c>
    </row>
    <row r="4192" customFormat="false" ht="15" hidden="false" customHeight="false" outlineLevel="0" collapsed="false">
      <c r="B4192" s="12" t="n">
        <f aca="false">COUNT(Cleaned!$GU$2:$GU$125)</f>
        <v>27</v>
      </c>
      <c r="C4192" s="12" t="n">
        <f aca="false">IFERROR(AVERAGE(Cleaned!$GU$2:$GU$125),"")</f>
        <v>15108.4074074074</v>
      </c>
      <c r="D4192" s="12" t="n">
        <f aca="false">IFERROR(MEDIAN(Cleaned!$GU$2:$GU$125),"")</f>
        <v>3934</v>
      </c>
      <c r="E4192" s="12" t="n">
        <f aca="false">IFERROR(MIN(Cleaned!$GU$2:$GU$125),"")</f>
        <v>0</v>
      </c>
      <c r="F4192" s="12" t="n">
        <f aca="false">IFERROR(MAX(Cleaned!$GU$2:$GU$125),"")</f>
        <v>176200</v>
      </c>
    </row>
    <row r="4193" customFormat="false" ht="15" hidden="false" customHeight="false" outlineLevel="0" collapsed="false">
      <c r="A4193" s="11" t="s">
        <v>697</v>
      </c>
      <c r="B4193" s="9" t="s">
        <v>739</v>
      </c>
      <c r="C4193" s="9" t="s">
        <v>735</v>
      </c>
    </row>
    <row r="4194" customFormat="false" ht="15" hidden="false" customHeight="false" outlineLevel="0" collapsed="false">
      <c r="A4194" s="12" t="s">
        <v>698</v>
      </c>
      <c r="B4194" s="12" t="n">
        <f aca="false">COUNTIFS(Cleaned!$C$2:$C$125,1,Cleaned!GU$2:GU$125,"&lt;&gt;")</f>
        <v>2</v>
      </c>
      <c r="C4194" s="15" t="n">
        <f aca="false">IF(B4194=0,"",AVERAGEIF(Cleaned!$C$2:$C$125,1,Cleaned!GU$2:GU$125))</f>
        <v>111.5</v>
      </c>
    </row>
    <row r="4195" customFormat="false" ht="15" hidden="false" customHeight="false" outlineLevel="0" collapsed="false">
      <c r="A4195" s="12" t="s">
        <v>699</v>
      </c>
      <c r="B4195" s="12" t="n">
        <f aca="false">COUNTIFS(Cleaned!$C$2:$C$125,2,Cleaned!GU$2:GU$125,"&lt;&gt;")</f>
        <v>1</v>
      </c>
      <c r="C4195" s="15" t="n">
        <f aca="false">IF(B4195=0,"",AVERAGEIF(Cleaned!$C$2:$C$125,2,Cleaned!GU$2:GU$125))</f>
        <v>0</v>
      </c>
    </row>
    <row r="4196" customFormat="false" ht="15" hidden="false" customHeight="false" outlineLevel="0" collapsed="false">
      <c r="A4196" s="12" t="s">
        <v>700</v>
      </c>
      <c r="B4196" s="12" t="n">
        <f aca="false">COUNTIFS(Cleaned!$C$2:$C$125,3,Cleaned!GU$2:GU$125,"&lt;&gt;")</f>
        <v>0</v>
      </c>
      <c r="C4196" s="15" t="str">
        <f aca="false">IF(B4196=0,"",AVERAGEIF(Cleaned!$C$2:$C$125,3,Cleaned!GU$2:GU$125))</f>
        <v/>
      </c>
    </row>
    <row r="4197" customFormat="false" ht="15" hidden="false" customHeight="false" outlineLevel="0" collapsed="false">
      <c r="A4197" s="12" t="s">
        <v>701</v>
      </c>
      <c r="B4197" s="12" t="n">
        <f aca="false">COUNTIFS(Cleaned!$C$2:$C$125,4,Cleaned!GU$2:GU$125,"&lt;&gt;")</f>
        <v>8</v>
      </c>
      <c r="C4197" s="15" t="n">
        <f aca="false">IF(B4197=0,"",AVERAGEIF(Cleaned!$C$2:$C$125,4,Cleaned!GU$2:GU$125))</f>
        <v>2162.625</v>
      </c>
    </row>
    <row r="4198" customFormat="false" ht="15" hidden="false" customHeight="false" outlineLevel="0" collapsed="false">
      <c r="A4198" s="12" t="s">
        <v>702</v>
      </c>
      <c r="B4198" s="12" t="n">
        <f aca="false">COUNTIFS(Cleaned!$C$2:$C$125,5,Cleaned!GU$2:GU$125,"&lt;&gt;")</f>
        <v>16</v>
      </c>
      <c r="C4198" s="15" t="n">
        <f aca="false">IF(B4198=0,"",AVERAGEIF(Cleaned!$C$2:$C$125,5,Cleaned!GU$2:GU$125))</f>
        <v>24400.1875</v>
      </c>
    </row>
    <row r="4199" customFormat="false" ht="15" hidden="false" customHeight="false" outlineLevel="0" collapsed="false">
      <c r="A4199" s="11" t="s">
        <v>3</v>
      </c>
      <c r="B4199" s="9" t="s">
        <v>739</v>
      </c>
      <c r="C4199" s="9" t="s">
        <v>735</v>
      </c>
    </row>
    <row r="4200" customFormat="false" ht="15" hidden="false" customHeight="false" outlineLevel="0" collapsed="false">
      <c r="A4200" s="12" t="s">
        <v>704</v>
      </c>
      <c r="B4200" s="12" t="n">
        <f aca="false">COUNTIFS(Cleaned!$D$2:$D$125,1,Cleaned!GU$2:GU$125,"&lt;&gt;")</f>
        <v>1</v>
      </c>
      <c r="C4200" s="15" t="n">
        <f aca="false">IF(B4200=0,"",AVERAGEIF(Cleaned!$D$2:$D$125,1,Cleaned!GU$2:GU$125))</f>
        <v>223</v>
      </c>
    </row>
    <row r="4201" customFormat="false" ht="15" hidden="false" customHeight="false" outlineLevel="0" collapsed="false">
      <c r="A4201" s="12" t="s">
        <v>705</v>
      </c>
      <c r="B4201" s="12" t="n">
        <f aca="false">COUNTIFS(Cleaned!$D$2:$D$125,2,Cleaned!GU$2:GU$125,"&lt;&gt;")</f>
        <v>10</v>
      </c>
      <c r="C4201" s="15" t="n">
        <f aca="false">IF(B4201=0,"",AVERAGEIF(Cleaned!$D$2:$D$125,2,Cleaned!GU$2:GU$125))</f>
        <v>27184.4</v>
      </c>
    </row>
    <row r="4202" customFormat="false" ht="15" hidden="false" customHeight="false" outlineLevel="0" collapsed="false">
      <c r="A4202" s="12" t="s">
        <v>706</v>
      </c>
      <c r="B4202" s="12" t="n">
        <f aca="false">COUNTIFS(Cleaned!$D$2:$D$125,3,Cleaned!GU$2:GU$125,"&lt;&gt;")</f>
        <v>4</v>
      </c>
      <c r="C4202" s="15" t="n">
        <f aca="false">IF(B4202=0,"",AVERAGEIF(Cleaned!$D$2:$D$125,3,Cleaned!GU$2:GU$125))</f>
        <v>23383.25</v>
      </c>
    </row>
    <row r="4203" customFormat="false" ht="15" hidden="false" customHeight="false" outlineLevel="0" collapsed="false">
      <c r="A4203" s="12" t="s">
        <v>707</v>
      </c>
      <c r="B4203" s="12" t="n">
        <f aca="false">COUNTIFS(Cleaned!$D$2:$D$125,4,Cleaned!GU$2:GU$125,"&lt;&gt;")</f>
        <v>3</v>
      </c>
      <c r="C4203" s="15" t="n">
        <f aca="false">IF(B4203=0,"",AVERAGEIF(Cleaned!$D$2:$D$125,4,Cleaned!GU$2:GU$125))</f>
        <v>1739</v>
      </c>
    </row>
    <row r="4204" customFormat="false" ht="15" hidden="false" customHeight="false" outlineLevel="0" collapsed="false">
      <c r="A4204" s="12" t="s">
        <v>708</v>
      </c>
      <c r="B4204" s="12" t="n">
        <f aca="false">COUNTIFS(Cleaned!$D$2:$D$125,5,Cleaned!GU$2:GU$125,"&lt;&gt;")</f>
        <v>1</v>
      </c>
      <c r="C4204" s="15" t="n">
        <f aca="false">IF(B4204=0,"",AVERAGEIF(Cleaned!$D$2:$D$125,5,Cleaned!GU$2:GU$125))</f>
        <v>3517</v>
      </c>
    </row>
    <row r="4205" customFormat="false" ht="15" hidden="false" customHeight="false" outlineLevel="0" collapsed="false">
      <c r="A4205" s="12" t="s">
        <v>709</v>
      </c>
      <c r="B4205" s="12" t="n">
        <f aca="false">COUNTIFS(Cleaned!$D$2:$D$125,6,Cleaned!GU$2:GU$125,"&lt;&gt;")</f>
        <v>2</v>
      </c>
      <c r="C4205" s="15" t="n">
        <f aca="false">IF(B4205=0,"",AVERAGEIF(Cleaned!$D$2:$D$125,6,Cleaned!GU$2:GU$125))</f>
        <v>1476.5</v>
      </c>
    </row>
    <row r="4206" customFormat="false" ht="15" hidden="false" customHeight="false" outlineLevel="0" collapsed="false">
      <c r="A4206" s="12" t="s">
        <v>710</v>
      </c>
      <c r="B4206" s="12" t="n">
        <f aca="false">COUNTIFS(Cleaned!$D$2:$D$125,7,Cleaned!GU$2:GU$125,"&lt;&gt;")</f>
        <v>3</v>
      </c>
      <c r="C4206" s="15" t="n">
        <f aca="false">IF(B4206=0,"",AVERAGEIF(Cleaned!$D$2:$D$125,7,Cleaned!GU$2:GU$125))</f>
        <v>9179</v>
      </c>
    </row>
    <row r="4207" customFormat="false" ht="15" hidden="false" customHeight="false" outlineLevel="0" collapsed="false">
      <c r="A4207" s="12" t="s">
        <v>711</v>
      </c>
      <c r="B4207" s="12" t="n">
        <f aca="false">COUNTIFS(Cleaned!$D$2:$D$125,8,Cleaned!GU$2:GU$125,"&lt;&gt;")</f>
        <v>1</v>
      </c>
      <c r="C4207" s="15" t="n">
        <f aca="false">IF(B4207=0,"",AVERAGEIF(Cleaned!$D$2:$D$125,8,Cleaned!GU$2:GU$125))</f>
        <v>3103</v>
      </c>
    </row>
    <row r="4208" customFormat="false" ht="15" hidden="false" customHeight="false" outlineLevel="0" collapsed="false">
      <c r="A4208" s="12" t="s">
        <v>712</v>
      </c>
      <c r="B4208" s="12" t="n">
        <f aca="false">COUNTIFS(Cleaned!$D$2:$D$125,9,Cleaned!GU$2:GU$125,"&lt;&gt;")</f>
        <v>0</v>
      </c>
      <c r="C4208" s="15" t="str">
        <f aca="false">IF(B4208=0,"",AVERAGEIF(Cleaned!$D$2:$D$125,9,Cleaned!GU$2:GU$125))</f>
        <v/>
      </c>
    </row>
    <row r="4209" customFormat="false" ht="15" hidden="false" customHeight="false" outlineLevel="0" collapsed="false">
      <c r="A4209" s="12" t="s">
        <v>713</v>
      </c>
      <c r="B4209" s="12" t="n">
        <f aca="false">COUNTIFS(Cleaned!$D$2:$D$125,10,Cleaned!GU$2:GU$125,"&lt;&gt;")</f>
        <v>0</v>
      </c>
      <c r="C4209" s="15" t="str">
        <f aca="false">IF(B4209=0,"",AVERAGEIF(Cleaned!$D$2:$D$125,10,Cleaned!GU$2:GU$125))</f>
        <v/>
      </c>
    </row>
    <row r="4210" customFormat="false" ht="15" hidden="false" customHeight="false" outlineLevel="0" collapsed="false">
      <c r="A4210" s="12" t="s">
        <v>714</v>
      </c>
      <c r="B4210" s="12" t="n">
        <f aca="false">COUNTIFS(Cleaned!$D$2:$D$125,11,Cleaned!GU$2:GU$125,"&lt;&gt;")</f>
        <v>1</v>
      </c>
      <c r="C4210" s="15" t="n">
        <f aca="false">IF(B4210=0,"",AVERAGEIF(Cleaned!$D$2:$D$125,11,Cleaned!GU$2:GU$125))</f>
        <v>0</v>
      </c>
    </row>
    <row r="4211" customFormat="false" ht="15" hidden="false" customHeight="false" outlineLevel="0" collapsed="false">
      <c r="A4211" s="12" t="s">
        <v>715</v>
      </c>
      <c r="B4211" s="12" t="n">
        <f aca="false">COUNTIFS(Cleaned!$D$2:$D$125,12,Cleaned!GU$2:GU$125,"&lt;&gt;")</f>
        <v>1</v>
      </c>
      <c r="C4211" s="15" t="n">
        <f aca="false">IF(B4211=0,"",AVERAGEIF(Cleaned!$D$2:$D$125,12,Cleaned!GU$2:GU$125))</f>
        <v>0</v>
      </c>
    </row>
    <row r="4214" customFormat="false" ht="15" hidden="false" customHeight="false" outlineLevel="0" collapsed="false">
      <c r="A4214" s="6" t="s">
        <v>192</v>
      </c>
      <c r="B4214" s="7" t="s">
        <v>964</v>
      </c>
    </row>
    <row r="4215" customFormat="false" ht="15" hidden="false" customHeight="false" outlineLevel="0" collapsed="false">
      <c r="A4215" s="8"/>
      <c r="B4215" s="9" t="s">
        <v>372</v>
      </c>
      <c r="C4215" s="8"/>
      <c r="D4215" s="9" t="s">
        <v>434</v>
      </c>
      <c r="E4215" s="8"/>
      <c r="F4215" s="9" t="s">
        <v>965</v>
      </c>
      <c r="G4215" s="8"/>
      <c r="H4215" s="9" t="s">
        <v>250</v>
      </c>
      <c r="I4215" s="8"/>
      <c r="J4215" s="9" t="s">
        <v>221</v>
      </c>
      <c r="K4215" s="8"/>
      <c r="L4215" s="9" t="s">
        <v>246</v>
      </c>
      <c r="M4215" s="8"/>
      <c r="N4215" s="9" t="s">
        <v>694</v>
      </c>
    </row>
    <row r="4216" customFormat="false" ht="15" hidden="false" customHeight="false" outlineLevel="0" collapsed="false">
      <c r="B4216" s="10" t="s">
        <v>695</v>
      </c>
      <c r="C4216" s="10" t="s">
        <v>696</v>
      </c>
      <c r="D4216" s="10" t="s">
        <v>695</v>
      </c>
      <c r="E4216" s="10" t="s">
        <v>696</v>
      </c>
      <c r="F4216" s="10" t="s">
        <v>695</v>
      </c>
      <c r="G4216" s="10" t="s">
        <v>696</v>
      </c>
      <c r="H4216" s="10" t="s">
        <v>695</v>
      </c>
      <c r="I4216" s="10" t="s">
        <v>696</v>
      </c>
      <c r="J4216" s="10" t="s">
        <v>695</v>
      </c>
      <c r="K4216" s="10" t="s">
        <v>696</v>
      </c>
      <c r="L4216" s="10" t="s">
        <v>695</v>
      </c>
      <c r="M4216" s="10" t="s">
        <v>696</v>
      </c>
    </row>
    <row r="4217" customFormat="false" ht="15" hidden="false" customHeight="false" outlineLevel="0" collapsed="false">
      <c r="A4217" s="11" t="s">
        <v>697</v>
      </c>
    </row>
    <row r="4218" customFormat="false" ht="15" hidden="false" customHeight="false" outlineLevel="0" collapsed="false">
      <c r="A4218" s="12" t="s">
        <v>698</v>
      </c>
      <c r="B4218" s="12" t="n">
        <f aca="false">COUNTIFS(Cleaned!$C$2:$C$125,1,Cleaned!GV$2:GV$125,1)</f>
        <v>1</v>
      </c>
      <c r="C4218" s="13" t="n">
        <f aca="false">IFERROR(B4218/$N4218,"")</f>
        <v>1</v>
      </c>
      <c r="D4218" s="12" t="n">
        <f aca="false">COUNTIFS(Cleaned!$C$2:$C$125,1,Cleaned!GV$2:GV$125,2)</f>
        <v>0</v>
      </c>
      <c r="E4218" s="13" t="n">
        <f aca="false">IFERROR(D4218/$N4218,"")</f>
        <v>0</v>
      </c>
      <c r="F4218" s="12" t="n">
        <f aca="false">COUNTIFS(Cleaned!$C$2:$C$125,1,Cleaned!GV$2:GV$125,3)</f>
        <v>0</v>
      </c>
      <c r="G4218" s="13" t="n">
        <f aca="false">IFERROR(F4218/$N4218,"")</f>
        <v>0</v>
      </c>
      <c r="H4218" s="12" t="n">
        <f aca="false">COUNTIFS(Cleaned!$C$2:$C$125,1,Cleaned!GV$2:GV$125,4)</f>
        <v>0</v>
      </c>
      <c r="I4218" s="13" t="n">
        <f aca="false">IFERROR(H4218/$N4218,"")</f>
        <v>0</v>
      </c>
      <c r="J4218" s="12" t="n">
        <f aca="false">COUNTIFS(Cleaned!$C$2:$C$125,1,Cleaned!GV$2:GV$125,5)</f>
        <v>0</v>
      </c>
      <c r="K4218" s="13" t="n">
        <f aca="false">IFERROR(J4218/$N4218,"")</f>
        <v>0</v>
      </c>
      <c r="L4218" s="12" t="n">
        <f aca="false">COUNTIFS(Cleaned!$C$2:$C$125,1,Cleaned!GV$2:GV$125,6)</f>
        <v>0</v>
      </c>
      <c r="M4218" s="13" t="n">
        <f aca="false">IFERROR(L4218/$N4218,"")</f>
        <v>0</v>
      </c>
      <c r="N4218" s="12" t="n">
        <f aca="false">B4218+D4218+F4218+H4218+J4218+L4218</f>
        <v>1</v>
      </c>
    </row>
    <row r="4219" customFormat="false" ht="15" hidden="false" customHeight="false" outlineLevel="0" collapsed="false">
      <c r="A4219" s="12" t="s">
        <v>699</v>
      </c>
      <c r="B4219" s="12" t="n">
        <f aca="false">COUNTIFS(Cleaned!$C$2:$C$125,2,Cleaned!GV$2:GV$125,1)</f>
        <v>0</v>
      </c>
      <c r="C4219" s="13" t="str">
        <f aca="false">IFERROR(B4219/$N4219,"")</f>
        <v/>
      </c>
      <c r="D4219" s="12" t="n">
        <f aca="false">COUNTIFS(Cleaned!$C$2:$C$125,2,Cleaned!GV$2:GV$125,2)</f>
        <v>0</v>
      </c>
      <c r="E4219" s="13" t="str">
        <f aca="false">IFERROR(D4219/$N4219,"")</f>
        <v/>
      </c>
      <c r="F4219" s="12" t="n">
        <f aca="false">COUNTIFS(Cleaned!$C$2:$C$125,2,Cleaned!GV$2:GV$125,3)</f>
        <v>0</v>
      </c>
      <c r="G4219" s="13" t="str">
        <f aca="false">IFERROR(F4219/$N4219,"")</f>
        <v/>
      </c>
      <c r="H4219" s="12" t="n">
        <f aca="false">COUNTIFS(Cleaned!$C$2:$C$125,2,Cleaned!GV$2:GV$125,4)</f>
        <v>0</v>
      </c>
      <c r="I4219" s="13" t="str">
        <f aca="false">IFERROR(H4219/$N4219,"")</f>
        <v/>
      </c>
      <c r="J4219" s="12" t="n">
        <f aca="false">COUNTIFS(Cleaned!$C$2:$C$125,2,Cleaned!GV$2:GV$125,5)</f>
        <v>0</v>
      </c>
      <c r="K4219" s="13" t="str">
        <f aca="false">IFERROR(J4219/$N4219,"")</f>
        <v/>
      </c>
      <c r="L4219" s="12" t="n">
        <f aca="false">COUNTIFS(Cleaned!$C$2:$C$125,2,Cleaned!GV$2:GV$125,6)</f>
        <v>0</v>
      </c>
      <c r="M4219" s="13" t="str">
        <f aca="false">IFERROR(L4219/$N4219,"")</f>
        <v/>
      </c>
      <c r="N4219" s="12" t="n">
        <f aca="false">B4219+D4219+F4219+H4219+J4219+L4219</f>
        <v>0</v>
      </c>
    </row>
    <row r="4220" customFormat="false" ht="15" hidden="false" customHeight="false" outlineLevel="0" collapsed="false">
      <c r="A4220" s="12" t="s">
        <v>700</v>
      </c>
      <c r="B4220" s="12" t="n">
        <f aca="false">COUNTIFS(Cleaned!$C$2:$C$125,3,Cleaned!GV$2:GV$125,1)</f>
        <v>0</v>
      </c>
      <c r="C4220" s="13" t="n">
        <f aca="false">IFERROR(B4220/$N4220,"")</f>
        <v>0</v>
      </c>
      <c r="D4220" s="12" t="n">
        <f aca="false">COUNTIFS(Cleaned!$C$2:$C$125,3,Cleaned!GV$2:GV$125,2)</f>
        <v>0</v>
      </c>
      <c r="E4220" s="13" t="n">
        <f aca="false">IFERROR(D4220/$N4220,"")</f>
        <v>0</v>
      </c>
      <c r="F4220" s="12" t="n">
        <f aca="false">COUNTIFS(Cleaned!$C$2:$C$125,3,Cleaned!GV$2:GV$125,3)</f>
        <v>0</v>
      </c>
      <c r="G4220" s="13" t="n">
        <f aca="false">IFERROR(F4220/$N4220,"")</f>
        <v>0</v>
      </c>
      <c r="H4220" s="12" t="n">
        <f aca="false">COUNTIFS(Cleaned!$C$2:$C$125,3,Cleaned!GV$2:GV$125,4)</f>
        <v>0</v>
      </c>
      <c r="I4220" s="13" t="n">
        <f aca="false">IFERROR(H4220/$N4220,"")</f>
        <v>0</v>
      </c>
      <c r="J4220" s="12" t="n">
        <f aca="false">COUNTIFS(Cleaned!$C$2:$C$125,3,Cleaned!GV$2:GV$125,5)</f>
        <v>0</v>
      </c>
      <c r="K4220" s="13" t="n">
        <f aca="false">IFERROR(J4220/$N4220,"")</f>
        <v>0</v>
      </c>
      <c r="L4220" s="12" t="n">
        <f aca="false">COUNTIFS(Cleaned!$C$2:$C$125,3,Cleaned!GV$2:GV$125,6)</f>
        <v>1</v>
      </c>
      <c r="M4220" s="13" t="n">
        <f aca="false">IFERROR(L4220/$N4220,"")</f>
        <v>1</v>
      </c>
      <c r="N4220" s="12" t="n">
        <f aca="false">B4220+D4220+F4220+H4220+J4220+L4220</f>
        <v>1</v>
      </c>
    </row>
    <row r="4221" customFormat="false" ht="15" hidden="false" customHeight="false" outlineLevel="0" collapsed="false">
      <c r="A4221" s="12" t="s">
        <v>701</v>
      </c>
      <c r="B4221" s="12" t="n">
        <f aca="false">COUNTIFS(Cleaned!$C$2:$C$125,4,Cleaned!GV$2:GV$125,1)</f>
        <v>3</v>
      </c>
      <c r="C4221" s="13" t="n">
        <f aca="false">IFERROR(B4221/$N4221,"")</f>
        <v>0.6</v>
      </c>
      <c r="D4221" s="12" t="n">
        <f aca="false">COUNTIFS(Cleaned!$C$2:$C$125,4,Cleaned!GV$2:GV$125,2)</f>
        <v>1</v>
      </c>
      <c r="E4221" s="13" t="n">
        <f aca="false">IFERROR(D4221/$N4221,"")</f>
        <v>0.2</v>
      </c>
      <c r="F4221" s="12" t="n">
        <f aca="false">COUNTIFS(Cleaned!$C$2:$C$125,4,Cleaned!GV$2:GV$125,3)</f>
        <v>1</v>
      </c>
      <c r="G4221" s="13" t="n">
        <f aca="false">IFERROR(F4221/$N4221,"")</f>
        <v>0.2</v>
      </c>
      <c r="H4221" s="12" t="n">
        <f aca="false">COUNTIFS(Cleaned!$C$2:$C$125,4,Cleaned!GV$2:GV$125,4)</f>
        <v>0</v>
      </c>
      <c r="I4221" s="13" t="n">
        <f aca="false">IFERROR(H4221/$N4221,"")</f>
        <v>0</v>
      </c>
      <c r="J4221" s="12" t="n">
        <f aca="false">COUNTIFS(Cleaned!$C$2:$C$125,4,Cleaned!GV$2:GV$125,5)</f>
        <v>0</v>
      </c>
      <c r="K4221" s="13" t="n">
        <f aca="false">IFERROR(J4221/$N4221,"")</f>
        <v>0</v>
      </c>
      <c r="L4221" s="12" t="n">
        <f aca="false">COUNTIFS(Cleaned!$C$2:$C$125,4,Cleaned!GV$2:GV$125,6)</f>
        <v>0</v>
      </c>
      <c r="M4221" s="13" t="n">
        <f aca="false">IFERROR(L4221/$N4221,"")</f>
        <v>0</v>
      </c>
      <c r="N4221" s="12" t="n">
        <f aca="false">B4221+D4221+F4221+H4221+J4221+L4221</f>
        <v>5</v>
      </c>
    </row>
    <row r="4222" customFormat="false" ht="15" hidden="false" customHeight="false" outlineLevel="0" collapsed="false">
      <c r="A4222" s="12" t="s">
        <v>702</v>
      </c>
      <c r="B4222" s="12" t="n">
        <f aca="false">COUNTIFS(Cleaned!$C$2:$C$125,5,Cleaned!GV$2:GV$125,1)</f>
        <v>4</v>
      </c>
      <c r="C4222" s="13" t="n">
        <f aca="false">IFERROR(B4222/$N4222,"")</f>
        <v>0.666666666666667</v>
      </c>
      <c r="D4222" s="12" t="n">
        <f aca="false">COUNTIFS(Cleaned!$C$2:$C$125,5,Cleaned!GV$2:GV$125,2)</f>
        <v>0</v>
      </c>
      <c r="E4222" s="13" t="n">
        <f aca="false">IFERROR(D4222/$N4222,"")</f>
        <v>0</v>
      </c>
      <c r="F4222" s="12" t="n">
        <f aca="false">COUNTIFS(Cleaned!$C$2:$C$125,5,Cleaned!GV$2:GV$125,3)</f>
        <v>0</v>
      </c>
      <c r="G4222" s="13" t="n">
        <f aca="false">IFERROR(F4222/$N4222,"")</f>
        <v>0</v>
      </c>
      <c r="H4222" s="12" t="n">
        <f aca="false">COUNTIFS(Cleaned!$C$2:$C$125,5,Cleaned!GV$2:GV$125,4)</f>
        <v>1</v>
      </c>
      <c r="I4222" s="13" t="n">
        <f aca="false">IFERROR(H4222/$N4222,"")</f>
        <v>0.166666666666667</v>
      </c>
      <c r="J4222" s="12" t="n">
        <f aca="false">COUNTIFS(Cleaned!$C$2:$C$125,5,Cleaned!GV$2:GV$125,5)</f>
        <v>0</v>
      </c>
      <c r="K4222" s="13" t="n">
        <f aca="false">IFERROR(J4222/$N4222,"")</f>
        <v>0</v>
      </c>
      <c r="L4222" s="12" t="n">
        <f aca="false">COUNTIFS(Cleaned!$C$2:$C$125,5,Cleaned!GV$2:GV$125,6)</f>
        <v>1</v>
      </c>
      <c r="M4222" s="13" t="n">
        <f aca="false">IFERROR(L4222/$N4222,"")</f>
        <v>0.166666666666667</v>
      </c>
      <c r="N4222" s="12" t="n">
        <f aca="false">B4222+D4222+F4222+H4222+J4222+L4222</f>
        <v>6</v>
      </c>
    </row>
    <row r="4223" customFormat="false" ht="15" hidden="false" customHeight="false" outlineLevel="0" collapsed="false">
      <c r="A4223" s="11" t="s">
        <v>703</v>
      </c>
      <c r="B4223" s="11" t="n">
        <f aca="false">SUM(B4218:B4222)</f>
        <v>8</v>
      </c>
      <c r="C4223" s="14" t="n">
        <f aca="false">IFERROR(B4223/$N4223,"")</f>
        <v>0.615384615384615</v>
      </c>
      <c r="D4223" s="11" t="n">
        <f aca="false">SUM(D4218:D4222)</f>
        <v>1</v>
      </c>
      <c r="E4223" s="14" t="n">
        <f aca="false">IFERROR(D4223/$N4223,"")</f>
        <v>0.0769230769230769</v>
      </c>
      <c r="F4223" s="11" t="n">
        <f aca="false">SUM(F4218:F4222)</f>
        <v>1</v>
      </c>
      <c r="G4223" s="14" t="n">
        <f aca="false">IFERROR(F4223/$N4223,"")</f>
        <v>0.0769230769230769</v>
      </c>
      <c r="H4223" s="11" t="n">
        <f aca="false">SUM(H4218:H4222)</f>
        <v>1</v>
      </c>
      <c r="I4223" s="14" t="n">
        <f aca="false">IFERROR(H4223/$N4223,"")</f>
        <v>0.0769230769230769</v>
      </c>
      <c r="J4223" s="11" t="n">
        <f aca="false">SUM(J4218:J4222)</f>
        <v>0</v>
      </c>
      <c r="K4223" s="14" t="n">
        <f aca="false">IFERROR(J4223/$N4223,"")</f>
        <v>0</v>
      </c>
      <c r="L4223" s="11" t="n">
        <f aca="false">SUM(L4218:L4222)</f>
        <v>2</v>
      </c>
      <c r="M4223" s="14" t="n">
        <f aca="false">IFERROR(L4223/$N4223,"")</f>
        <v>0.153846153846154</v>
      </c>
      <c r="N4223" s="11" t="n">
        <f aca="false">SUM(N4218:N4222)</f>
        <v>13</v>
      </c>
    </row>
    <row r="4224" customFormat="false" ht="15" hidden="false" customHeight="false" outlineLevel="0" collapsed="false">
      <c r="A4224" s="11" t="s">
        <v>3</v>
      </c>
    </row>
    <row r="4225" customFormat="false" ht="15" hidden="false" customHeight="false" outlineLevel="0" collapsed="false">
      <c r="A4225" s="12" t="s">
        <v>704</v>
      </c>
      <c r="B4225" s="12" t="n">
        <f aca="false">COUNTIFS(Cleaned!$D$2:$D$125,1,Cleaned!GV$2:GV$125,1)</f>
        <v>1</v>
      </c>
      <c r="C4225" s="13" t="n">
        <f aca="false">IFERROR(B4225/$N4225,"")</f>
        <v>1</v>
      </c>
      <c r="D4225" s="12" t="n">
        <f aca="false">COUNTIFS(Cleaned!$D$2:$D$125,1,Cleaned!GV$2:GV$125,2)</f>
        <v>0</v>
      </c>
      <c r="E4225" s="13" t="n">
        <f aca="false">IFERROR(D4225/$N4225,"")</f>
        <v>0</v>
      </c>
      <c r="F4225" s="12" t="n">
        <f aca="false">COUNTIFS(Cleaned!$D$2:$D$125,1,Cleaned!GV$2:GV$125,3)</f>
        <v>0</v>
      </c>
      <c r="G4225" s="13" t="n">
        <f aca="false">IFERROR(F4225/$N4225,"")</f>
        <v>0</v>
      </c>
      <c r="H4225" s="12" t="n">
        <f aca="false">COUNTIFS(Cleaned!$D$2:$D$125,1,Cleaned!GV$2:GV$125,4)</f>
        <v>0</v>
      </c>
      <c r="I4225" s="13" t="n">
        <f aca="false">IFERROR(H4225/$N4225,"")</f>
        <v>0</v>
      </c>
      <c r="J4225" s="12" t="n">
        <f aca="false">COUNTIFS(Cleaned!$D$2:$D$125,1,Cleaned!GV$2:GV$125,5)</f>
        <v>0</v>
      </c>
      <c r="K4225" s="13" t="n">
        <f aca="false">IFERROR(J4225/$N4225,"")</f>
        <v>0</v>
      </c>
      <c r="L4225" s="12" t="n">
        <f aca="false">COUNTIFS(Cleaned!$D$2:$D$125,1,Cleaned!GV$2:GV$125,6)</f>
        <v>0</v>
      </c>
      <c r="M4225" s="13" t="n">
        <f aca="false">IFERROR(L4225/$N4225,"")</f>
        <v>0</v>
      </c>
      <c r="N4225" s="12" t="n">
        <f aca="false">B4225+D4225+F4225+H4225+J4225+L4225</f>
        <v>1</v>
      </c>
    </row>
    <row r="4226" customFormat="false" ht="15" hidden="false" customHeight="false" outlineLevel="0" collapsed="false">
      <c r="A4226" s="12" t="s">
        <v>705</v>
      </c>
      <c r="B4226" s="12" t="n">
        <f aca="false">COUNTIFS(Cleaned!$D$2:$D$125,2,Cleaned!GV$2:GV$125,1)</f>
        <v>3</v>
      </c>
      <c r="C4226" s="13" t="n">
        <f aca="false">IFERROR(B4226/$N4226,"")</f>
        <v>0.75</v>
      </c>
      <c r="D4226" s="12" t="n">
        <f aca="false">COUNTIFS(Cleaned!$D$2:$D$125,2,Cleaned!GV$2:GV$125,2)</f>
        <v>0</v>
      </c>
      <c r="E4226" s="13" t="n">
        <f aca="false">IFERROR(D4226/$N4226,"")</f>
        <v>0</v>
      </c>
      <c r="F4226" s="12" t="n">
        <f aca="false">COUNTIFS(Cleaned!$D$2:$D$125,2,Cleaned!GV$2:GV$125,3)</f>
        <v>0</v>
      </c>
      <c r="G4226" s="13" t="n">
        <f aca="false">IFERROR(F4226/$N4226,"")</f>
        <v>0</v>
      </c>
      <c r="H4226" s="12" t="n">
        <f aca="false">COUNTIFS(Cleaned!$D$2:$D$125,2,Cleaned!GV$2:GV$125,4)</f>
        <v>1</v>
      </c>
      <c r="I4226" s="13" t="n">
        <f aca="false">IFERROR(H4226/$N4226,"")</f>
        <v>0.25</v>
      </c>
      <c r="J4226" s="12" t="n">
        <f aca="false">COUNTIFS(Cleaned!$D$2:$D$125,2,Cleaned!GV$2:GV$125,5)</f>
        <v>0</v>
      </c>
      <c r="K4226" s="13" t="n">
        <f aca="false">IFERROR(J4226/$N4226,"")</f>
        <v>0</v>
      </c>
      <c r="L4226" s="12" t="n">
        <f aca="false">COUNTIFS(Cleaned!$D$2:$D$125,2,Cleaned!GV$2:GV$125,6)</f>
        <v>0</v>
      </c>
      <c r="M4226" s="13" t="n">
        <f aca="false">IFERROR(L4226/$N4226,"")</f>
        <v>0</v>
      </c>
      <c r="N4226" s="12" t="n">
        <f aca="false">B4226+D4226+F4226+H4226+J4226+L4226</f>
        <v>4</v>
      </c>
    </row>
    <row r="4227" customFormat="false" ht="15" hidden="false" customHeight="false" outlineLevel="0" collapsed="false">
      <c r="A4227" s="12" t="s">
        <v>706</v>
      </c>
      <c r="B4227" s="12" t="n">
        <f aca="false">COUNTIFS(Cleaned!$D$2:$D$125,3,Cleaned!GV$2:GV$125,1)</f>
        <v>1</v>
      </c>
      <c r="C4227" s="13" t="n">
        <f aca="false">IFERROR(B4227/$N4227,"")</f>
        <v>1</v>
      </c>
      <c r="D4227" s="12" t="n">
        <f aca="false">COUNTIFS(Cleaned!$D$2:$D$125,3,Cleaned!GV$2:GV$125,2)</f>
        <v>0</v>
      </c>
      <c r="E4227" s="13" t="n">
        <f aca="false">IFERROR(D4227/$N4227,"")</f>
        <v>0</v>
      </c>
      <c r="F4227" s="12" t="n">
        <f aca="false">COUNTIFS(Cleaned!$D$2:$D$125,3,Cleaned!GV$2:GV$125,3)</f>
        <v>0</v>
      </c>
      <c r="G4227" s="13" t="n">
        <f aca="false">IFERROR(F4227/$N4227,"")</f>
        <v>0</v>
      </c>
      <c r="H4227" s="12" t="n">
        <f aca="false">COUNTIFS(Cleaned!$D$2:$D$125,3,Cleaned!GV$2:GV$125,4)</f>
        <v>0</v>
      </c>
      <c r="I4227" s="13" t="n">
        <f aca="false">IFERROR(H4227/$N4227,"")</f>
        <v>0</v>
      </c>
      <c r="J4227" s="12" t="n">
        <f aca="false">COUNTIFS(Cleaned!$D$2:$D$125,3,Cleaned!GV$2:GV$125,5)</f>
        <v>0</v>
      </c>
      <c r="K4227" s="13" t="n">
        <f aca="false">IFERROR(J4227/$N4227,"")</f>
        <v>0</v>
      </c>
      <c r="L4227" s="12" t="n">
        <f aca="false">COUNTIFS(Cleaned!$D$2:$D$125,3,Cleaned!GV$2:GV$125,6)</f>
        <v>0</v>
      </c>
      <c r="M4227" s="13" t="n">
        <f aca="false">IFERROR(L4227/$N4227,"")</f>
        <v>0</v>
      </c>
      <c r="N4227" s="12" t="n">
        <f aca="false">B4227+D4227+F4227+H4227+J4227+L4227</f>
        <v>1</v>
      </c>
    </row>
    <row r="4228" customFormat="false" ht="15" hidden="false" customHeight="false" outlineLevel="0" collapsed="false">
      <c r="A4228" s="12" t="s">
        <v>707</v>
      </c>
      <c r="B4228" s="12" t="n">
        <f aca="false">COUNTIFS(Cleaned!$D$2:$D$125,4,Cleaned!GV$2:GV$125,1)</f>
        <v>0</v>
      </c>
      <c r="C4228" s="13" t="n">
        <f aca="false">IFERROR(B4228/$N4228,"")</f>
        <v>0</v>
      </c>
      <c r="D4228" s="12" t="n">
        <f aca="false">COUNTIFS(Cleaned!$D$2:$D$125,4,Cleaned!GV$2:GV$125,2)</f>
        <v>0</v>
      </c>
      <c r="E4228" s="13" t="n">
        <f aca="false">IFERROR(D4228/$N4228,"")</f>
        <v>0</v>
      </c>
      <c r="F4228" s="12" t="n">
        <f aca="false">COUNTIFS(Cleaned!$D$2:$D$125,4,Cleaned!GV$2:GV$125,3)</f>
        <v>0</v>
      </c>
      <c r="G4228" s="13" t="n">
        <f aca="false">IFERROR(F4228/$N4228,"")</f>
        <v>0</v>
      </c>
      <c r="H4228" s="12" t="n">
        <f aca="false">COUNTIFS(Cleaned!$D$2:$D$125,4,Cleaned!GV$2:GV$125,4)</f>
        <v>0</v>
      </c>
      <c r="I4228" s="13" t="n">
        <f aca="false">IFERROR(H4228/$N4228,"")</f>
        <v>0</v>
      </c>
      <c r="J4228" s="12" t="n">
        <f aca="false">COUNTIFS(Cleaned!$D$2:$D$125,4,Cleaned!GV$2:GV$125,5)</f>
        <v>0</v>
      </c>
      <c r="K4228" s="13" t="n">
        <f aca="false">IFERROR(J4228/$N4228,"")</f>
        <v>0</v>
      </c>
      <c r="L4228" s="12" t="n">
        <f aca="false">COUNTIFS(Cleaned!$D$2:$D$125,4,Cleaned!GV$2:GV$125,6)</f>
        <v>1</v>
      </c>
      <c r="M4228" s="13" t="n">
        <f aca="false">IFERROR(L4228/$N4228,"")</f>
        <v>1</v>
      </c>
      <c r="N4228" s="12" t="n">
        <f aca="false">B4228+D4228+F4228+H4228+J4228+L4228</f>
        <v>1</v>
      </c>
    </row>
    <row r="4229" customFormat="false" ht="15" hidden="false" customHeight="false" outlineLevel="0" collapsed="false">
      <c r="A4229" s="12" t="s">
        <v>708</v>
      </c>
      <c r="B4229" s="12" t="n">
        <f aca="false">COUNTIFS(Cleaned!$D$2:$D$125,5,Cleaned!GV$2:GV$125,1)</f>
        <v>0</v>
      </c>
      <c r="C4229" s="13" t="str">
        <f aca="false">IFERROR(B4229/$N4229,"")</f>
        <v/>
      </c>
      <c r="D4229" s="12" t="n">
        <f aca="false">COUNTIFS(Cleaned!$D$2:$D$125,5,Cleaned!GV$2:GV$125,2)</f>
        <v>0</v>
      </c>
      <c r="E4229" s="13" t="str">
        <f aca="false">IFERROR(D4229/$N4229,"")</f>
        <v/>
      </c>
      <c r="F4229" s="12" t="n">
        <f aca="false">COUNTIFS(Cleaned!$D$2:$D$125,5,Cleaned!GV$2:GV$125,3)</f>
        <v>0</v>
      </c>
      <c r="G4229" s="13" t="str">
        <f aca="false">IFERROR(F4229/$N4229,"")</f>
        <v/>
      </c>
      <c r="H4229" s="12" t="n">
        <f aca="false">COUNTIFS(Cleaned!$D$2:$D$125,5,Cleaned!GV$2:GV$125,4)</f>
        <v>0</v>
      </c>
      <c r="I4229" s="13" t="str">
        <f aca="false">IFERROR(H4229/$N4229,"")</f>
        <v/>
      </c>
      <c r="J4229" s="12" t="n">
        <f aca="false">COUNTIFS(Cleaned!$D$2:$D$125,5,Cleaned!GV$2:GV$125,5)</f>
        <v>0</v>
      </c>
      <c r="K4229" s="13" t="str">
        <f aca="false">IFERROR(J4229/$N4229,"")</f>
        <v/>
      </c>
      <c r="L4229" s="12" t="n">
        <f aca="false">COUNTIFS(Cleaned!$D$2:$D$125,5,Cleaned!GV$2:GV$125,6)</f>
        <v>0</v>
      </c>
      <c r="M4229" s="13" t="str">
        <f aca="false">IFERROR(L4229/$N4229,"")</f>
        <v/>
      </c>
      <c r="N4229" s="12" t="n">
        <f aca="false">B4229+D4229+F4229+H4229+J4229+L4229</f>
        <v>0</v>
      </c>
    </row>
    <row r="4230" customFormat="false" ht="15" hidden="false" customHeight="false" outlineLevel="0" collapsed="false">
      <c r="A4230" s="12" t="s">
        <v>709</v>
      </c>
      <c r="B4230" s="12" t="n">
        <f aca="false">COUNTIFS(Cleaned!$D$2:$D$125,6,Cleaned!GV$2:GV$125,1)</f>
        <v>1</v>
      </c>
      <c r="C4230" s="13" t="n">
        <f aca="false">IFERROR(B4230/$N4230,"")</f>
        <v>0.5</v>
      </c>
      <c r="D4230" s="12" t="n">
        <f aca="false">COUNTIFS(Cleaned!$D$2:$D$125,6,Cleaned!GV$2:GV$125,2)</f>
        <v>1</v>
      </c>
      <c r="E4230" s="13" t="n">
        <f aca="false">IFERROR(D4230/$N4230,"")</f>
        <v>0.5</v>
      </c>
      <c r="F4230" s="12" t="n">
        <f aca="false">COUNTIFS(Cleaned!$D$2:$D$125,6,Cleaned!GV$2:GV$125,3)</f>
        <v>0</v>
      </c>
      <c r="G4230" s="13" t="n">
        <f aca="false">IFERROR(F4230/$N4230,"")</f>
        <v>0</v>
      </c>
      <c r="H4230" s="12" t="n">
        <f aca="false">COUNTIFS(Cleaned!$D$2:$D$125,6,Cleaned!GV$2:GV$125,4)</f>
        <v>0</v>
      </c>
      <c r="I4230" s="13" t="n">
        <f aca="false">IFERROR(H4230/$N4230,"")</f>
        <v>0</v>
      </c>
      <c r="J4230" s="12" t="n">
        <f aca="false">COUNTIFS(Cleaned!$D$2:$D$125,6,Cleaned!GV$2:GV$125,5)</f>
        <v>0</v>
      </c>
      <c r="K4230" s="13" t="n">
        <f aca="false">IFERROR(J4230/$N4230,"")</f>
        <v>0</v>
      </c>
      <c r="L4230" s="12" t="n">
        <f aca="false">COUNTIFS(Cleaned!$D$2:$D$125,6,Cleaned!GV$2:GV$125,6)</f>
        <v>0</v>
      </c>
      <c r="M4230" s="13" t="n">
        <f aca="false">IFERROR(L4230/$N4230,"")</f>
        <v>0</v>
      </c>
      <c r="N4230" s="12" t="n">
        <f aca="false">B4230+D4230+F4230+H4230+J4230+L4230</f>
        <v>2</v>
      </c>
    </row>
    <row r="4231" customFormat="false" ht="15" hidden="false" customHeight="false" outlineLevel="0" collapsed="false">
      <c r="A4231" s="12" t="s">
        <v>710</v>
      </c>
      <c r="B4231" s="12" t="n">
        <f aca="false">COUNTIFS(Cleaned!$D$2:$D$125,7,Cleaned!GV$2:GV$125,1)</f>
        <v>1</v>
      </c>
      <c r="C4231" s="13" t="n">
        <f aca="false">IFERROR(B4231/$N4231,"")</f>
        <v>0.5</v>
      </c>
      <c r="D4231" s="12" t="n">
        <f aca="false">COUNTIFS(Cleaned!$D$2:$D$125,7,Cleaned!GV$2:GV$125,2)</f>
        <v>0</v>
      </c>
      <c r="E4231" s="13" t="n">
        <f aca="false">IFERROR(D4231/$N4231,"")</f>
        <v>0</v>
      </c>
      <c r="F4231" s="12" t="n">
        <f aca="false">COUNTIFS(Cleaned!$D$2:$D$125,7,Cleaned!GV$2:GV$125,3)</f>
        <v>0</v>
      </c>
      <c r="G4231" s="13" t="n">
        <f aca="false">IFERROR(F4231/$N4231,"")</f>
        <v>0</v>
      </c>
      <c r="H4231" s="12" t="n">
        <f aca="false">COUNTIFS(Cleaned!$D$2:$D$125,7,Cleaned!GV$2:GV$125,4)</f>
        <v>0</v>
      </c>
      <c r="I4231" s="13" t="n">
        <f aca="false">IFERROR(H4231/$N4231,"")</f>
        <v>0</v>
      </c>
      <c r="J4231" s="12" t="n">
        <f aca="false">COUNTIFS(Cleaned!$D$2:$D$125,7,Cleaned!GV$2:GV$125,5)</f>
        <v>0</v>
      </c>
      <c r="K4231" s="13" t="n">
        <f aca="false">IFERROR(J4231/$N4231,"")</f>
        <v>0</v>
      </c>
      <c r="L4231" s="12" t="n">
        <f aca="false">COUNTIFS(Cleaned!$D$2:$D$125,7,Cleaned!GV$2:GV$125,6)</f>
        <v>1</v>
      </c>
      <c r="M4231" s="13" t="n">
        <f aca="false">IFERROR(L4231/$N4231,"")</f>
        <v>0.5</v>
      </c>
      <c r="N4231" s="12" t="n">
        <f aca="false">B4231+D4231+F4231+H4231+J4231+L4231</f>
        <v>2</v>
      </c>
    </row>
    <row r="4232" customFormat="false" ht="15" hidden="false" customHeight="false" outlineLevel="0" collapsed="false">
      <c r="A4232" s="12" t="s">
        <v>711</v>
      </c>
      <c r="B4232" s="12" t="n">
        <f aca="false">COUNTIFS(Cleaned!$D$2:$D$125,8,Cleaned!GV$2:GV$125,1)</f>
        <v>0</v>
      </c>
      <c r="C4232" s="13" t="n">
        <f aca="false">IFERROR(B4232/$N4232,"")</f>
        <v>0</v>
      </c>
      <c r="D4232" s="12" t="n">
        <f aca="false">COUNTIFS(Cleaned!$D$2:$D$125,8,Cleaned!GV$2:GV$125,2)</f>
        <v>0</v>
      </c>
      <c r="E4232" s="13" t="n">
        <f aca="false">IFERROR(D4232/$N4232,"")</f>
        <v>0</v>
      </c>
      <c r="F4232" s="12" t="n">
        <f aca="false">COUNTIFS(Cleaned!$D$2:$D$125,8,Cleaned!GV$2:GV$125,3)</f>
        <v>1</v>
      </c>
      <c r="G4232" s="13" t="n">
        <f aca="false">IFERROR(F4232/$N4232,"")</f>
        <v>1</v>
      </c>
      <c r="H4232" s="12" t="n">
        <f aca="false">COUNTIFS(Cleaned!$D$2:$D$125,8,Cleaned!GV$2:GV$125,4)</f>
        <v>0</v>
      </c>
      <c r="I4232" s="13" t="n">
        <f aca="false">IFERROR(H4232/$N4232,"")</f>
        <v>0</v>
      </c>
      <c r="J4232" s="12" t="n">
        <f aca="false">COUNTIFS(Cleaned!$D$2:$D$125,8,Cleaned!GV$2:GV$125,5)</f>
        <v>0</v>
      </c>
      <c r="K4232" s="13" t="n">
        <f aca="false">IFERROR(J4232/$N4232,"")</f>
        <v>0</v>
      </c>
      <c r="L4232" s="12" t="n">
        <f aca="false">COUNTIFS(Cleaned!$D$2:$D$125,8,Cleaned!GV$2:GV$125,6)</f>
        <v>0</v>
      </c>
      <c r="M4232" s="13" t="n">
        <f aca="false">IFERROR(L4232/$N4232,"")</f>
        <v>0</v>
      </c>
      <c r="N4232" s="12" t="n">
        <f aca="false">B4232+D4232+F4232+H4232+J4232+L4232</f>
        <v>1</v>
      </c>
    </row>
    <row r="4233" customFormat="false" ht="15" hidden="false" customHeight="false" outlineLevel="0" collapsed="false">
      <c r="A4233" s="12" t="s">
        <v>712</v>
      </c>
      <c r="B4233" s="12" t="n">
        <f aca="false">COUNTIFS(Cleaned!$D$2:$D$125,9,Cleaned!GV$2:GV$125,1)</f>
        <v>0</v>
      </c>
      <c r="C4233" s="13" t="str">
        <f aca="false">IFERROR(B4233/$N4233,"")</f>
        <v/>
      </c>
      <c r="D4233" s="12" t="n">
        <f aca="false">COUNTIFS(Cleaned!$D$2:$D$125,9,Cleaned!GV$2:GV$125,2)</f>
        <v>0</v>
      </c>
      <c r="E4233" s="13" t="str">
        <f aca="false">IFERROR(D4233/$N4233,"")</f>
        <v/>
      </c>
      <c r="F4233" s="12" t="n">
        <f aca="false">COUNTIFS(Cleaned!$D$2:$D$125,9,Cleaned!GV$2:GV$125,3)</f>
        <v>0</v>
      </c>
      <c r="G4233" s="13" t="str">
        <f aca="false">IFERROR(F4233/$N4233,"")</f>
        <v/>
      </c>
      <c r="H4233" s="12" t="n">
        <f aca="false">COUNTIFS(Cleaned!$D$2:$D$125,9,Cleaned!GV$2:GV$125,4)</f>
        <v>0</v>
      </c>
      <c r="I4233" s="13" t="str">
        <f aca="false">IFERROR(H4233/$N4233,"")</f>
        <v/>
      </c>
      <c r="J4233" s="12" t="n">
        <f aca="false">COUNTIFS(Cleaned!$D$2:$D$125,9,Cleaned!GV$2:GV$125,5)</f>
        <v>0</v>
      </c>
      <c r="K4233" s="13" t="str">
        <f aca="false">IFERROR(J4233/$N4233,"")</f>
        <v/>
      </c>
      <c r="L4233" s="12" t="n">
        <f aca="false">COUNTIFS(Cleaned!$D$2:$D$125,9,Cleaned!GV$2:GV$125,6)</f>
        <v>0</v>
      </c>
      <c r="M4233" s="13" t="str">
        <f aca="false">IFERROR(L4233/$N4233,"")</f>
        <v/>
      </c>
      <c r="N4233" s="12" t="n">
        <f aca="false">B4233+D4233+F4233+H4233+J4233+L4233</f>
        <v>0</v>
      </c>
    </row>
    <row r="4234" customFormat="false" ht="15" hidden="false" customHeight="false" outlineLevel="0" collapsed="false">
      <c r="A4234" s="12" t="s">
        <v>713</v>
      </c>
      <c r="B4234" s="12" t="n">
        <f aca="false">COUNTIFS(Cleaned!$D$2:$D$125,10,Cleaned!GV$2:GV$125,1)</f>
        <v>0</v>
      </c>
      <c r="C4234" s="13" t="str">
        <f aca="false">IFERROR(B4234/$N4234,"")</f>
        <v/>
      </c>
      <c r="D4234" s="12" t="n">
        <f aca="false">COUNTIFS(Cleaned!$D$2:$D$125,10,Cleaned!GV$2:GV$125,2)</f>
        <v>0</v>
      </c>
      <c r="E4234" s="13" t="str">
        <f aca="false">IFERROR(D4234/$N4234,"")</f>
        <v/>
      </c>
      <c r="F4234" s="12" t="n">
        <f aca="false">COUNTIFS(Cleaned!$D$2:$D$125,10,Cleaned!GV$2:GV$125,3)</f>
        <v>0</v>
      </c>
      <c r="G4234" s="13" t="str">
        <f aca="false">IFERROR(F4234/$N4234,"")</f>
        <v/>
      </c>
      <c r="H4234" s="12" t="n">
        <f aca="false">COUNTIFS(Cleaned!$D$2:$D$125,10,Cleaned!GV$2:GV$125,4)</f>
        <v>0</v>
      </c>
      <c r="I4234" s="13" t="str">
        <f aca="false">IFERROR(H4234/$N4234,"")</f>
        <v/>
      </c>
      <c r="J4234" s="12" t="n">
        <f aca="false">COUNTIFS(Cleaned!$D$2:$D$125,10,Cleaned!GV$2:GV$125,5)</f>
        <v>0</v>
      </c>
      <c r="K4234" s="13" t="str">
        <f aca="false">IFERROR(J4234/$N4234,"")</f>
        <v/>
      </c>
      <c r="L4234" s="12" t="n">
        <f aca="false">COUNTIFS(Cleaned!$D$2:$D$125,10,Cleaned!GV$2:GV$125,6)</f>
        <v>0</v>
      </c>
      <c r="M4234" s="13" t="str">
        <f aca="false">IFERROR(L4234/$N4234,"")</f>
        <v/>
      </c>
      <c r="N4234" s="12" t="n">
        <f aca="false">B4234+D4234+F4234+H4234+J4234+L4234</f>
        <v>0</v>
      </c>
    </row>
    <row r="4235" customFormat="false" ht="15" hidden="false" customHeight="false" outlineLevel="0" collapsed="false">
      <c r="A4235" s="12" t="s">
        <v>714</v>
      </c>
      <c r="B4235" s="12" t="n">
        <f aca="false">COUNTIFS(Cleaned!$D$2:$D$125,11,Cleaned!GV$2:GV$125,1)</f>
        <v>1</v>
      </c>
      <c r="C4235" s="13" t="n">
        <f aca="false">IFERROR(B4235/$N4235,"")</f>
        <v>1</v>
      </c>
      <c r="D4235" s="12" t="n">
        <f aca="false">COUNTIFS(Cleaned!$D$2:$D$125,11,Cleaned!GV$2:GV$125,2)</f>
        <v>0</v>
      </c>
      <c r="E4235" s="13" t="n">
        <f aca="false">IFERROR(D4235/$N4235,"")</f>
        <v>0</v>
      </c>
      <c r="F4235" s="12" t="n">
        <f aca="false">COUNTIFS(Cleaned!$D$2:$D$125,11,Cleaned!GV$2:GV$125,3)</f>
        <v>0</v>
      </c>
      <c r="G4235" s="13" t="n">
        <f aca="false">IFERROR(F4235/$N4235,"")</f>
        <v>0</v>
      </c>
      <c r="H4235" s="12" t="n">
        <f aca="false">COUNTIFS(Cleaned!$D$2:$D$125,11,Cleaned!GV$2:GV$125,4)</f>
        <v>0</v>
      </c>
      <c r="I4235" s="13" t="n">
        <f aca="false">IFERROR(H4235/$N4235,"")</f>
        <v>0</v>
      </c>
      <c r="J4235" s="12" t="n">
        <f aca="false">COUNTIFS(Cleaned!$D$2:$D$125,11,Cleaned!GV$2:GV$125,5)</f>
        <v>0</v>
      </c>
      <c r="K4235" s="13" t="n">
        <f aca="false">IFERROR(J4235/$N4235,"")</f>
        <v>0</v>
      </c>
      <c r="L4235" s="12" t="n">
        <f aca="false">COUNTIFS(Cleaned!$D$2:$D$125,11,Cleaned!GV$2:GV$125,6)</f>
        <v>0</v>
      </c>
      <c r="M4235" s="13" t="n">
        <f aca="false">IFERROR(L4235/$N4235,"")</f>
        <v>0</v>
      </c>
      <c r="N4235" s="12" t="n">
        <f aca="false">B4235+D4235+F4235+H4235+J4235+L4235</f>
        <v>1</v>
      </c>
    </row>
    <row r="4236" customFormat="false" ht="15" hidden="false" customHeight="false" outlineLevel="0" collapsed="false">
      <c r="A4236" s="12" t="s">
        <v>715</v>
      </c>
      <c r="B4236" s="12" t="n">
        <f aca="false">COUNTIFS(Cleaned!$D$2:$D$125,12,Cleaned!GV$2:GV$125,1)</f>
        <v>0</v>
      </c>
      <c r="C4236" s="13" t="str">
        <f aca="false">IFERROR(B4236/$N4236,"")</f>
        <v/>
      </c>
      <c r="D4236" s="12" t="n">
        <f aca="false">COUNTIFS(Cleaned!$D$2:$D$125,12,Cleaned!GV$2:GV$125,2)</f>
        <v>0</v>
      </c>
      <c r="E4236" s="13" t="str">
        <f aca="false">IFERROR(D4236/$N4236,"")</f>
        <v/>
      </c>
      <c r="F4236" s="12" t="n">
        <f aca="false">COUNTIFS(Cleaned!$D$2:$D$125,12,Cleaned!GV$2:GV$125,3)</f>
        <v>0</v>
      </c>
      <c r="G4236" s="13" t="str">
        <f aca="false">IFERROR(F4236/$N4236,"")</f>
        <v/>
      </c>
      <c r="H4236" s="12" t="n">
        <f aca="false">COUNTIFS(Cleaned!$D$2:$D$125,12,Cleaned!GV$2:GV$125,4)</f>
        <v>0</v>
      </c>
      <c r="I4236" s="13" t="str">
        <f aca="false">IFERROR(H4236/$N4236,"")</f>
        <v/>
      </c>
      <c r="J4236" s="12" t="n">
        <f aca="false">COUNTIFS(Cleaned!$D$2:$D$125,12,Cleaned!GV$2:GV$125,5)</f>
        <v>0</v>
      </c>
      <c r="K4236" s="13" t="str">
        <f aca="false">IFERROR(J4236/$N4236,"")</f>
        <v/>
      </c>
      <c r="L4236" s="12" t="n">
        <f aca="false">COUNTIFS(Cleaned!$D$2:$D$125,12,Cleaned!GV$2:GV$125,6)</f>
        <v>0</v>
      </c>
      <c r="M4236" s="13" t="str">
        <f aca="false">IFERROR(L4236/$N4236,"")</f>
        <v/>
      </c>
      <c r="N4236" s="12" t="n">
        <f aca="false">B4236+D4236+F4236+H4236+J4236+L4236</f>
        <v>0</v>
      </c>
    </row>
    <row r="4237" customFormat="false" ht="15" hidden="false" customHeight="false" outlineLevel="0" collapsed="false">
      <c r="A4237" s="11" t="s">
        <v>716</v>
      </c>
      <c r="B4237" s="11" t="n">
        <f aca="false">SUM(B4225:B4236)</f>
        <v>8</v>
      </c>
      <c r="C4237" s="14" t="n">
        <f aca="false">IFERROR(B4237/$N4237,"")</f>
        <v>0.615384615384615</v>
      </c>
      <c r="D4237" s="11" t="n">
        <f aca="false">SUM(D4225:D4236)</f>
        <v>1</v>
      </c>
      <c r="E4237" s="14" t="n">
        <f aca="false">IFERROR(D4237/$N4237,"")</f>
        <v>0.0769230769230769</v>
      </c>
      <c r="F4237" s="11" t="n">
        <f aca="false">SUM(F4225:F4236)</f>
        <v>1</v>
      </c>
      <c r="G4237" s="14" t="n">
        <f aca="false">IFERROR(F4237/$N4237,"")</f>
        <v>0.0769230769230769</v>
      </c>
      <c r="H4237" s="11" t="n">
        <f aca="false">SUM(H4225:H4236)</f>
        <v>1</v>
      </c>
      <c r="I4237" s="14" t="n">
        <f aca="false">IFERROR(H4237/$N4237,"")</f>
        <v>0.0769230769230769</v>
      </c>
      <c r="J4237" s="11" t="n">
        <f aca="false">SUM(J4225:J4236)</f>
        <v>0</v>
      </c>
      <c r="K4237" s="14" t="n">
        <f aca="false">IFERROR(J4237/$N4237,"")</f>
        <v>0</v>
      </c>
      <c r="L4237" s="11" t="n">
        <f aca="false">SUM(L4225:L4236)</f>
        <v>2</v>
      </c>
      <c r="M4237" s="14" t="n">
        <f aca="false">IFERROR(L4237/$N4237,"")</f>
        <v>0.153846153846154</v>
      </c>
      <c r="N4237" s="11" t="n">
        <f aca="false">SUM(N4225:N4236)</f>
        <v>13</v>
      </c>
    </row>
    <row r="4240" customFormat="false" ht="15" hidden="false" customHeight="false" outlineLevel="0" collapsed="false">
      <c r="A4240" s="6" t="s">
        <v>193</v>
      </c>
      <c r="B4240" s="7" t="s">
        <v>966</v>
      </c>
    </row>
    <row r="4241" customFormat="false" ht="15" hidden="false" customHeight="false" outlineLevel="0" collapsed="false">
      <c r="A4241" s="11" t="s">
        <v>734</v>
      </c>
      <c r="B4241" s="9" t="s">
        <v>694</v>
      </c>
      <c r="C4241" s="9" t="s">
        <v>735</v>
      </c>
      <c r="D4241" s="9" t="s">
        <v>736</v>
      </c>
      <c r="E4241" s="9" t="s">
        <v>737</v>
      </c>
      <c r="F4241" s="9" t="s">
        <v>738</v>
      </c>
    </row>
    <row r="4242" customFormat="false" ht="15" hidden="false" customHeight="false" outlineLevel="0" collapsed="false">
      <c r="B4242" s="12" t="n">
        <f aca="false">COUNT(Cleaned!$GW$2:$GW$125)</f>
        <v>26</v>
      </c>
      <c r="C4242" s="12" t="n">
        <f aca="false">IFERROR(AVERAGE(Cleaned!$GW$2:$GW$125),"")</f>
        <v>1334.88461538462</v>
      </c>
      <c r="D4242" s="12" t="n">
        <f aca="false">IFERROR(MEDIAN(Cleaned!$GW$2:$GW$125),"")</f>
        <v>277</v>
      </c>
      <c r="E4242" s="12" t="n">
        <f aca="false">IFERROR(MIN(Cleaned!$GW$2:$GW$125),"")</f>
        <v>0</v>
      </c>
      <c r="F4242" s="12" t="n">
        <f aca="false">IFERROR(MAX(Cleaned!$GW$2:$GW$125),"")</f>
        <v>20100</v>
      </c>
    </row>
    <row r="4243" customFormat="false" ht="15" hidden="false" customHeight="false" outlineLevel="0" collapsed="false">
      <c r="A4243" s="11" t="s">
        <v>697</v>
      </c>
      <c r="B4243" s="9" t="s">
        <v>739</v>
      </c>
      <c r="C4243" s="9" t="s">
        <v>735</v>
      </c>
    </row>
    <row r="4244" customFormat="false" ht="15" hidden="false" customHeight="false" outlineLevel="0" collapsed="false">
      <c r="A4244" s="12" t="s">
        <v>698</v>
      </c>
      <c r="B4244" s="12" t="n">
        <f aca="false">COUNTIFS(Cleaned!$C$2:$C$125,1,Cleaned!GW$2:GW$125,"&lt;&gt;")</f>
        <v>2</v>
      </c>
      <c r="C4244" s="15" t="n">
        <f aca="false">IF(B4244=0,"",AVERAGEIF(Cleaned!$C$2:$C$125,1,Cleaned!GW$2:GW$125))</f>
        <v>15</v>
      </c>
    </row>
    <row r="4245" customFormat="false" ht="15" hidden="false" customHeight="false" outlineLevel="0" collapsed="false">
      <c r="A4245" s="12" t="s">
        <v>699</v>
      </c>
      <c r="B4245" s="12" t="n">
        <f aca="false">COUNTIFS(Cleaned!$C$2:$C$125,2,Cleaned!GW$2:GW$125,"&lt;&gt;")</f>
        <v>1</v>
      </c>
      <c r="C4245" s="15" t="n">
        <f aca="false">IF(B4245=0,"",AVERAGEIF(Cleaned!$C$2:$C$125,2,Cleaned!GW$2:GW$125))</f>
        <v>0</v>
      </c>
    </row>
    <row r="4246" customFormat="false" ht="15" hidden="false" customHeight="false" outlineLevel="0" collapsed="false">
      <c r="A4246" s="12" t="s">
        <v>700</v>
      </c>
      <c r="B4246" s="12" t="n">
        <f aca="false">COUNTIFS(Cleaned!$C$2:$C$125,3,Cleaned!GW$2:GW$125,"&lt;&gt;")</f>
        <v>0</v>
      </c>
      <c r="C4246" s="15" t="str">
        <f aca="false">IF(B4246=0,"",AVERAGEIF(Cleaned!$C$2:$C$125,3,Cleaned!GW$2:GW$125))</f>
        <v/>
      </c>
    </row>
    <row r="4247" customFormat="false" ht="15" hidden="false" customHeight="false" outlineLevel="0" collapsed="false">
      <c r="A4247" s="12" t="s">
        <v>701</v>
      </c>
      <c r="B4247" s="12" t="n">
        <f aca="false">COUNTIFS(Cleaned!$C$2:$C$125,4,Cleaned!GW$2:GW$125,"&lt;&gt;")</f>
        <v>8</v>
      </c>
      <c r="C4247" s="15" t="n">
        <f aca="false">IF(B4247=0,"",AVERAGEIF(Cleaned!$C$2:$C$125,4,Cleaned!GW$2:GW$125))</f>
        <v>224.625</v>
      </c>
    </row>
    <row r="4248" customFormat="false" ht="15" hidden="false" customHeight="false" outlineLevel="0" collapsed="false">
      <c r="A4248" s="12" t="s">
        <v>702</v>
      </c>
      <c r="B4248" s="12" t="n">
        <f aca="false">COUNTIFS(Cleaned!$C$2:$C$125,5,Cleaned!GW$2:GW$125,"&lt;&gt;")</f>
        <v>15</v>
      </c>
      <c r="C4248" s="15" t="n">
        <f aca="false">IF(B4248=0,"",AVERAGEIF(Cleaned!$C$2:$C$125,5,Cleaned!GW$2:GW$125))</f>
        <v>2192</v>
      </c>
    </row>
    <row r="4249" customFormat="false" ht="15" hidden="false" customHeight="false" outlineLevel="0" collapsed="false">
      <c r="A4249" s="11" t="s">
        <v>3</v>
      </c>
      <c r="B4249" s="9" t="s">
        <v>739</v>
      </c>
      <c r="C4249" s="9" t="s">
        <v>735</v>
      </c>
    </row>
    <row r="4250" customFormat="false" ht="15" hidden="false" customHeight="false" outlineLevel="0" collapsed="false">
      <c r="A4250" s="12" t="s">
        <v>704</v>
      </c>
      <c r="B4250" s="12" t="n">
        <f aca="false">COUNTIFS(Cleaned!$D$2:$D$125,1,Cleaned!GW$2:GW$125,"&lt;&gt;")</f>
        <v>1</v>
      </c>
      <c r="C4250" s="15" t="n">
        <f aca="false">IF(B4250=0,"",AVERAGEIF(Cleaned!$D$2:$D$125,1,Cleaned!GW$2:GW$125))</f>
        <v>30</v>
      </c>
    </row>
    <row r="4251" customFormat="false" ht="15" hidden="false" customHeight="false" outlineLevel="0" collapsed="false">
      <c r="A4251" s="12" t="s">
        <v>705</v>
      </c>
      <c r="B4251" s="12" t="n">
        <f aca="false">COUNTIFS(Cleaned!$D$2:$D$125,2,Cleaned!GW$2:GW$125,"&lt;&gt;")</f>
        <v>9</v>
      </c>
      <c r="C4251" s="15" t="n">
        <f aca="false">IF(B4251=0,"",AVERAGEIF(Cleaned!$D$2:$D$125,2,Cleaned!GW$2:GW$125))</f>
        <v>2685.88888888889</v>
      </c>
    </row>
    <row r="4252" customFormat="false" ht="15" hidden="false" customHeight="false" outlineLevel="0" collapsed="false">
      <c r="A4252" s="12" t="s">
        <v>706</v>
      </c>
      <c r="B4252" s="12" t="n">
        <f aca="false">COUNTIFS(Cleaned!$D$2:$D$125,3,Cleaned!GW$2:GW$125,"&lt;&gt;")</f>
        <v>4</v>
      </c>
      <c r="C4252" s="15" t="n">
        <f aca="false">IF(B4252=0,"",AVERAGEIF(Cleaned!$D$2:$D$125,3,Cleaned!GW$2:GW$125))</f>
        <v>1389.75</v>
      </c>
    </row>
    <row r="4253" customFormat="false" ht="15" hidden="false" customHeight="false" outlineLevel="0" collapsed="false">
      <c r="A4253" s="12" t="s">
        <v>707</v>
      </c>
      <c r="B4253" s="12" t="n">
        <f aca="false">COUNTIFS(Cleaned!$D$2:$D$125,4,Cleaned!GW$2:GW$125,"&lt;&gt;")</f>
        <v>3</v>
      </c>
      <c r="C4253" s="15" t="n">
        <f aca="false">IF(B4253=0,"",AVERAGEIF(Cleaned!$D$2:$D$125,4,Cleaned!GW$2:GW$125))</f>
        <v>35</v>
      </c>
    </row>
    <row r="4254" customFormat="false" ht="15" hidden="false" customHeight="false" outlineLevel="0" collapsed="false">
      <c r="A4254" s="12" t="s">
        <v>708</v>
      </c>
      <c r="B4254" s="12" t="n">
        <f aca="false">COUNTIFS(Cleaned!$D$2:$D$125,5,Cleaned!GW$2:GW$125,"&lt;&gt;")</f>
        <v>1</v>
      </c>
      <c r="C4254" s="15" t="n">
        <f aca="false">IF(B4254=0,"",AVERAGEIF(Cleaned!$D$2:$D$125,5,Cleaned!GW$2:GW$125))</f>
        <v>499</v>
      </c>
    </row>
    <row r="4255" customFormat="false" ht="15" hidden="false" customHeight="false" outlineLevel="0" collapsed="false">
      <c r="A4255" s="12" t="s">
        <v>709</v>
      </c>
      <c r="B4255" s="12" t="n">
        <f aca="false">COUNTIFS(Cleaned!$D$2:$D$125,6,Cleaned!GW$2:GW$125,"&lt;&gt;")</f>
        <v>2</v>
      </c>
      <c r="C4255" s="15" t="n">
        <f aca="false">IF(B4255=0,"",AVERAGEIF(Cleaned!$D$2:$D$125,6,Cleaned!GW$2:GW$125))</f>
        <v>260</v>
      </c>
    </row>
    <row r="4256" customFormat="false" ht="15" hidden="false" customHeight="false" outlineLevel="0" collapsed="false">
      <c r="A4256" s="12" t="s">
        <v>710</v>
      </c>
      <c r="B4256" s="12" t="n">
        <f aca="false">COUNTIFS(Cleaned!$D$2:$D$125,7,Cleaned!GW$2:GW$125,"&lt;&gt;")</f>
        <v>3</v>
      </c>
      <c r="C4256" s="15" t="n">
        <f aca="false">IF(B4256=0,"",AVERAGEIF(Cleaned!$D$2:$D$125,7,Cleaned!GW$2:GW$125))</f>
        <v>1126.66666666667</v>
      </c>
    </row>
    <row r="4257" customFormat="false" ht="15" hidden="false" customHeight="false" outlineLevel="0" collapsed="false">
      <c r="A4257" s="12" t="s">
        <v>711</v>
      </c>
      <c r="B4257" s="12" t="n">
        <f aca="false">COUNTIFS(Cleaned!$D$2:$D$125,8,Cleaned!GW$2:GW$125,"&lt;&gt;")</f>
        <v>1</v>
      </c>
      <c r="C4257" s="15" t="n">
        <f aca="false">IF(B4257=0,"",AVERAGEIF(Cleaned!$D$2:$D$125,8,Cleaned!GW$2:GW$125))</f>
        <v>441</v>
      </c>
    </row>
    <row r="4258" customFormat="false" ht="15" hidden="false" customHeight="false" outlineLevel="0" collapsed="false">
      <c r="A4258" s="12" t="s">
        <v>712</v>
      </c>
      <c r="B4258" s="12" t="n">
        <f aca="false">COUNTIFS(Cleaned!$D$2:$D$125,9,Cleaned!GW$2:GW$125,"&lt;&gt;")</f>
        <v>0</v>
      </c>
      <c r="C4258" s="15" t="str">
        <f aca="false">IF(B4258=0,"",AVERAGEIF(Cleaned!$D$2:$D$125,9,Cleaned!GW$2:GW$125))</f>
        <v/>
      </c>
    </row>
    <row r="4259" customFormat="false" ht="15" hidden="false" customHeight="false" outlineLevel="0" collapsed="false">
      <c r="A4259" s="12" t="s">
        <v>713</v>
      </c>
      <c r="B4259" s="12" t="n">
        <f aca="false">COUNTIFS(Cleaned!$D$2:$D$125,10,Cleaned!GW$2:GW$125,"&lt;&gt;")</f>
        <v>0</v>
      </c>
      <c r="C4259" s="15" t="str">
        <f aca="false">IF(B4259=0,"",AVERAGEIF(Cleaned!$D$2:$D$125,10,Cleaned!GW$2:GW$125))</f>
        <v/>
      </c>
    </row>
    <row r="4260" customFormat="false" ht="15" hidden="false" customHeight="false" outlineLevel="0" collapsed="false">
      <c r="A4260" s="12" t="s">
        <v>714</v>
      </c>
      <c r="B4260" s="12" t="n">
        <f aca="false">COUNTIFS(Cleaned!$D$2:$D$125,11,Cleaned!GW$2:GW$125,"&lt;&gt;")</f>
        <v>1</v>
      </c>
      <c r="C4260" s="15" t="n">
        <f aca="false">IF(B4260=0,"",AVERAGEIF(Cleaned!$D$2:$D$125,11,Cleaned!GW$2:GW$125))</f>
        <v>0</v>
      </c>
    </row>
    <row r="4261" customFormat="false" ht="15" hidden="false" customHeight="false" outlineLevel="0" collapsed="false">
      <c r="A4261" s="12" t="s">
        <v>715</v>
      </c>
      <c r="B4261" s="12" t="n">
        <f aca="false">COUNTIFS(Cleaned!$D$2:$D$125,12,Cleaned!GW$2:GW$125,"&lt;&gt;")</f>
        <v>1</v>
      </c>
      <c r="C4261" s="15" t="n">
        <f aca="false">IF(B4261=0,"",AVERAGEIF(Cleaned!$D$2:$D$125,12,Cleaned!GW$2:GW$125))</f>
        <v>0</v>
      </c>
    </row>
    <row r="4264" customFormat="false" ht="15" hidden="false" customHeight="false" outlineLevel="0" collapsed="false">
      <c r="A4264" s="6" t="s">
        <v>194</v>
      </c>
      <c r="B4264" s="7" t="s">
        <v>967</v>
      </c>
    </row>
    <row r="4265" customFormat="false" ht="15" hidden="false" customHeight="false" outlineLevel="0" collapsed="false">
      <c r="A4265" s="8"/>
      <c r="B4265" s="9" t="s">
        <v>372</v>
      </c>
      <c r="C4265" s="8"/>
      <c r="D4265" s="9" t="s">
        <v>465</v>
      </c>
      <c r="E4265" s="8"/>
      <c r="F4265" s="9" t="s">
        <v>250</v>
      </c>
      <c r="G4265" s="8"/>
      <c r="H4265" s="9" t="s">
        <v>246</v>
      </c>
      <c r="I4265" s="8"/>
      <c r="J4265" s="9" t="s">
        <v>694</v>
      </c>
    </row>
    <row r="4266" customFormat="false" ht="15" hidden="false" customHeight="false" outlineLevel="0" collapsed="false">
      <c r="B4266" s="10" t="s">
        <v>695</v>
      </c>
      <c r="C4266" s="10" t="s">
        <v>696</v>
      </c>
      <c r="D4266" s="10" t="s">
        <v>695</v>
      </c>
      <c r="E4266" s="10" t="s">
        <v>696</v>
      </c>
      <c r="F4266" s="10" t="s">
        <v>695</v>
      </c>
      <c r="G4266" s="10" t="s">
        <v>696</v>
      </c>
      <c r="H4266" s="10" t="s">
        <v>695</v>
      </c>
      <c r="I4266" s="10" t="s">
        <v>696</v>
      </c>
    </row>
    <row r="4267" customFormat="false" ht="15" hidden="false" customHeight="false" outlineLevel="0" collapsed="false">
      <c r="A4267" s="11" t="s">
        <v>697</v>
      </c>
    </row>
    <row r="4268" customFormat="false" ht="15" hidden="false" customHeight="false" outlineLevel="0" collapsed="false">
      <c r="A4268" s="12" t="s">
        <v>698</v>
      </c>
      <c r="B4268" s="12" t="n">
        <f aca="false">COUNTIFS(Cleaned!$C$2:$C$125,1,Cleaned!GX$2:GX$125,1)</f>
        <v>1</v>
      </c>
      <c r="C4268" s="13" t="n">
        <f aca="false">IFERROR(B4268/$J4268,"")</f>
        <v>1</v>
      </c>
      <c r="D4268" s="12" t="n">
        <f aca="false">COUNTIFS(Cleaned!$C$2:$C$125,1,Cleaned!GX$2:GX$125,2)</f>
        <v>0</v>
      </c>
      <c r="E4268" s="13" t="n">
        <f aca="false">IFERROR(D4268/$J4268,"")</f>
        <v>0</v>
      </c>
      <c r="F4268" s="12" t="n">
        <f aca="false">COUNTIFS(Cleaned!$C$2:$C$125,1,Cleaned!GX$2:GX$125,3)</f>
        <v>0</v>
      </c>
      <c r="G4268" s="13" t="n">
        <f aca="false">IFERROR(F4268/$J4268,"")</f>
        <v>0</v>
      </c>
      <c r="H4268" s="12" t="n">
        <f aca="false">COUNTIFS(Cleaned!$C$2:$C$125,1,Cleaned!GX$2:GX$125,4)</f>
        <v>0</v>
      </c>
      <c r="I4268" s="13" t="n">
        <f aca="false">IFERROR(H4268/$J4268,"")</f>
        <v>0</v>
      </c>
      <c r="J4268" s="12" t="n">
        <f aca="false">B4268+D4268+F4268+H4268</f>
        <v>1</v>
      </c>
    </row>
    <row r="4269" customFormat="false" ht="15" hidden="false" customHeight="false" outlineLevel="0" collapsed="false">
      <c r="A4269" s="12" t="s">
        <v>699</v>
      </c>
      <c r="B4269" s="12" t="n">
        <f aca="false">COUNTIFS(Cleaned!$C$2:$C$125,2,Cleaned!GX$2:GX$125,1)</f>
        <v>0</v>
      </c>
      <c r="C4269" s="13" t="str">
        <f aca="false">IFERROR(B4269/$J4269,"")</f>
        <v/>
      </c>
      <c r="D4269" s="12" t="n">
        <f aca="false">COUNTIFS(Cleaned!$C$2:$C$125,2,Cleaned!GX$2:GX$125,2)</f>
        <v>0</v>
      </c>
      <c r="E4269" s="13" t="str">
        <f aca="false">IFERROR(D4269/$J4269,"")</f>
        <v/>
      </c>
      <c r="F4269" s="12" t="n">
        <f aca="false">COUNTIFS(Cleaned!$C$2:$C$125,2,Cleaned!GX$2:GX$125,3)</f>
        <v>0</v>
      </c>
      <c r="G4269" s="13" t="str">
        <f aca="false">IFERROR(F4269/$J4269,"")</f>
        <v/>
      </c>
      <c r="H4269" s="12" t="n">
        <f aca="false">COUNTIFS(Cleaned!$C$2:$C$125,2,Cleaned!GX$2:GX$125,4)</f>
        <v>0</v>
      </c>
      <c r="I4269" s="13" t="str">
        <f aca="false">IFERROR(H4269/$J4269,"")</f>
        <v/>
      </c>
      <c r="J4269" s="12" t="n">
        <f aca="false">B4269+D4269+F4269+H4269</f>
        <v>0</v>
      </c>
    </row>
    <row r="4270" customFormat="false" ht="15" hidden="false" customHeight="false" outlineLevel="0" collapsed="false">
      <c r="A4270" s="12" t="s">
        <v>700</v>
      </c>
      <c r="B4270" s="12" t="n">
        <f aca="false">COUNTIFS(Cleaned!$C$2:$C$125,3,Cleaned!GX$2:GX$125,1)</f>
        <v>0</v>
      </c>
      <c r="C4270" s="13" t="n">
        <f aca="false">IFERROR(B4270/$J4270,"")</f>
        <v>0</v>
      </c>
      <c r="D4270" s="12" t="n">
        <f aca="false">COUNTIFS(Cleaned!$C$2:$C$125,3,Cleaned!GX$2:GX$125,2)</f>
        <v>0</v>
      </c>
      <c r="E4270" s="13" t="n">
        <f aca="false">IFERROR(D4270/$J4270,"")</f>
        <v>0</v>
      </c>
      <c r="F4270" s="12" t="n">
        <f aca="false">COUNTIFS(Cleaned!$C$2:$C$125,3,Cleaned!GX$2:GX$125,3)</f>
        <v>0</v>
      </c>
      <c r="G4270" s="13" t="n">
        <f aca="false">IFERROR(F4270/$J4270,"")</f>
        <v>0</v>
      </c>
      <c r="H4270" s="12" t="n">
        <f aca="false">COUNTIFS(Cleaned!$C$2:$C$125,3,Cleaned!GX$2:GX$125,4)</f>
        <v>1</v>
      </c>
      <c r="I4270" s="13" t="n">
        <f aca="false">IFERROR(H4270/$J4270,"")</f>
        <v>1</v>
      </c>
      <c r="J4270" s="12" t="n">
        <f aca="false">B4270+D4270+F4270+H4270</f>
        <v>1</v>
      </c>
    </row>
    <row r="4271" customFormat="false" ht="15" hidden="false" customHeight="false" outlineLevel="0" collapsed="false">
      <c r="A4271" s="12" t="s">
        <v>701</v>
      </c>
      <c r="B4271" s="12" t="n">
        <f aca="false">COUNTIFS(Cleaned!$C$2:$C$125,4,Cleaned!GX$2:GX$125,1)</f>
        <v>4</v>
      </c>
      <c r="C4271" s="13" t="n">
        <f aca="false">IFERROR(B4271/$J4271,"")</f>
        <v>0.8</v>
      </c>
      <c r="D4271" s="12" t="n">
        <f aca="false">COUNTIFS(Cleaned!$C$2:$C$125,4,Cleaned!GX$2:GX$125,2)</f>
        <v>1</v>
      </c>
      <c r="E4271" s="13" t="n">
        <f aca="false">IFERROR(D4271/$J4271,"")</f>
        <v>0.2</v>
      </c>
      <c r="F4271" s="12" t="n">
        <f aca="false">COUNTIFS(Cleaned!$C$2:$C$125,4,Cleaned!GX$2:GX$125,3)</f>
        <v>0</v>
      </c>
      <c r="G4271" s="13" t="n">
        <f aca="false">IFERROR(F4271/$J4271,"")</f>
        <v>0</v>
      </c>
      <c r="H4271" s="12" t="n">
        <f aca="false">COUNTIFS(Cleaned!$C$2:$C$125,4,Cleaned!GX$2:GX$125,4)</f>
        <v>0</v>
      </c>
      <c r="I4271" s="13" t="n">
        <f aca="false">IFERROR(H4271/$J4271,"")</f>
        <v>0</v>
      </c>
      <c r="J4271" s="12" t="n">
        <f aca="false">B4271+D4271+F4271+H4271</f>
        <v>5</v>
      </c>
    </row>
    <row r="4272" customFormat="false" ht="15" hidden="false" customHeight="false" outlineLevel="0" collapsed="false">
      <c r="A4272" s="12" t="s">
        <v>702</v>
      </c>
      <c r="B4272" s="12" t="n">
        <f aca="false">COUNTIFS(Cleaned!$C$2:$C$125,5,Cleaned!GX$2:GX$125,1)</f>
        <v>4</v>
      </c>
      <c r="C4272" s="13" t="n">
        <f aca="false">IFERROR(B4272/$J4272,"")</f>
        <v>0.8</v>
      </c>
      <c r="D4272" s="12" t="n">
        <f aca="false">COUNTIFS(Cleaned!$C$2:$C$125,5,Cleaned!GX$2:GX$125,2)</f>
        <v>0</v>
      </c>
      <c r="E4272" s="13" t="n">
        <f aca="false">IFERROR(D4272/$J4272,"")</f>
        <v>0</v>
      </c>
      <c r="F4272" s="12" t="n">
        <f aca="false">COUNTIFS(Cleaned!$C$2:$C$125,5,Cleaned!GX$2:GX$125,3)</f>
        <v>1</v>
      </c>
      <c r="G4272" s="13" t="n">
        <f aca="false">IFERROR(F4272/$J4272,"")</f>
        <v>0.2</v>
      </c>
      <c r="H4272" s="12" t="n">
        <f aca="false">COUNTIFS(Cleaned!$C$2:$C$125,5,Cleaned!GX$2:GX$125,4)</f>
        <v>0</v>
      </c>
      <c r="I4272" s="13" t="n">
        <f aca="false">IFERROR(H4272/$J4272,"")</f>
        <v>0</v>
      </c>
      <c r="J4272" s="12" t="n">
        <f aca="false">B4272+D4272+F4272+H4272</f>
        <v>5</v>
      </c>
    </row>
    <row r="4273" customFormat="false" ht="15" hidden="false" customHeight="false" outlineLevel="0" collapsed="false">
      <c r="A4273" s="11" t="s">
        <v>703</v>
      </c>
      <c r="B4273" s="11" t="n">
        <f aca="false">SUM(B4268:B4272)</f>
        <v>9</v>
      </c>
      <c r="C4273" s="14" t="n">
        <f aca="false">IFERROR(B4273/$J4273,"")</f>
        <v>0.75</v>
      </c>
      <c r="D4273" s="11" t="n">
        <f aca="false">SUM(D4268:D4272)</f>
        <v>1</v>
      </c>
      <c r="E4273" s="14" t="n">
        <f aca="false">IFERROR(D4273/$J4273,"")</f>
        <v>0.0833333333333333</v>
      </c>
      <c r="F4273" s="11" t="n">
        <f aca="false">SUM(F4268:F4272)</f>
        <v>1</v>
      </c>
      <c r="G4273" s="14" t="n">
        <f aca="false">IFERROR(F4273/$J4273,"")</f>
        <v>0.0833333333333333</v>
      </c>
      <c r="H4273" s="11" t="n">
        <f aca="false">SUM(H4268:H4272)</f>
        <v>1</v>
      </c>
      <c r="I4273" s="14" t="n">
        <f aca="false">IFERROR(H4273/$J4273,"")</f>
        <v>0.0833333333333333</v>
      </c>
      <c r="J4273" s="11" t="n">
        <f aca="false">SUM(J4268:J4272)</f>
        <v>12</v>
      </c>
    </row>
    <row r="4274" customFormat="false" ht="15" hidden="false" customHeight="false" outlineLevel="0" collapsed="false">
      <c r="A4274" s="11" t="s">
        <v>3</v>
      </c>
    </row>
    <row r="4275" customFormat="false" ht="15" hidden="false" customHeight="false" outlineLevel="0" collapsed="false">
      <c r="A4275" s="12" t="s">
        <v>704</v>
      </c>
      <c r="B4275" s="12" t="n">
        <f aca="false">COUNTIFS(Cleaned!$D$2:$D$125,1,Cleaned!GX$2:GX$125,1)</f>
        <v>1</v>
      </c>
      <c r="C4275" s="13" t="n">
        <f aca="false">IFERROR(B4275/$J4275,"")</f>
        <v>1</v>
      </c>
      <c r="D4275" s="12" t="n">
        <f aca="false">COUNTIFS(Cleaned!$D$2:$D$125,1,Cleaned!GX$2:GX$125,2)</f>
        <v>0</v>
      </c>
      <c r="E4275" s="13" t="n">
        <f aca="false">IFERROR(D4275/$J4275,"")</f>
        <v>0</v>
      </c>
      <c r="F4275" s="12" t="n">
        <f aca="false">COUNTIFS(Cleaned!$D$2:$D$125,1,Cleaned!GX$2:GX$125,3)</f>
        <v>0</v>
      </c>
      <c r="G4275" s="13" t="n">
        <f aca="false">IFERROR(F4275/$J4275,"")</f>
        <v>0</v>
      </c>
      <c r="H4275" s="12" t="n">
        <f aca="false">COUNTIFS(Cleaned!$D$2:$D$125,1,Cleaned!GX$2:GX$125,4)</f>
        <v>0</v>
      </c>
      <c r="I4275" s="13" t="n">
        <f aca="false">IFERROR(H4275/$J4275,"")</f>
        <v>0</v>
      </c>
      <c r="J4275" s="12" t="n">
        <f aca="false">B4275+D4275+F4275+H4275</f>
        <v>1</v>
      </c>
    </row>
    <row r="4276" customFormat="false" ht="15" hidden="false" customHeight="false" outlineLevel="0" collapsed="false">
      <c r="A4276" s="12" t="s">
        <v>705</v>
      </c>
      <c r="B4276" s="12" t="n">
        <f aca="false">COUNTIFS(Cleaned!$D$2:$D$125,2,Cleaned!GX$2:GX$125,1)</f>
        <v>3</v>
      </c>
      <c r="C4276" s="13" t="n">
        <f aca="false">IFERROR(B4276/$J4276,"")</f>
        <v>0.75</v>
      </c>
      <c r="D4276" s="12" t="n">
        <f aca="false">COUNTIFS(Cleaned!$D$2:$D$125,2,Cleaned!GX$2:GX$125,2)</f>
        <v>0</v>
      </c>
      <c r="E4276" s="13" t="n">
        <f aca="false">IFERROR(D4276/$J4276,"")</f>
        <v>0</v>
      </c>
      <c r="F4276" s="12" t="n">
        <f aca="false">COUNTIFS(Cleaned!$D$2:$D$125,2,Cleaned!GX$2:GX$125,3)</f>
        <v>1</v>
      </c>
      <c r="G4276" s="13" t="n">
        <f aca="false">IFERROR(F4276/$J4276,"")</f>
        <v>0.25</v>
      </c>
      <c r="H4276" s="12" t="n">
        <f aca="false">COUNTIFS(Cleaned!$D$2:$D$125,2,Cleaned!GX$2:GX$125,4)</f>
        <v>0</v>
      </c>
      <c r="I4276" s="13" t="n">
        <f aca="false">IFERROR(H4276/$J4276,"")</f>
        <v>0</v>
      </c>
      <c r="J4276" s="12" t="n">
        <f aca="false">B4276+D4276+F4276+H4276</f>
        <v>4</v>
      </c>
    </row>
    <row r="4277" customFormat="false" ht="15" hidden="false" customHeight="false" outlineLevel="0" collapsed="false">
      <c r="A4277" s="12" t="s">
        <v>706</v>
      </c>
      <c r="B4277" s="12" t="n">
        <f aca="false">COUNTIFS(Cleaned!$D$2:$D$125,3,Cleaned!GX$2:GX$125,1)</f>
        <v>1</v>
      </c>
      <c r="C4277" s="13" t="n">
        <f aca="false">IFERROR(B4277/$J4277,"")</f>
        <v>1</v>
      </c>
      <c r="D4277" s="12" t="n">
        <f aca="false">COUNTIFS(Cleaned!$D$2:$D$125,3,Cleaned!GX$2:GX$125,2)</f>
        <v>0</v>
      </c>
      <c r="E4277" s="13" t="n">
        <f aca="false">IFERROR(D4277/$J4277,"")</f>
        <v>0</v>
      </c>
      <c r="F4277" s="12" t="n">
        <f aca="false">COUNTIFS(Cleaned!$D$2:$D$125,3,Cleaned!GX$2:GX$125,3)</f>
        <v>0</v>
      </c>
      <c r="G4277" s="13" t="n">
        <f aca="false">IFERROR(F4277/$J4277,"")</f>
        <v>0</v>
      </c>
      <c r="H4277" s="12" t="n">
        <f aca="false">COUNTIFS(Cleaned!$D$2:$D$125,3,Cleaned!GX$2:GX$125,4)</f>
        <v>0</v>
      </c>
      <c r="I4277" s="13" t="n">
        <f aca="false">IFERROR(H4277/$J4277,"")</f>
        <v>0</v>
      </c>
      <c r="J4277" s="12" t="n">
        <f aca="false">B4277+D4277+F4277+H4277</f>
        <v>1</v>
      </c>
    </row>
    <row r="4278" customFormat="false" ht="15" hidden="false" customHeight="false" outlineLevel="0" collapsed="false">
      <c r="A4278" s="12" t="s">
        <v>707</v>
      </c>
      <c r="B4278" s="12" t="n">
        <f aca="false">COUNTIFS(Cleaned!$D$2:$D$125,4,Cleaned!GX$2:GX$125,1)</f>
        <v>0</v>
      </c>
      <c r="C4278" s="13" t="n">
        <f aca="false">IFERROR(B4278/$J4278,"")</f>
        <v>0</v>
      </c>
      <c r="D4278" s="12" t="n">
        <f aca="false">COUNTIFS(Cleaned!$D$2:$D$125,4,Cleaned!GX$2:GX$125,2)</f>
        <v>0</v>
      </c>
      <c r="E4278" s="13" t="n">
        <f aca="false">IFERROR(D4278/$J4278,"")</f>
        <v>0</v>
      </c>
      <c r="F4278" s="12" t="n">
        <f aca="false">COUNTIFS(Cleaned!$D$2:$D$125,4,Cleaned!GX$2:GX$125,3)</f>
        <v>0</v>
      </c>
      <c r="G4278" s="13" t="n">
        <f aca="false">IFERROR(F4278/$J4278,"")</f>
        <v>0</v>
      </c>
      <c r="H4278" s="12" t="n">
        <f aca="false">COUNTIFS(Cleaned!$D$2:$D$125,4,Cleaned!GX$2:GX$125,4)</f>
        <v>1</v>
      </c>
      <c r="I4278" s="13" t="n">
        <f aca="false">IFERROR(H4278/$J4278,"")</f>
        <v>1</v>
      </c>
      <c r="J4278" s="12" t="n">
        <f aca="false">B4278+D4278+F4278+H4278</f>
        <v>1</v>
      </c>
    </row>
    <row r="4279" customFormat="false" ht="15" hidden="false" customHeight="false" outlineLevel="0" collapsed="false">
      <c r="A4279" s="12" t="s">
        <v>708</v>
      </c>
      <c r="B4279" s="12" t="n">
        <f aca="false">COUNTIFS(Cleaned!$D$2:$D$125,5,Cleaned!GX$2:GX$125,1)</f>
        <v>0</v>
      </c>
      <c r="C4279" s="13" t="str">
        <f aca="false">IFERROR(B4279/$J4279,"")</f>
        <v/>
      </c>
      <c r="D4279" s="12" t="n">
        <f aca="false">COUNTIFS(Cleaned!$D$2:$D$125,5,Cleaned!GX$2:GX$125,2)</f>
        <v>0</v>
      </c>
      <c r="E4279" s="13" t="str">
        <f aca="false">IFERROR(D4279/$J4279,"")</f>
        <v/>
      </c>
      <c r="F4279" s="12" t="n">
        <f aca="false">COUNTIFS(Cleaned!$D$2:$D$125,5,Cleaned!GX$2:GX$125,3)</f>
        <v>0</v>
      </c>
      <c r="G4279" s="13" t="str">
        <f aca="false">IFERROR(F4279/$J4279,"")</f>
        <v/>
      </c>
      <c r="H4279" s="12" t="n">
        <f aca="false">COUNTIFS(Cleaned!$D$2:$D$125,5,Cleaned!GX$2:GX$125,4)</f>
        <v>0</v>
      </c>
      <c r="I4279" s="13" t="str">
        <f aca="false">IFERROR(H4279/$J4279,"")</f>
        <v/>
      </c>
      <c r="J4279" s="12" t="n">
        <f aca="false">B4279+D4279+F4279+H4279</f>
        <v>0</v>
      </c>
    </row>
    <row r="4280" customFormat="false" ht="15" hidden="false" customHeight="false" outlineLevel="0" collapsed="false">
      <c r="A4280" s="12" t="s">
        <v>709</v>
      </c>
      <c r="B4280" s="12" t="n">
        <f aca="false">COUNTIFS(Cleaned!$D$2:$D$125,6,Cleaned!GX$2:GX$125,1)</f>
        <v>1</v>
      </c>
      <c r="C4280" s="13" t="n">
        <f aca="false">IFERROR(B4280/$J4280,"")</f>
        <v>0.5</v>
      </c>
      <c r="D4280" s="12" t="n">
        <f aca="false">COUNTIFS(Cleaned!$D$2:$D$125,6,Cleaned!GX$2:GX$125,2)</f>
        <v>1</v>
      </c>
      <c r="E4280" s="13" t="n">
        <f aca="false">IFERROR(D4280/$J4280,"")</f>
        <v>0.5</v>
      </c>
      <c r="F4280" s="12" t="n">
        <f aca="false">COUNTIFS(Cleaned!$D$2:$D$125,6,Cleaned!GX$2:GX$125,3)</f>
        <v>0</v>
      </c>
      <c r="G4280" s="13" t="n">
        <f aca="false">IFERROR(F4280/$J4280,"")</f>
        <v>0</v>
      </c>
      <c r="H4280" s="12" t="n">
        <f aca="false">COUNTIFS(Cleaned!$D$2:$D$125,6,Cleaned!GX$2:GX$125,4)</f>
        <v>0</v>
      </c>
      <c r="I4280" s="13" t="n">
        <f aca="false">IFERROR(H4280/$J4280,"")</f>
        <v>0</v>
      </c>
      <c r="J4280" s="12" t="n">
        <f aca="false">B4280+D4280+F4280+H4280</f>
        <v>2</v>
      </c>
    </row>
    <row r="4281" customFormat="false" ht="15" hidden="false" customHeight="false" outlineLevel="0" collapsed="false">
      <c r="A4281" s="12" t="s">
        <v>710</v>
      </c>
      <c r="B4281" s="12" t="n">
        <f aca="false">COUNTIFS(Cleaned!$D$2:$D$125,7,Cleaned!GX$2:GX$125,1)</f>
        <v>1</v>
      </c>
      <c r="C4281" s="13" t="n">
        <f aca="false">IFERROR(B4281/$J4281,"")</f>
        <v>1</v>
      </c>
      <c r="D4281" s="12" t="n">
        <f aca="false">COUNTIFS(Cleaned!$D$2:$D$125,7,Cleaned!GX$2:GX$125,2)</f>
        <v>0</v>
      </c>
      <c r="E4281" s="13" t="n">
        <f aca="false">IFERROR(D4281/$J4281,"")</f>
        <v>0</v>
      </c>
      <c r="F4281" s="12" t="n">
        <f aca="false">COUNTIFS(Cleaned!$D$2:$D$125,7,Cleaned!GX$2:GX$125,3)</f>
        <v>0</v>
      </c>
      <c r="G4281" s="13" t="n">
        <f aca="false">IFERROR(F4281/$J4281,"")</f>
        <v>0</v>
      </c>
      <c r="H4281" s="12" t="n">
        <f aca="false">COUNTIFS(Cleaned!$D$2:$D$125,7,Cleaned!GX$2:GX$125,4)</f>
        <v>0</v>
      </c>
      <c r="I4281" s="13" t="n">
        <f aca="false">IFERROR(H4281/$J4281,"")</f>
        <v>0</v>
      </c>
      <c r="J4281" s="12" t="n">
        <f aca="false">B4281+D4281+F4281+H4281</f>
        <v>1</v>
      </c>
    </row>
    <row r="4282" customFormat="false" ht="15" hidden="false" customHeight="false" outlineLevel="0" collapsed="false">
      <c r="A4282" s="12" t="s">
        <v>711</v>
      </c>
      <c r="B4282" s="12" t="n">
        <f aca="false">COUNTIFS(Cleaned!$D$2:$D$125,8,Cleaned!GX$2:GX$125,1)</f>
        <v>1</v>
      </c>
      <c r="C4282" s="13" t="n">
        <f aca="false">IFERROR(B4282/$J4282,"")</f>
        <v>1</v>
      </c>
      <c r="D4282" s="12" t="n">
        <f aca="false">COUNTIFS(Cleaned!$D$2:$D$125,8,Cleaned!GX$2:GX$125,2)</f>
        <v>0</v>
      </c>
      <c r="E4282" s="13" t="n">
        <f aca="false">IFERROR(D4282/$J4282,"")</f>
        <v>0</v>
      </c>
      <c r="F4282" s="12" t="n">
        <f aca="false">COUNTIFS(Cleaned!$D$2:$D$125,8,Cleaned!GX$2:GX$125,3)</f>
        <v>0</v>
      </c>
      <c r="G4282" s="13" t="n">
        <f aca="false">IFERROR(F4282/$J4282,"")</f>
        <v>0</v>
      </c>
      <c r="H4282" s="12" t="n">
        <f aca="false">COUNTIFS(Cleaned!$D$2:$D$125,8,Cleaned!GX$2:GX$125,4)</f>
        <v>0</v>
      </c>
      <c r="I4282" s="13" t="n">
        <f aca="false">IFERROR(H4282/$J4282,"")</f>
        <v>0</v>
      </c>
      <c r="J4282" s="12" t="n">
        <f aca="false">B4282+D4282+F4282+H4282</f>
        <v>1</v>
      </c>
    </row>
    <row r="4283" customFormat="false" ht="15" hidden="false" customHeight="false" outlineLevel="0" collapsed="false">
      <c r="A4283" s="12" t="s">
        <v>712</v>
      </c>
      <c r="B4283" s="12" t="n">
        <f aca="false">COUNTIFS(Cleaned!$D$2:$D$125,9,Cleaned!GX$2:GX$125,1)</f>
        <v>0</v>
      </c>
      <c r="C4283" s="13" t="str">
        <f aca="false">IFERROR(B4283/$J4283,"")</f>
        <v/>
      </c>
      <c r="D4283" s="12" t="n">
        <f aca="false">COUNTIFS(Cleaned!$D$2:$D$125,9,Cleaned!GX$2:GX$125,2)</f>
        <v>0</v>
      </c>
      <c r="E4283" s="13" t="str">
        <f aca="false">IFERROR(D4283/$J4283,"")</f>
        <v/>
      </c>
      <c r="F4283" s="12" t="n">
        <f aca="false">COUNTIFS(Cleaned!$D$2:$D$125,9,Cleaned!GX$2:GX$125,3)</f>
        <v>0</v>
      </c>
      <c r="G4283" s="13" t="str">
        <f aca="false">IFERROR(F4283/$J4283,"")</f>
        <v/>
      </c>
      <c r="H4283" s="12" t="n">
        <f aca="false">COUNTIFS(Cleaned!$D$2:$D$125,9,Cleaned!GX$2:GX$125,4)</f>
        <v>0</v>
      </c>
      <c r="I4283" s="13" t="str">
        <f aca="false">IFERROR(H4283/$J4283,"")</f>
        <v/>
      </c>
      <c r="J4283" s="12" t="n">
        <f aca="false">B4283+D4283+F4283+H4283</f>
        <v>0</v>
      </c>
    </row>
    <row r="4284" customFormat="false" ht="15" hidden="false" customHeight="false" outlineLevel="0" collapsed="false">
      <c r="A4284" s="12" t="s">
        <v>713</v>
      </c>
      <c r="B4284" s="12" t="n">
        <f aca="false">COUNTIFS(Cleaned!$D$2:$D$125,10,Cleaned!GX$2:GX$125,1)</f>
        <v>0</v>
      </c>
      <c r="C4284" s="13" t="str">
        <f aca="false">IFERROR(B4284/$J4284,"")</f>
        <v/>
      </c>
      <c r="D4284" s="12" t="n">
        <f aca="false">COUNTIFS(Cleaned!$D$2:$D$125,10,Cleaned!GX$2:GX$125,2)</f>
        <v>0</v>
      </c>
      <c r="E4284" s="13" t="str">
        <f aca="false">IFERROR(D4284/$J4284,"")</f>
        <v/>
      </c>
      <c r="F4284" s="12" t="n">
        <f aca="false">COUNTIFS(Cleaned!$D$2:$D$125,10,Cleaned!GX$2:GX$125,3)</f>
        <v>0</v>
      </c>
      <c r="G4284" s="13" t="str">
        <f aca="false">IFERROR(F4284/$J4284,"")</f>
        <v/>
      </c>
      <c r="H4284" s="12" t="n">
        <f aca="false">COUNTIFS(Cleaned!$D$2:$D$125,10,Cleaned!GX$2:GX$125,4)</f>
        <v>0</v>
      </c>
      <c r="I4284" s="13" t="str">
        <f aca="false">IFERROR(H4284/$J4284,"")</f>
        <v/>
      </c>
      <c r="J4284" s="12" t="n">
        <f aca="false">B4284+D4284+F4284+H4284</f>
        <v>0</v>
      </c>
    </row>
    <row r="4285" customFormat="false" ht="15" hidden="false" customHeight="false" outlineLevel="0" collapsed="false">
      <c r="A4285" s="12" t="s">
        <v>714</v>
      </c>
      <c r="B4285" s="12" t="n">
        <f aca="false">COUNTIFS(Cleaned!$D$2:$D$125,11,Cleaned!GX$2:GX$125,1)</f>
        <v>1</v>
      </c>
      <c r="C4285" s="13" t="n">
        <f aca="false">IFERROR(B4285/$J4285,"")</f>
        <v>1</v>
      </c>
      <c r="D4285" s="12" t="n">
        <f aca="false">COUNTIFS(Cleaned!$D$2:$D$125,11,Cleaned!GX$2:GX$125,2)</f>
        <v>0</v>
      </c>
      <c r="E4285" s="13" t="n">
        <f aca="false">IFERROR(D4285/$J4285,"")</f>
        <v>0</v>
      </c>
      <c r="F4285" s="12" t="n">
        <f aca="false">COUNTIFS(Cleaned!$D$2:$D$125,11,Cleaned!GX$2:GX$125,3)</f>
        <v>0</v>
      </c>
      <c r="G4285" s="13" t="n">
        <f aca="false">IFERROR(F4285/$J4285,"")</f>
        <v>0</v>
      </c>
      <c r="H4285" s="12" t="n">
        <f aca="false">COUNTIFS(Cleaned!$D$2:$D$125,11,Cleaned!GX$2:GX$125,4)</f>
        <v>0</v>
      </c>
      <c r="I4285" s="13" t="n">
        <f aca="false">IFERROR(H4285/$J4285,"")</f>
        <v>0</v>
      </c>
      <c r="J4285" s="12" t="n">
        <f aca="false">B4285+D4285+F4285+H4285</f>
        <v>1</v>
      </c>
    </row>
    <row r="4286" customFormat="false" ht="15" hidden="false" customHeight="false" outlineLevel="0" collapsed="false">
      <c r="A4286" s="12" t="s">
        <v>715</v>
      </c>
      <c r="B4286" s="12" t="n">
        <f aca="false">COUNTIFS(Cleaned!$D$2:$D$125,12,Cleaned!GX$2:GX$125,1)</f>
        <v>0</v>
      </c>
      <c r="C4286" s="13" t="str">
        <f aca="false">IFERROR(B4286/$J4286,"")</f>
        <v/>
      </c>
      <c r="D4286" s="12" t="n">
        <f aca="false">COUNTIFS(Cleaned!$D$2:$D$125,12,Cleaned!GX$2:GX$125,2)</f>
        <v>0</v>
      </c>
      <c r="E4286" s="13" t="str">
        <f aca="false">IFERROR(D4286/$J4286,"")</f>
        <v/>
      </c>
      <c r="F4286" s="12" t="n">
        <f aca="false">COUNTIFS(Cleaned!$D$2:$D$125,12,Cleaned!GX$2:GX$125,3)</f>
        <v>0</v>
      </c>
      <c r="G4286" s="13" t="str">
        <f aca="false">IFERROR(F4286/$J4286,"")</f>
        <v/>
      </c>
      <c r="H4286" s="12" t="n">
        <f aca="false">COUNTIFS(Cleaned!$D$2:$D$125,12,Cleaned!GX$2:GX$125,4)</f>
        <v>0</v>
      </c>
      <c r="I4286" s="13" t="str">
        <f aca="false">IFERROR(H4286/$J4286,"")</f>
        <v/>
      </c>
      <c r="J4286" s="12" t="n">
        <f aca="false">B4286+D4286+F4286+H4286</f>
        <v>0</v>
      </c>
    </row>
    <row r="4287" customFormat="false" ht="15" hidden="false" customHeight="false" outlineLevel="0" collapsed="false">
      <c r="A4287" s="11" t="s">
        <v>716</v>
      </c>
      <c r="B4287" s="11" t="n">
        <f aca="false">SUM(B4275:B4286)</f>
        <v>9</v>
      </c>
      <c r="C4287" s="14" t="n">
        <f aca="false">IFERROR(B4287/$J4287,"")</f>
        <v>0.75</v>
      </c>
      <c r="D4287" s="11" t="n">
        <f aca="false">SUM(D4275:D4286)</f>
        <v>1</v>
      </c>
      <c r="E4287" s="14" t="n">
        <f aca="false">IFERROR(D4287/$J4287,"")</f>
        <v>0.0833333333333333</v>
      </c>
      <c r="F4287" s="11" t="n">
        <f aca="false">SUM(F4275:F4286)</f>
        <v>1</v>
      </c>
      <c r="G4287" s="14" t="n">
        <f aca="false">IFERROR(F4287/$J4287,"")</f>
        <v>0.0833333333333333</v>
      </c>
      <c r="H4287" s="11" t="n">
        <f aca="false">SUM(H4275:H4286)</f>
        <v>1</v>
      </c>
      <c r="I4287" s="14" t="n">
        <f aca="false">IFERROR(H4287/$J4287,"")</f>
        <v>0.0833333333333333</v>
      </c>
      <c r="J4287" s="11" t="n">
        <f aca="false">SUM(J4275:J4286)</f>
        <v>12</v>
      </c>
    </row>
    <row r="4290" customFormat="false" ht="15" hidden="false" customHeight="false" outlineLevel="0" collapsed="false">
      <c r="A4290" s="6" t="s">
        <v>195</v>
      </c>
      <c r="B4290" s="7" t="s">
        <v>968</v>
      </c>
    </row>
    <row r="4291" customFormat="false" ht="15" hidden="false" customHeight="false" outlineLevel="0" collapsed="false">
      <c r="A4291" s="11" t="s">
        <v>734</v>
      </c>
      <c r="B4291" s="9" t="s">
        <v>694</v>
      </c>
      <c r="C4291" s="9" t="s">
        <v>735</v>
      </c>
      <c r="D4291" s="9" t="s">
        <v>736</v>
      </c>
      <c r="E4291" s="9" t="s">
        <v>737</v>
      </c>
      <c r="F4291" s="9" t="s">
        <v>738</v>
      </c>
    </row>
    <row r="4292" customFormat="false" ht="15" hidden="false" customHeight="false" outlineLevel="0" collapsed="false">
      <c r="B4292" s="12" t="n">
        <f aca="false">COUNT(Cleaned!$GY$2:$GY$125)</f>
        <v>16</v>
      </c>
      <c r="C4292" s="12" t="n">
        <f aca="false">IFERROR(AVERAGE(Cleaned!$GY$2:$GY$125),"")</f>
        <v>380.1875</v>
      </c>
      <c r="D4292" s="12" t="n">
        <f aca="false">IFERROR(MEDIAN(Cleaned!$GY$2:$GY$125),"")</f>
        <v>69</v>
      </c>
      <c r="E4292" s="12" t="n">
        <f aca="false">IFERROR(MIN(Cleaned!$GY$2:$GY$125),"")</f>
        <v>0</v>
      </c>
      <c r="F4292" s="12" t="n">
        <f aca="false">IFERROR(MAX(Cleaned!$GY$2:$GY$125),"")</f>
        <v>1972</v>
      </c>
    </row>
    <row r="4293" customFormat="false" ht="15" hidden="false" customHeight="false" outlineLevel="0" collapsed="false">
      <c r="A4293" s="11" t="s">
        <v>697</v>
      </c>
      <c r="B4293" s="9" t="s">
        <v>739</v>
      </c>
      <c r="C4293" s="9" t="s">
        <v>735</v>
      </c>
    </row>
    <row r="4294" customFormat="false" ht="15" hidden="false" customHeight="false" outlineLevel="0" collapsed="false">
      <c r="A4294" s="12" t="s">
        <v>698</v>
      </c>
      <c r="B4294" s="12" t="n">
        <f aca="false">COUNTIFS(Cleaned!$C$2:$C$125,1,Cleaned!GY$2:GY$125,"&lt;&gt;")</f>
        <v>1</v>
      </c>
      <c r="C4294" s="15" t="n">
        <f aca="false">IF(B4294=0,"",AVERAGEIF(Cleaned!$C$2:$C$125,1,Cleaned!GY$2:GY$125))</f>
        <v>6</v>
      </c>
    </row>
    <row r="4295" customFormat="false" ht="15" hidden="false" customHeight="false" outlineLevel="0" collapsed="false">
      <c r="A4295" s="12" t="s">
        <v>699</v>
      </c>
      <c r="B4295" s="12" t="n">
        <f aca="false">COUNTIFS(Cleaned!$C$2:$C$125,2,Cleaned!GY$2:GY$125,"&lt;&gt;")</f>
        <v>1</v>
      </c>
      <c r="C4295" s="15" t="n">
        <f aca="false">IF(B4295=0,"",AVERAGEIF(Cleaned!$C$2:$C$125,2,Cleaned!GY$2:GY$125))</f>
        <v>0</v>
      </c>
    </row>
    <row r="4296" customFormat="false" ht="15" hidden="false" customHeight="false" outlineLevel="0" collapsed="false">
      <c r="A4296" s="12" t="s">
        <v>700</v>
      </c>
      <c r="B4296" s="12" t="n">
        <f aca="false">COUNTIFS(Cleaned!$C$2:$C$125,3,Cleaned!GY$2:GY$125,"&lt;&gt;")</f>
        <v>0</v>
      </c>
      <c r="C4296" s="15" t="str">
        <f aca="false">IF(B4296=0,"",AVERAGEIF(Cleaned!$C$2:$C$125,3,Cleaned!GY$2:GY$125))</f>
        <v/>
      </c>
    </row>
    <row r="4297" customFormat="false" ht="15" hidden="false" customHeight="false" outlineLevel="0" collapsed="false">
      <c r="A4297" s="12" t="s">
        <v>701</v>
      </c>
      <c r="B4297" s="12" t="n">
        <f aca="false">COUNTIFS(Cleaned!$C$2:$C$125,4,Cleaned!GY$2:GY$125,"&lt;&gt;")</f>
        <v>4</v>
      </c>
      <c r="C4297" s="15" t="n">
        <f aca="false">IF(B4297=0,"",AVERAGEIF(Cleaned!$C$2:$C$125,4,Cleaned!GY$2:GY$125))</f>
        <v>9.75</v>
      </c>
    </row>
    <row r="4298" customFormat="false" ht="15" hidden="false" customHeight="false" outlineLevel="0" collapsed="false">
      <c r="A4298" s="12" t="s">
        <v>702</v>
      </c>
      <c r="B4298" s="12" t="n">
        <f aca="false">COUNTIFS(Cleaned!$C$2:$C$125,5,Cleaned!GY$2:GY$125,"&lt;&gt;")</f>
        <v>10</v>
      </c>
      <c r="C4298" s="15" t="n">
        <f aca="false">IF(B4298=0,"",AVERAGEIF(Cleaned!$C$2:$C$125,5,Cleaned!GY$2:GY$125))</f>
        <v>603.8</v>
      </c>
    </row>
    <row r="4299" customFormat="false" ht="15" hidden="false" customHeight="false" outlineLevel="0" collapsed="false">
      <c r="A4299" s="11" t="s">
        <v>3</v>
      </c>
      <c r="B4299" s="9" t="s">
        <v>739</v>
      </c>
      <c r="C4299" s="9" t="s">
        <v>735</v>
      </c>
    </row>
    <row r="4300" customFormat="false" ht="15" hidden="false" customHeight="false" outlineLevel="0" collapsed="false">
      <c r="A4300" s="12" t="s">
        <v>704</v>
      </c>
      <c r="B4300" s="12" t="n">
        <f aca="false">COUNTIFS(Cleaned!$D$2:$D$125,1,Cleaned!GY$2:GY$125,"&lt;&gt;")</f>
        <v>1</v>
      </c>
      <c r="C4300" s="15" t="n">
        <f aca="false">IF(B4300=0,"",AVERAGEIF(Cleaned!$D$2:$D$125,1,Cleaned!GY$2:GY$125))</f>
        <v>6</v>
      </c>
    </row>
    <row r="4301" customFormat="false" ht="15" hidden="false" customHeight="false" outlineLevel="0" collapsed="false">
      <c r="A4301" s="12" t="s">
        <v>705</v>
      </c>
      <c r="B4301" s="12" t="n">
        <f aca="false">COUNTIFS(Cleaned!$D$2:$D$125,2,Cleaned!GY$2:GY$125,"&lt;&gt;")</f>
        <v>5</v>
      </c>
      <c r="C4301" s="15" t="n">
        <f aca="false">IF(B4301=0,"",AVERAGEIF(Cleaned!$D$2:$D$125,2,Cleaned!GY$2:GY$125))</f>
        <v>368.6</v>
      </c>
    </row>
    <row r="4302" customFormat="false" ht="15" hidden="false" customHeight="false" outlineLevel="0" collapsed="false">
      <c r="A4302" s="12" t="s">
        <v>706</v>
      </c>
      <c r="B4302" s="12" t="n">
        <f aca="false">COUNTIFS(Cleaned!$D$2:$D$125,3,Cleaned!GY$2:GY$125,"&lt;&gt;")</f>
        <v>3</v>
      </c>
      <c r="C4302" s="15" t="n">
        <f aca="false">IF(B4302=0,"",AVERAGEIF(Cleaned!$D$2:$D$125,3,Cleaned!GY$2:GY$125))</f>
        <v>1336.33333333333</v>
      </c>
    </row>
    <row r="4303" customFormat="false" ht="15" hidden="false" customHeight="false" outlineLevel="0" collapsed="false">
      <c r="A4303" s="12" t="s">
        <v>707</v>
      </c>
      <c r="B4303" s="12" t="n">
        <f aca="false">COUNTIFS(Cleaned!$D$2:$D$125,4,Cleaned!GY$2:GY$125,"&lt;&gt;")</f>
        <v>1</v>
      </c>
      <c r="C4303" s="15" t="n">
        <f aca="false">IF(B4303=0,"",AVERAGEIF(Cleaned!$D$2:$D$125,4,Cleaned!GY$2:GY$125))</f>
        <v>0</v>
      </c>
    </row>
    <row r="4304" customFormat="false" ht="15" hidden="false" customHeight="false" outlineLevel="0" collapsed="false">
      <c r="A4304" s="12" t="s">
        <v>708</v>
      </c>
      <c r="B4304" s="12" t="n">
        <f aca="false">COUNTIFS(Cleaned!$D$2:$D$125,5,Cleaned!GY$2:GY$125,"&lt;&gt;")</f>
        <v>1</v>
      </c>
      <c r="C4304" s="15" t="n">
        <f aca="false">IF(B4304=0,"",AVERAGEIF(Cleaned!$D$2:$D$125,5,Cleaned!GY$2:GY$125))</f>
        <v>21</v>
      </c>
    </row>
    <row r="4305" customFormat="false" ht="15" hidden="false" customHeight="false" outlineLevel="0" collapsed="false">
      <c r="A4305" s="12" t="s">
        <v>709</v>
      </c>
      <c r="B4305" s="12" t="n">
        <f aca="false">COUNTIFS(Cleaned!$D$2:$D$125,6,Cleaned!GY$2:GY$125,"&lt;&gt;")</f>
        <v>1</v>
      </c>
      <c r="C4305" s="15" t="n">
        <f aca="false">IF(B4305=0,"",AVERAGEIF(Cleaned!$D$2:$D$125,6,Cleaned!GY$2:GY$125))</f>
        <v>18</v>
      </c>
    </row>
    <row r="4306" customFormat="false" ht="15" hidden="false" customHeight="false" outlineLevel="0" collapsed="false">
      <c r="A4306" s="12" t="s">
        <v>710</v>
      </c>
      <c r="B4306" s="12" t="n">
        <f aca="false">COUNTIFS(Cleaned!$D$2:$D$125,7,Cleaned!GY$2:GY$125,"&lt;&gt;")</f>
        <v>2</v>
      </c>
      <c r="C4306" s="15" t="n">
        <f aca="false">IF(B4306=0,"",AVERAGEIF(Cleaned!$D$2:$D$125,7,Cleaned!GY$2:GY$125))</f>
        <v>93</v>
      </c>
    </row>
    <row r="4307" customFormat="false" ht="15" hidden="false" customHeight="false" outlineLevel="0" collapsed="false">
      <c r="A4307" s="12" t="s">
        <v>711</v>
      </c>
      <c r="B4307" s="12" t="n">
        <f aca="false">COUNTIFS(Cleaned!$D$2:$D$125,8,Cleaned!GY$2:GY$125,"&lt;&gt;")</f>
        <v>1</v>
      </c>
      <c r="C4307" s="15" t="n">
        <f aca="false">IF(B4307=0,"",AVERAGEIF(Cleaned!$D$2:$D$125,8,Cleaned!GY$2:GY$125))</f>
        <v>0</v>
      </c>
    </row>
    <row r="4308" customFormat="false" ht="15" hidden="false" customHeight="false" outlineLevel="0" collapsed="false">
      <c r="A4308" s="12" t="s">
        <v>712</v>
      </c>
      <c r="B4308" s="12" t="n">
        <f aca="false">COUNTIFS(Cleaned!$D$2:$D$125,9,Cleaned!GY$2:GY$125,"&lt;&gt;")</f>
        <v>0</v>
      </c>
      <c r="C4308" s="15" t="str">
        <f aca="false">IF(B4308=0,"",AVERAGEIF(Cleaned!$D$2:$D$125,9,Cleaned!GY$2:GY$125))</f>
        <v/>
      </c>
    </row>
    <row r="4309" customFormat="false" ht="15" hidden="false" customHeight="false" outlineLevel="0" collapsed="false">
      <c r="A4309" s="12" t="s">
        <v>713</v>
      </c>
      <c r="B4309" s="12" t="n">
        <f aca="false">COUNTIFS(Cleaned!$D$2:$D$125,10,Cleaned!GY$2:GY$125,"&lt;&gt;")</f>
        <v>0</v>
      </c>
      <c r="C4309" s="15" t="str">
        <f aca="false">IF(B4309=0,"",AVERAGEIF(Cleaned!$D$2:$D$125,10,Cleaned!GY$2:GY$125))</f>
        <v/>
      </c>
    </row>
    <row r="4310" customFormat="false" ht="15" hidden="false" customHeight="false" outlineLevel="0" collapsed="false">
      <c r="A4310" s="12" t="s">
        <v>714</v>
      </c>
      <c r="B4310" s="12" t="n">
        <f aca="false">COUNTIFS(Cleaned!$D$2:$D$125,11,Cleaned!GY$2:GY$125,"&lt;&gt;")</f>
        <v>1</v>
      </c>
      <c r="C4310" s="15" t="n">
        <f aca="false">IF(B4310=0,"",AVERAGEIF(Cleaned!$D$2:$D$125,11,Cleaned!GY$2:GY$125))</f>
        <v>0</v>
      </c>
    </row>
    <row r="4311" customFormat="false" ht="15" hidden="false" customHeight="false" outlineLevel="0" collapsed="false">
      <c r="A4311" s="12" t="s">
        <v>715</v>
      </c>
      <c r="B4311" s="12" t="n">
        <f aca="false">COUNTIFS(Cleaned!$D$2:$D$125,12,Cleaned!GY$2:GY$125,"&lt;&gt;")</f>
        <v>0</v>
      </c>
      <c r="C4311" s="15" t="str">
        <f aca="false">IF(B4311=0,"",AVERAGEIF(Cleaned!$D$2:$D$125,12,Cleaned!GY$2:GY$125))</f>
        <v/>
      </c>
    </row>
    <row r="4314" customFormat="false" ht="15" hidden="false" customHeight="false" outlineLevel="0" collapsed="false">
      <c r="A4314" s="6" t="s">
        <v>196</v>
      </c>
      <c r="B4314" s="7" t="s">
        <v>969</v>
      </c>
    </row>
    <row r="4315" customFormat="false" ht="15" hidden="false" customHeight="false" outlineLevel="0" collapsed="false">
      <c r="A4315" s="8"/>
      <c r="B4315" s="9" t="s">
        <v>372</v>
      </c>
      <c r="C4315" s="8"/>
      <c r="D4315" s="9" t="s">
        <v>250</v>
      </c>
      <c r="E4315" s="8"/>
      <c r="F4315" s="9" t="s">
        <v>246</v>
      </c>
      <c r="G4315" s="8"/>
      <c r="H4315" s="9" t="s">
        <v>694</v>
      </c>
    </row>
    <row r="4316" customFormat="false" ht="15" hidden="false" customHeight="false" outlineLevel="0" collapsed="false">
      <c r="B4316" s="10" t="s">
        <v>695</v>
      </c>
      <c r="C4316" s="10" t="s">
        <v>696</v>
      </c>
      <c r="D4316" s="10" t="s">
        <v>695</v>
      </c>
      <c r="E4316" s="10" t="s">
        <v>696</v>
      </c>
      <c r="F4316" s="10" t="s">
        <v>695</v>
      </c>
      <c r="G4316" s="10" t="s">
        <v>696</v>
      </c>
    </row>
    <row r="4317" customFormat="false" ht="15" hidden="false" customHeight="false" outlineLevel="0" collapsed="false">
      <c r="A4317" s="11" t="s">
        <v>697</v>
      </c>
    </row>
    <row r="4318" customFormat="false" ht="15" hidden="false" customHeight="false" outlineLevel="0" collapsed="false">
      <c r="A4318" s="12" t="s">
        <v>698</v>
      </c>
      <c r="B4318" s="12" t="n">
        <f aca="false">COUNTIFS(Cleaned!$C$2:$C$125,1,Cleaned!GZ$2:GZ$125,1)</f>
        <v>1</v>
      </c>
      <c r="C4318" s="13" t="n">
        <f aca="false">IFERROR(B4318/$H4318,"")</f>
        <v>1</v>
      </c>
      <c r="D4318" s="12" t="n">
        <f aca="false">COUNTIFS(Cleaned!$C$2:$C$125,1,Cleaned!GZ$2:GZ$125,2)</f>
        <v>0</v>
      </c>
      <c r="E4318" s="13" t="n">
        <f aca="false">IFERROR(D4318/$H4318,"")</f>
        <v>0</v>
      </c>
      <c r="F4318" s="12" t="n">
        <f aca="false">COUNTIFS(Cleaned!$C$2:$C$125,1,Cleaned!GZ$2:GZ$125,3)</f>
        <v>0</v>
      </c>
      <c r="G4318" s="13" t="n">
        <f aca="false">IFERROR(F4318/$H4318,"")</f>
        <v>0</v>
      </c>
      <c r="H4318" s="12" t="n">
        <f aca="false">B4318+D4318+F4318</f>
        <v>1</v>
      </c>
    </row>
    <row r="4319" customFormat="false" ht="15" hidden="false" customHeight="false" outlineLevel="0" collapsed="false">
      <c r="A4319" s="12" t="s">
        <v>699</v>
      </c>
      <c r="B4319" s="12" t="n">
        <f aca="false">COUNTIFS(Cleaned!$C$2:$C$125,2,Cleaned!GZ$2:GZ$125,1)</f>
        <v>0</v>
      </c>
      <c r="C4319" s="13" t="str">
        <f aca="false">IFERROR(B4319/$H4319,"")</f>
        <v/>
      </c>
      <c r="D4319" s="12" t="n">
        <f aca="false">COUNTIFS(Cleaned!$C$2:$C$125,2,Cleaned!GZ$2:GZ$125,2)</f>
        <v>0</v>
      </c>
      <c r="E4319" s="13" t="str">
        <f aca="false">IFERROR(D4319/$H4319,"")</f>
        <v/>
      </c>
      <c r="F4319" s="12" t="n">
        <f aca="false">COUNTIFS(Cleaned!$C$2:$C$125,2,Cleaned!GZ$2:GZ$125,3)</f>
        <v>0</v>
      </c>
      <c r="G4319" s="13" t="str">
        <f aca="false">IFERROR(F4319/$H4319,"")</f>
        <v/>
      </c>
      <c r="H4319" s="12" t="n">
        <f aca="false">B4319+D4319+F4319</f>
        <v>0</v>
      </c>
    </row>
    <row r="4320" customFormat="false" ht="15" hidden="false" customHeight="false" outlineLevel="0" collapsed="false">
      <c r="A4320" s="12" t="s">
        <v>700</v>
      </c>
      <c r="B4320" s="12" t="n">
        <f aca="false">COUNTIFS(Cleaned!$C$2:$C$125,3,Cleaned!GZ$2:GZ$125,1)</f>
        <v>0</v>
      </c>
      <c r="C4320" s="13" t="n">
        <f aca="false">IFERROR(B4320/$H4320,"")</f>
        <v>0</v>
      </c>
      <c r="D4320" s="12" t="n">
        <f aca="false">COUNTIFS(Cleaned!$C$2:$C$125,3,Cleaned!GZ$2:GZ$125,2)</f>
        <v>0</v>
      </c>
      <c r="E4320" s="13" t="n">
        <f aca="false">IFERROR(D4320/$H4320,"")</f>
        <v>0</v>
      </c>
      <c r="F4320" s="12" t="n">
        <f aca="false">COUNTIFS(Cleaned!$C$2:$C$125,3,Cleaned!GZ$2:GZ$125,3)</f>
        <v>1</v>
      </c>
      <c r="G4320" s="13" t="n">
        <f aca="false">IFERROR(F4320/$H4320,"")</f>
        <v>1</v>
      </c>
      <c r="H4320" s="12" t="n">
        <f aca="false">B4320+D4320+F4320</f>
        <v>1</v>
      </c>
    </row>
    <row r="4321" customFormat="false" ht="15" hidden="false" customHeight="false" outlineLevel="0" collapsed="false">
      <c r="A4321" s="12" t="s">
        <v>701</v>
      </c>
      <c r="B4321" s="12" t="n">
        <f aca="false">COUNTIFS(Cleaned!$C$2:$C$125,4,Cleaned!GZ$2:GZ$125,1)</f>
        <v>2</v>
      </c>
      <c r="C4321" s="13" t="n">
        <f aca="false">IFERROR(B4321/$H4321,"")</f>
        <v>1</v>
      </c>
      <c r="D4321" s="12" t="n">
        <f aca="false">COUNTIFS(Cleaned!$C$2:$C$125,4,Cleaned!GZ$2:GZ$125,2)</f>
        <v>0</v>
      </c>
      <c r="E4321" s="13" t="n">
        <f aca="false">IFERROR(D4321/$H4321,"")</f>
        <v>0</v>
      </c>
      <c r="F4321" s="12" t="n">
        <f aca="false">COUNTIFS(Cleaned!$C$2:$C$125,4,Cleaned!GZ$2:GZ$125,3)</f>
        <v>0</v>
      </c>
      <c r="G4321" s="13" t="n">
        <f aca="false">IFERROR(F4321/$H4321,"")</f>
        <v>0</v>
      </c>
      <c r="H4321" s="12" t="n">
        <f aca="false">B4321+D4321+F4321</f>
        <v>2</v>
      </c>
    </row>
    <row r="4322" customFormat="false" ht="15" hidden="false" customHeight="false" outlineLevel="0" collapsed="false">
      <c r="A4322" s="12" t="s">
        <v>702</v>
      </c>
      <c r="B4322" s="12" t="n">
        <f aca="false">COUNTIFS(Cleaned!$C$2:$C$125,5,Cleaned!GZ$2:GZ$125,1)</f>
        <v>4</v>
      </c>
      <c r="C4322" s="13" t="n">
        <f aca="false">IFERROR(B4322/$H4322,"")</f>
        <v>0.8</v>
      </c>
      <c r="D4322" s="12" t="n">
        <f aca="false">COUNTIFS(Cleaned!$C$2:$C$125,5,Cleaned!GZ$2:GZ$125,2)</f>
        <v>1</v>
      </c>
      <c r="E4322" s="13" t="n">
        <f aca="false">IFERROR(D4322/$H4322,"")</f>
        <v>0.2</v>
      </c>
      <c r="F4322" s="12" t="n">
        <f aca="false">COUNTIFS(Cleaned!$C$2:$C$125,5,Cleaned!GZ$2:GZ$125,3)</f>
        <v>0</v>
      </c>
      <c r="G4322" s="13" t="n">
        <f aca="false">IFERROR(F4322/$H4322,"")</f>
        <v>0</v>
      </c>
      <c r="H4322" s="12" t="n">
        <f aca="false">B4322+D4322+F4322</f>
        <v>5</v>
      </c>
    </row>
    <row r="4323" customFormat="false" ht="15" hidden="false" customHeight="false" outlineLevel="0" collapsed="false">
      <c r="A4323" s="11" t="s">
        <v>703</v>
      </c>
      <c r="B4323" s="11" t="n">
        <f aca="false">SUM(B4318:B4322)</f>
        <v>7</v>
      </c>
      <c r="C4323" s="14" t="n">
        <f aca="false">IFERROR(B4323/$H4323,"")</f>
        <v>0.777777777777778</v>
      </c>
      <c r="D4323" s="11" t="n">
        <f aca="false">SUM(D4318:D4322)</f>
        <v>1</v>
      </c>
      <c r="E4323" s="14" t="n">
        <f aca="false">IFERROR(D4323/$H4323,"")</f>
        <v>0.111111111111111</v>
      </c>
      <c r="F4323" s="11" t="n">
        <f aca="false">SUM(F4318:F4322)</f>
        <v>1</v>
      </c>
      <c r="G4323" s="14" t="n">
        <f aca="false">IFERROR(F4323/$H4323,"")</f>
        <v>0.111111111111111</v>
      </c>
      <c r="H4323" s="11" t="n">
        <f aca="false">SUM(H4318:H4322)</f>
        <v>9</v>
      </c>
    </row>
    <row r="4324" customFormat="false" ht="15" hidden="false" customHeight="false" outlineLevel="0" collapsed="false">
      <c r="A4324" s="11" t="s">
        <v>3</v>
      </c>
    </row>
    <row r="4325" customFormat="false" ht="15" hidden="false" customHeight="false" outlineLevel="0" collapsed="false">
      <c r="A4325" s="12" t="s">
        <v>704</v>
      </c>
      <c r="B4325" s="12" t="n">
        <f aca="false">COUNTIFS(Cleaned!$D$2:$D$125,1,Cleaned!GZ$2:GZ$125,1)</f>
        <v>1</v>
      </c>
      <c r="C4325" s="13" t="n">
        <f aca="false">IFERROR(B4325/$H4325,"")</f>
        <v>1</v>
      </c>
      <c r="D4325" s="12" t="n">
        <f aca="false">COUNTIFS(Cleaned!$D$2:$D$125,1,Cleaned!GZ$2:GZ$125,2)</f>
        <v>0</v>
      </c>
      <c r="E4325" s="13" t="n">
        <f aca="false">IFERROR(D4325/$H4325,"")</f>
        <v>0</v>
      </c>
      <c r="F4325" s="12" t="n">
        <f aca="false">COUNTIFS(Cleaned!$D$2:$D$125,1,Cleaned!GZ$2:GZ$125,3)</f>
        <v>0</v>
      </c>
      <c r="G4325" s="13" t="n">
        <f aca="false">IFERROR(F4325/$H4325,"")</f>
        <v>0</v>
      </c>
      <c r="H4325" s="12" t="n">
        <f aca="false">B4325+D4325+F4325</f>
        <v>1</v>
      </c>
    </row>
    <row r="4326" customFormat="false" ht="15" hidden="false" customHeight="false" outlineLevel="0" collapsed="false">
      <c r="A4326" s="12" t="s">
        <v>705</v>
      </c>
      <c r="B4326" s="12" t="n">
        <f aca="false">COUNTIFS(Cleaned!$D$2:$D$125,2,Cleaned!GZ$2:GZ$125,1)</f>
        <v>3</v>
      </c>
      <c r="C4326" s="13" t="n">
        <f aca="false">IFERROR(B4326/$H4326,"")</f>
        <v>0.75</v>
      </c>
      <c r="D4326" s="12" t="n">
        <f aca="false">COUNTIFS(Cleaned!$D$2:$D$125,2,Cleaned!GZ$2:GZ$125,2)</f>
        <v>1</v>
      </c>
      <c r="E4326" s="13" t="n">
        <f aca="false">IFERROR(D4326/$H4326,"")</f>
        <v>0.25</v>
      </c>
      <c r="F4326" s="12" t="n">
        <f aca="false">COUNTIFS(Cleaned!$D$2:$D$125,2,Cleaned!GZ$2:GZ$125,3)</f>
        <v>0</v>
      </c>
      <c r="G4326" s="13" t="n">
        <f aca="false">IFERROR(F4326/$H4326,"")</f>
        <v>0</v>
      </c>
      <c r="H4326" s="12" t="n">
        <f aca="false">B4326+D4326+F4326</f>
        <v>4</v>
      </c>
    </row>
    <row r="4327" customFormat="false" ht="15" hidden="false" customHeight="false" outlineLevel="0" collapsed="false">
      <c r="A4327" s="12" t="s">
        <v>706</v>
      </c>
      <c r="B4327" s="12" t="n">
        <f aca="false">COUNTIFS(Cleaned!$D$2:$D$125,3,Cleaned!GZ$2:GZ$125,1)</f>
        <v>0</v>
      </c>
      <c r="C4327" s="13" t="str">
        <f aca="false">IFERROR(B4327/$H4327,"")</f>
        <v/>
      </c>
      <c r="D4327" s="12" t="n">
        <f aca="false">COUNTIFS(Cleaned!$D$2:$D$125,3,Cleaned!GZ$2:GZ$125,2)</f>
        <v>0</v>
      </c>
      <c r="E4327" s="13" t="str">
        <f aca="false">IFERROR(D4327/$H4327,"")</f>
        <v/>
      </c>
      <c r="F4327" s="12" t="n">
        <f aca="false">COUNTIFS(Cleaned!$D$2:$D$125,3,Cleaned!GZ$2:GZ$125,3)</f>
        <v>0</v>
      </c>
      <c r="G4327" s="13" t="str">
        <f aca="false">IFERROR(F4327/$H4327,"")</f>
        <v/>
      </c>
      <c r="H4327" s="12" t="n">
        <f aca="false">B4327+D4327+F4327</f>
        <v>0</v>
      </c>
    </row>
    <row r="4328" customFormat="false" ht="15" hidden="false" customHeight="false" outlineLevel="0" collapsed="false">
      <c r="A4328" s="12" t="s">
        <v>707</v>
      </c>
      <c r="B4328" s="12" t="n">
        <f aca="false">COUNTIFS(Cleaned!$D$2:$D$125,4,Cleaned!GZ$2:GZ$125,1)</f>
        <v>0</v>
      </c>
      <c r="C4328" s="13" t="n">
        <f aca="false">IFERROR(B4328/$H4328,"")</f>
        <v>0</v>
      </c>
      <c r="D4328" s="12" t="n">
        <f aca="false">COUNTIFS(Cleaned!$D$2:$D$125,4,Cleaned!GZ$2:GZ$125,2)</f>
        <v>0</v>
      </c>
      <c r="E4328" s="13" t="n">
        <f aca="false">IFERROR(D4328/$H4328,"")</f>
        <v>0</v>
      </c>
      <c r="F4328" s="12" t="n">
        <f aca="false">COUNTIFS(Cleaned!$D$2:$D$125,4,Cleaned!GZ$2:GZ$125,3)</f>
        <v>1</v>
      </c>
      <c r="G4328" s="13" t="n">
        <f aca="false">IFERROR(F4328/$H4328,"")</f>
        <v>1</v>
      </c>
      <c r="H4328" s="12" t="n">
        <f aca="false">B4328+D4328+F4328</f>
        <v>1</v>
      </c>
    </row>
    <row r="4329" customFormat="false" ht="15" hidden="false" customHeight="false" outlineLevel="0" collapsed="false">
      <c r="A4329" s="12" t="s">
        <v>708</v>
      </c>
      <c r="B4329" s="12" t="n">
        <f aca="false">COUNTIFS(Cleaned!$D$2:$D$125,5,Cleaned!GZ$2:GZ$125,1)</f>
        <v>0</v>
      </c>
      <c r="C4329" s="13" t="str">
        <f aca="false">IFERROR(B4329/$H4329,"")</f>
        <v/>
      </c>
      <c r="D4329" s="12" t="n">
        <f aca="false">COUNTIFS(Cleaned!$D$2:$D$125,5,Cleaned!GZ$2:GZ$125,2)</f>
        <v>0</v>
      </c>
      <c r="E4329" s="13" t="str">
        <f aca="false">IFERROR(D4329/$H4329,"")</f>
        <v/>
      </c>
      <c r="F4329" s="12" t="n">
        <f aca="false">COUNTIFS(Cleaned!$D$2:$D$125,5,Cleaned!GZ$2:GZ$125,3)</f>
        <v>0</v>
      </c>
      <c r="G4329" s="13" t="str">
        <f aca="false">IFERROR(F4329/$H4329,"")</f>
        <v/>
      </c>
      <c r="H4329" s="12" t="n">
        <f aca="false">B4329+D4329+F4329</f>
        <v>0</v>
      </c>
    </row>
    <row r="4330" customFormat="false" ht="15" hidden="false" customHeight="false" outlineLevel="0" collapsed="false">
      <c r="A4330" s="12" t="s">
        <v>709</v>
      </c>
      <c r="B4330" s="12" t="n">
        <f aca="false">COUNTIFS(Cleaned!$D$2:$D$125,6,Cleaned!GZ$2:GZ$125,1)</f>
        <v>0</v>
      </c>
      <c r="C4330" s="13" t="str">
        <f aca="false">IFERROR(B4330/$H4330,"")</f>
        <v/>
      </c>
      <c r="D4330" s="12" t="n">
        <f aca="false">COUNTIFS(Cleaned!$D$2:$D$125,6,Cleaned!GZ$2:GZ$125,2)</f>
        <v>0</v>
      </c>
      <c r="E4330" s="13" t="str">
        <f aca="false">IFERROR(D4330/$H4330,"")</f>
        <v/>
      </c>
      <c r="F4330" s="12" t="n">
        <f aca="false">COUNTIFS(Cleaned!$D$2:$D$125,6,Cleaned!GZ$2:GZ$125,3)</f>
        <v>0</v>
      </c>
      <c r="G4330" s="13" t="str">
        <f aca="false">IFERROR(F4330/$H4330,"")</f>
        <v/>
      </c>
      <c r="H4330" s="12" t="n">
        <f aca="false">B4330+D4330+F4330</f>
        <v>0</v>
      </c>
    </row>
    <row r="4331" customFormat="false" ht="15" hidden="false" customHeight="false" outlineLevel="0" collapsed="false">
      <c r="A4331" s="12" t="s">
        <v>710</v>
      </c>
      <c r="B4331" s="12" t="n">
        <f aca="false">COUNTIFS(Cleaned!$D$2:$D$125,7,Cleaned!GZ$2:GZ$125,1)</f>
        <v>1</v>
      </c>
      <c r="C4331" s="13" t="n">
        <f aca="false">IFERROR(B4331/$H4331,"")</f>
        <v>1</v>
      </c>
      <c r="D4331" s="12" t="n">
        <f aca="false">COUNTIFS(Cleaned!$D$2:$D$125,7,Cleaned!GZ$2:GZ$125,2)</f>
        <v>0</v>
      </c>
      <c r="E4331" s="13" t="n">
        <f aca="false">IFERROR(D4331/$H4331,"")</f>
        <v>0</v>
      </c>
      <c r="F4331" s="12" t="n">
        <f aca="false">COUNTIFS(Cleaned!$D$2:$D$125,7,Cleaned!GZ$2:GZ$125,3)</f>
        <v>0</v>
      </c>
      <c r="G4331" s="13" t="n">
        <f aca="false">IFERROR(F4331/$H4331,"")</f>
        <v>0</v>
      </c>
      <c r="H4331" s="12" t="n">
        <f aca="false">B4331+D4331+F4331</f>
        <v>1</v>
      </c>
    </row>
    <row r="4332" customFormat="false" ht="15" hidden="false" customHeight="false" outlineLevel="0" collapsed="false">
      <c r="A4332" s="12" t="s">
        <v>711</v>
      </c>
      <c r="B4332" s="12" t="n">
        <f aca="false">COUNTIFS(Cleaned!$D$2:$D$125,8,Cleaned!GZ$2:GZ$125,1)</f>
        <v>1</v>
      </c>
      <c r="C4332" s="13" t="n">
        <f aca="false">IFERROR(B4332/$H4332,"")</f>
        <v>1</v>
      </c>
      <c r="D4332" s="12" t="n">
        <f aca="false">COUNTIFS(Cleaned!$D$2:$D$125,8,Cleaned!GZ$2:GZ$125,2)</f>
        <v>0</v>
      </c>
      <c r="E4332" s="13" t="n">
        <f aca="false">IFERROR(D4332/$H4332,"")</f>
        <v>0</v>
      </c>
      <c r="F4332" s="12" t="n">
        <f aca="false">COUNTIFS(Cleaned!$D$2:$D$125,8,Cleaned!GZ$2:GZ$125,3)</f>
        <v>0</v>
      </c>
      <c r="G4332" s="13" t="n">
        <f aca="false">IFERROR(F4332/$H4332,"")</f>
        <v>0</v>
      </c>
      <c r="H4332" s="12" t="n">
        <f aca="false">B4332+D4332+F4332</f>
        <v>1</v>
      </c>
    </row>
    <row r="4333" customFormat="false" ht="15" hidden="false" customHeight="false" outlineLevel="0" collapsed="false">
      <c r="A4333" s="12" t="s">
        <v>712</v>
      </c>
      <c r="B4333" s="12" t="n">
        <f aca="false">COUNTIFS(Cleaned!$D$2:$D$125,9,Cleaned!GZ$2:GZ$125,1)</f>
        <v>0</v>
      </c>
      <c r="C4333" s="13" t="str">
        <f aca="false">IFERROR(B4333/$H4333,"")</f>
        <v/>
      </c>
      <c r="D4333" s="12" t="n">
        <f aca="false">COUNTIFS(Cleaned!$D$2:$D$125,9,Cleaned!GZ$2:GZ$125,2)</f>
        <v>0</v>
      </c>
      <c r="E4333" s="13" t="str">
        <f aca="false">IFERROR(D4333/$H4333,"")</f>
        <v/>
      </c>
      <c r="F4333" s="12" t="n">
        <f aca="false">COUNTIFS(Cleaned!$D$2:$D$125,9,Cleaned!GZ$2:GZ$125,3)</f>
        <v>0</v>
      </c>
      <c r="G4333" s="13" t="str">
        <f aca="false">IFERROR(F4333/$H4333,"")</f>
        <v/>
      </c>
      <c r="H4333" s="12" t="n">
        <f aca="false">B4333+D4333+F4333</f>
        <v>0</v>
      </c>
    </row>
    <row r="4334" customFormat="false" ht="15" hidden="false" customHeight="false" outlineLevel="0" collapsed="false">
      <c r="A4334" s="12" t="s">
        <v>713</v>
      </c>
      <c r="B4334" s="12" t="n">
        <f aca="false">COUNTIFS(Cleaned!$D$2:$D$125,10,Cleaned!GZ$2:GZ$125,1)</f>
        <v>0</v>
      </c>
      <c r="C4334" s="13" t="str">
        <f aca="false">IFERROR(B4334/$H4334,"")</f>
        <v/>
      </c>
      <c r="D4334" s="12" t="n">
        <f aca="false">COUNTIFS(Cleaned!$D$2:$D$125,10,Cleaned!GZ$2:GZ$125,2)</f>
        <v>0</v>
      </c>
      <c r="E4334" s="13" t="str">
        <f aca="false">IFERROR(D4334/$H4334,"")</f>
        <v/>
      </c>
      <c r="F4334" s="12" t="n">
        <f aca="false">COUNTIFS(Cleaned!$D$2:$D$125,10,Cleaned!GZ$2:GZ$125,3)</f>
        <v>0</v>
      </c>
      <c r="G4334" s="13" t="str">
        <f aca="false">IFERROR(F4334/$H4334,"")</f>
        <v/>
      </c>
      <c r="H4334" s="12" t="n">
        <f aca="false">B4334+D4334+F4334</f>
        <v>0</v>
      </c>
    </row>
    <row r="4335" customFormat="false" ht="15" hidden="false" customHeight="false" outlineLevel="0" collapsed="false">
      <c r="A4335" s="12" t="s">
        <v>714</v>
      </c>
      <c r="B4335" s="12" t="n">
        <f aca="false">COUNTIFS(Cleaned!$D$2:$D$125,11,Cleaned!GZ$2:GZ$125,1)</f>
        <v>1</v>
      </c>
      <c r="C4335" s="13" t="n">
        <f aca="false">IFERROR(B4335/$H4335,"")</f>
        <v>1</v>
      </c>
      <c r="D4335" s="12" t="n">
        <f aca="false">COUNTIFS(Cleaned!$D$2:$D$125,11,Cleaned!GZ$2:GZ$125,2)</f>
        <v>0</v>
      </c>
      <c r="E4335" s="13" t="n">
        <f aca="false">IFERROR(D4335/$H4335,"")</f>
        <v>0</v>
      </c>
      <c r="F4335" s="12" t="n">
        <f aca="false">COUNTIFS(Cleaned!$D$2:$D$125,11,Cleaned!GZ$2:GZ$125,3)</f>
        <v>0</v>
      </c>
      <c r="G4335" s="13" t="n">
        <f aca="false">IFERROR(F4335/$H4335,"")</f>
        <v>0</v>
      </c>
      <c r="H4335" s="12" t="n">
        <f aca="false">B4335+D4335+F4335</f>
        <v>1</v>
      </c>
    </row>
    <row r="4336" customFormat="false" ht="15" hidden="false" customHeight="false" outlineLevel="0" collapsed="false">
      <c r="A4336" s="12" t="s">
        <v>715</v>
      </c>
      <c r="B4336" s="12" t="n">
        <f aca="false">COUNTIFS(Cleaned!$D$2:$D$125,12,Cleaned!GZ$2:GZ$125,1)</f>
        <v>0</v>
      </c>
      <c r="C4336" s="13" t="str">
        <f aca="false">IFERROR(B4336/$H4336,"")</f>
        <v/>
      </c>
      <c r="D4336" s="12" t="n">
        <f aca="false">COUNTIFS(Cleaned!$D$2:$D$125,12,Cleaned!GZ$2:GZ$125,2)</f>
        <v>0</v>
      </c>
      <c r="E4336" s="13" t="str">
        <f aca="false">IFERROR(D4336/$H4336,"")</f>
        <v/>
      </c>
      <c r="F4336" s="12" t="n">
        <f aca="false">COUNTIFS(Cleaned!$D$2:$D$125,12,Cleaned!GZ$2:GZ$125,3)</f>
        <v>0</v>
      </c>
      <c r="G4336" s="13" t="str">
        <f aca="false">IFERROR(F4336/$H4336,"")</f>
        <v/>
      </c>
      <c r="H4336" s="12" t="n">
        <f aca="false">B4336+D4336+F4336</f>
        <v>0</v>
      </c>
    </row>
    <row r="4337" customFormat="false" ht="15" hidden="false" customHeight="false" outlineLevel="0" collapsed="false">
      <c r="A4337" s="11" t="s">
        <v>716</v>
      </c>
      <c r="B4337" s="11" t="n">
        <f aca="false">SUM(B4325:B4336)</f>
        <v>7</v>
      </c>
      <c r="C4337" s="14" t="n">
        <f aca="false">IFERROR(B4337/$H4337,"")</f>
        <v>0.777777777777778</v>
      </c>
      <c r="D4337" s="11" t="n">
        <f aca="false">SUM(D4325:D4336)</f>
        <v>1</v>
      </c>
      <c r="E4337" s="14" t="n">
        <f aca="false">IFERROR(D4337/$H4337,"")</f>
        <v>0.111111111111111</v>
      </c>
      <c r="F4337" s="11" t="n">
        <f aca="false">SUM(F4325:F4336)</f>
        <v>1</v>
      </c>
      <c r="G4337" s="14" t="n">
        <f aca="false">IFERROR(F4337/$H4337,"")</f>
        <v>0.111111111111111</v>
      </c>
      <c r="H4337" s="11" t="n">
        <f aca="false">SUM(H4325:H4336)</f>
        <v>9</v>
      </c>
    </row>
    <row r="4340" customFormat="false" ht="15" hidden="false" customHeight="false" outlineLevel="0" collapsed="false">
      <c r="A4340" s="6" t="s">
        <v>197</v>
      </c>
      <c r="B4340" s="7" t="s">
        <v>970</v>
      </c>
    </row>
    <row r="4341" customFormat="false" ht="15" hidden="false" customHeight="false" outlineLevel="0" collapsed="false">
      <c r="A4341" s="11" t="s">
        <v>734</v>
      </c>
      <c r="B4341" s="9" t="s">
        <v>694</v>
      </c>
      <c r="C4341" s="9" t="s">
        <v>735</v>
      </c>
      <c r="D4341" s="9" t="s">
        <v>736</v>
      </c>
      <c r="E4341" s="9" t="s">
        <v>737</v>
      </c>
      <c r="F4341" s="9" t="s">
        <v>738</v>
      </c>
    </row>
    <row r="4342" customFormat="false" ht="15" hidden="false" customHeight="false" outlineLevel="0" collapsed="false">
      <c r="B4342" s="12" t="n">
        <f aca="false">COUNT(Cleaned!$HA$2:$HA$125)</f>
        <v>24</v>
      </c>
      <c r="C4342" s="12" t="n">
        <f aca="false">IFERROR(AVERAGE(Cleaned!$HA$2:$HA$125),"")</f>
        <v>25115.3825</v>
      </c>
      <c r="D4342" s="12" t="n">
        <f aca="false">IFERROR(MEDIAN(Cleaned!$HA$2:$HA$125),"")</f>
        <v>49</v>
      </c>
      <c r="E4342" s="12" t="n">
        <f aca="false">IFERROR(MIN(Cleaned!$HA$2:$HA$125),"")</f>
        <v>0.44</v>
      </c>
      <c r="F4342" s="12" t="n">
        <f aca="false">IFERROR(MAX(Cleaned!$HA$2:$HA$125),"")</f>
        <v>600000</v>
      </c>
    </row>
    <row r="4343" customFormat="false" ht="15" hidden="false" customHeight="false" outlineLevel="0" collapsed="false">
      <c r="A4343" s="11" t="s">
        <v>697</v>
      </c>
      <c r="B4343" s="9" t="s">
        <v>739</v>
      </c>
      <c r="C4343" s="9" t="s">
        <v>735</v>
      </c>
    </row>
    <row r="4344" customFormat="false" ht="15" hidden="false" customHeight="false" outlineLevel="0" collapsed="false">
      <c r="A4344" s="12" t="s">
        <v>698</v>
      </c>
      <c r="B4344" s="12" t="n">
        <f aca="false">COUNTIFS(Cleaned!$C$2:$C$125,1,Cleaned!HA$2:HA$125,"&lt;&gt;")</f>
        <v>2</v>
      </c>
      <c r="C4344" s="15" t="n">
        <f aca="false">IF(B4344=0,"",AVERAGEIF(Cleaned!$C$2:$C$125,1,Cleaned!HA$2:HA$125))</f>
        <v>2.22</v>
      </c>
    </row>
    <row r="4345" customFormat="false" ht="15" hidden="false" customHeight="false" outlineLevel="0" collapsed="false">
      <c r="A4345" s="12" t="s">
        <v>699</v>
      </c>
      <c r="B4345" s="12" t="n">
        <f aca="false">COUNTIFS(Cleaned!$C$2:$C$125,2,Cleaned!HA$2:HA$125,"&lt;&gt;")</f>
        <v>1</v>
      </c>
      <c r="C4345" s="15" t="n">
        <f aca="false">IF(B4345=0,"",AVERAGEIF(Cleaned!$C$2:$C$125,2,Cleaned!HA$2:HA$125))</f>
        <v>3</v>
      </c>
    </row>
    <row r="4346" customFormat="false" ht="15" hidden="false" customHeight="false" outlineLevel="0" collapsed="false">
      <c r="A4346" s="12" t="s">
        <v>700</v>
      </c>
      <c r="B4346" s="12" t="n">
        <f aca="false">COUNTIFS(Cleaned!$C$2:$C$125,3,Cleaned!HA$2:HA$125,"&lt;&gt;")</f>
        <v>0</v>
      </c>
      <c r="C4346" s="15" t="str">
        <f aca="false">IF(B4346=0,"",AVERAGEIF(Cleaned!$C$2:$C$125,3,Cleaned!HA$2:HA$125))</f>
        <v/>
      </c>
    </row>
    <row r="4347" customFormat="false" ht="15" hidden="false" customHeight="false" outlineLevel="0" collapsed="false">
      <c r="A4347" s="12" t="s">
        <v>701</v>
      </c>
      <c r="B4347" s="12" t="n">
        <f aca="false">COUNTIFS(Cleaned!$C$2:$C$125,4,Cleaned!HA$2:HA$125,"&lt;&gt;")</f>
        <v>6</v>
      </c>
      <c r="C4347" s="15" t="n">
        <f aca="false">IF(B4347=0,"",AVERAGEIF(Cleaned!$C$2:$C$125,4,Cleaned!HA$2:HA$125))</f>
        <v>25.7616666666667</v>
      </c>
    </row>
    <row r="4348" customFormat="false" ht="15" hidden="false" customHeight="false" outlineLevel="0" collapsed="false">
      <c r="A4348" s="12" t="s">
        <v>702</v>
      </c>
      <c r="B4348" s="12" t="n">
        <f aca="false">COUNTIFS(Cleaned!$C$2:$C$125,5,Cleaned!HA$2:HA$125,"&lt;&gt;")</f>
        <v>15</v>
      </c>
      <c r="C4348" s="15" t="n">
        <f aca="false">IF(B4348=0,"",AVERAGEIF(Cleaned!$C$2:$C$125,5,Cleaned!HA$2:HA$125))</f>
        <v>40173.8113333333</v>
      </c>
    </row>
    <row r="4349" customFormat="false" ht="15" hidden="false" customHeight="false" outlineLevel="0" collapsed="false">
      <c r="A4349" s="11" t="s">
        <v>3</v>
      </c>
      <c r="B4349" s="9" t="s">
        <v>739</v>
      </c>
      <c r="C4349" s="9" t="s">
        <v>735</v>
      </c>
    </row>
    <row r="4350" customFormat="false" ht="15" hidden="false" customHeight="false" outlineLevel="0" collapsed="false">
      <c r="A4350" s="12" t="s">
        <v>704</v>
      </c>
      <c r="B4350" s="12" t="n">
        <f aca="false">COUNTIFS(Cleaned!$D$2:$D$125,1,Cleaned!HA$2:HA$125,"&lt;&gt;")</f>
        <v>2</v>
      </c>
      <c r="C4350" s="15" t="n">
        <f aca="false">IF(B4350=0,"",AVERAGEIF(Cleaned!$D$2:$D$125,1,Cleaned!HA$2:HA$125))</f>
        <v>26</v>
      </c>
    </row>
    <row r="4351" customFormat="false" ht="15" hidden="false" customHeight="false" outlineLevel="0" collapsed="false">
      <c r="A4351" s="12" t="s">
        <v>705</v>
      </c>
      <c r="B4351" s="12" t="n">
        <f aca="false">COUNTIFS(Cleaned!$D$2:$D$125,2,Cleaned!HA$2:HA$125,"&lt;&gt;")</f>
        <v>9</v>
      </c>
      <c r="C4351" s="15" t="n">
        <f aca="false">IF(B4351=0,"",AVERAGEIF(Cleaned!$D$2:$D$125,2,Cleaned!HA$2:HA$125))</f>
        <v>66792.6966666667</v>
      </c>
    </row>
    <row r="4352" customFormat="false" ht="15" hidden="false" customHeight="false" outlineLevel="0" collapsed="false">
      <c r="A4352" s="12" t="s">
        <v>706</v>
      </c>
      <c r="B4352" s="12" t="n">
        <f aca="false">COUNTIFS(Cleaned!$D$2:$D$125,3,Cleaned!HA$2:HA$125,"&lt;&gt;")</f>
        <v>4</v>
      </c>
      <c r="C4352" s="15" t="n">
        <f aca="false">IF(B4352=0,"",AVERAGEIF(Cleaned!$D$2:$D$125,3,Cleaned!HA$2:HA$125))</f>
        <v>287.075</v>
      </c>
    </row>
    <row r="4353" customFormat="false" ht="15" hidden="false" customHeight="false" outlineLevel="0" collapsed="false">
      <c r="A4353" s="12" t="s">
        <v>707</v>
      </c>
      <c r="B4353" s="12" t="n">
        <f aca="false">COUNTIFS(Cleaned!$D$2:$D$125,4,Cleaned!HA$2:HA$125,"&lt;&gt;")</f>
        <v>3</v>
      </c>
      <c r="C4353" s="15" t="n">
        <f aca="false">IF(B4353=0,"",AVERAGEIF(Cleaned!$D$2:$D$125,4,Cleaned!HA$2:HA$125))</f>
        <v>13.12</v>
      </c>
    </row>
    <row r="4354" customFormat="false" ht="15" hidden="false" customHeight="false" outlineLevel="0" collapsed="false">
      <c r="A4354" s="12" t="s">
        <v>708</v>
      </c>
      <c r="B4354" s="12" t="n">
        <f aca="false">COUNTIFS(Cleaned!$D$2:$D$125,5,Cleaned!HA$2:HA$125,"&lt;&gt;")</f>
        <v>1</v>
      </c>
      <c r="C4354" s="15" t="n">
        <f aca="false">IF(B4354=0,"",AVERAGEIF(Cleaned!$D$2:$D$125,5,Cleaned!HA$2:HA$125))</f>
        <v>34.73</v>
      </c>
    </row>
    <row r="4355" customFormat="false" ht="15" hidden="false" customHeight="false" outlineLevel="0" collapsed="false">
      <c r="A4355" s="12" t="s">
        <v>709</v>
      </c>
      <c r="B4355" s="12" t="n">
        <f aca="false">COUNTIFS(Cleaned!$D$2:$D$125,6,Cleaned!HA$2:HA$125,"&lt;&gt;")</f>
        <v>1</v>
      </c>
      <c r="C4355" s="15" t="n">
        <f aca="false">IF(B4355=0,"",AVERAGEIF(Cleaned!$D$2:$D$125,6,Cleaned!HA$2:HA$125))</f>
        <v>4.48</v>
      </c>
    </row>
    <row r="4356" customFormat="false" ht="15" hidden="false" customHeight="false" outlineLevel="0" collapsed="false">
      <c r="A4356" s="12" t="s">
        <v>710</v>
      </c>
      <c r="B4356" s="12" t="n">
        <f aca="false">COUNTIFS(Cleaned!$D$2:$D$125,7,Cleaned!HA$2:HA$125,"&lt;&gt;")</f>
        <v>2</v>
      </c>
      <c r="C4356" s="15" t="n">
        <f aca="false">IF(B4356=0,"",AVERAGEIF(Cleaned!$D$2:$D$125,7,Cleaned!HA$2:HA$125))</f>
        <v>152.8</v>
      </c>
    </row>
    <row r="4357" customFormat="false" ht="15" hidden="false" customHeight="false" outlineLevel="0" collapsed="false">
      <c r="A4357" s="12" t="s">
        <v>711</v>
      </c>
      <c r="B4357" s="12" t="n">
        <f aca="false">COUNTIFS(Cleaned!$D$2:$D$125,8,Cleaned!HA$2:HA$125,"&lt;&gt;")</f>
        <v>1</v>
      </c>
      <c r="C4357" s="15" t="n">
        <f aca="false">IF(B4357=0,"",AVERAGEIF(Cleaned!$D$2:$D$125,8,Cleaned!HA$2:HA$125))</f>
        <v>50</v>
      </c>
    </row>
    <row r="4358" customFormat="false" ht="15" hidden="false" customHeight="false" outlineLevel="0" collapsed="false">
      <c r="A4358" s="12" t="s">
        <v>712</v>
      </c>
      <c r="B4358" s="12" t="n">
        <f aca="false">COUNTIFS(Cleaned!$D$2:$D$125,9,Cleaned!HA$2:HA$125,"&lt;&gt;")</f>
        <v>0</v>
      </c>
      <c r="C4358" s="15" t="str">
        <f aca="false">IF(B4358=0,"",AVERAGEIF(Cleaned!$D$2:$D$125,9,Cleaned!HA$2:HA$125))</f>
        <v/>
      </c>
    </row>
    <row r="4359" customFormat="false" ht="15" hidden="false" customHeight="false" outlineLevel="0" collapsed="false">
      <c r="A4359" s="12" t="s">
        <v>713</v>
      </c>
      <c r="B4359" s="12" t="n">
        <f aca="false">COUNTIFS(Cleaned!$D$2:$D$125,10,Cleaned!HA$2:HA$125,"&lt;&gt;")</f>
        <v>0</v>
      </c>
      <c r="C4359" s="15" t="str">
        <f aca="false">IF(B4359=0,"",AVERAGEIF(Cleaned!$D$2:$D$125,10,Cleaned!HA$2:HA$125))</f>
        <v/>
      </c>
    </row>
    <row r="4360" customFormat="false" ht="15" hidden="false" customHeight="false" outlineLevel="0" collapsed="false">
      <c r="A4360" s="12" t="s">
        <v>714</v>
      </c>
      <c r="B4360" s="12" t="n">
        <f aca="false">COUNTIFS(Cleaned!$D$2:$D$125,11,Cleaned!HA$2:HA$125,"&lt;&gt;")</f>
        <v>0</v>
      </c>
      <c r="C4360" s="15" t="str">
        <f aca="false">IF(B4360=0,"",AVERAGEIF(Cleaned!$D$2:$D$125,11,Cleaned!HA$2:HA$125))</f>
        <v/>
      </c>
    </row>
    <row r="4361" customFormat="false" ht="15" hidden="false" customHeight="false" outlineLevel="0" collapsed="false">
      <c r="A4361" s="12" t="s">
        <v>715</v>
      </c>
      <c r="B4361" s="12" t="n">
        <f aca="false">COUNTIFS(Cleaned!$D$2:$D$125,12,Cleaned!HA$2:HA$125,"&lt;&gt;")</f>
        <v>1</v>
      </c>
      <c r="C4361" s="15" t="n">
        <f aca="false">IF(B4361=0,"",AVERAGEIF(Cleaned!$D$2:$D$125,12,Cleaned!HA$2:HA$125))</f>
        <v>0.44</v>
      </c>
    </row>
    <row r="4364" customFormat="false" ht="15" hidden="false" customHeight="false" outlineLevel="0" collapsed="false">
      <c r="A4364" s="6" t="s">
        <v>199</v>
      </c>
      <c r="B4364" s="7" t="s">
        <v>971</v>
      </c>
    </row>
    <row r="4365" customFormat="false" ht="15" hidden="false" customHeight="false" outlineLevel="0" collapsed="false">
      <c r="A4365" s="11" t="s">
        <v>734</v>
      </c>
      <c r="B4365" s="9" t="s">
        <v>694</v>
      </c>
      <c r="C4365" s="9" t="s">
        <v>735</v>
      </c>
      <c r="D4365" s="9" t="s">
        <v>736</v>
      </c>
      <c r="E4365" s="9" t="s">
        <v>737</v>
      </c>
      <c r="F4365" s="9" t="s">
        <v>738</v>
      </c>
    </row>
    <row r="4366" customFormat="false" ht="15" hidden="false" customHeight="false" outlineLevel="0" collapsed="false">
      <c r="B4366" s="12" t="n">
        <f aca="false">COUNT(Cleaned!$HC$2:$HC$125)</f>
        <v>20</v>
      </c>
      <c r="C4366" s="12" t="n">
        <f aca="false">IFERROR(AVERAGE(Cleaned!$HC$2:$HC$125),"")</f>
        <v>3025.2</v>
      </c>
      <c r="D4366" s="12" t="n">
        <f aca="false">IFERROR(MEDIAN(Cleaned!$HC$2:$HC$125),"")</f>
        <v>2832</v>
      </c>
      <c r="E4366" s="12" t="n">
        <f aca="false">IFERROR(MIN(Cleaned!$HC$2:$HC$125),"")</f>
        <v>1900</v>
      </c>
      <c r="F4366" s="12" t="n">
        <f aca="false">IFERROR(MAX(Cleaned!$HC$2:$HC$125),"")</f>
        <v>6500</v>
      </c>
    </row>
    <row r="4367" customFormat="false" ht="15" hidden="false" customHeight="false" outlineLevel="0" collapsed="false">
      <c r="A4367" s="11" t="s">
        <v>697</v>
      </c>
      <c r="B4367" s="9" t="s">
        <v>739</v>
      </c>
      <c r="C4367" s="9" t="s">
        <v>735</v>
      </c>
    </row>
    <row r="4368" customFormat="false" ht="15" hidden="false" customHeight="false" outlineLevel="0" collapsed="false">
      <c r="A4368" s="12" t="s">
        <v>698</v>
      </c>
      <c r="B4368" s="12" t="n">
        <f aca="false">COUNTIFS(Cleaned!$C$2:$C$125,1,Cleaned!HC$2:HC$125,"&lt;&gt;")</f>
        <v>1</v>
      </c>
      <c r="C4368" s="15" t="n">
        <f aca="false">IF(B4368=0,"",AVERAGEIF(Cleaned!$C$2:$C$125,1,Cleaned!HC$2:HC$125))</f>
        <v>1900</v>
      </c>
    </row>
    <row r="4369" customFormat="false" ht="15" hidden="false" customHeight="false" outlineLevel="0" collapsed="false">
      <c r="A4369" s="12" t="s">
        <v>699</v>
      </c>
      <c r="B4369" s="12" t="n">
        <f aca="false">COUNTIFS(Cleaned!$C$2:$C$125,2,Cleaned!HC$2:HC$125,"&lt;&gt;")</f>
        <v>0</v>
      </c>
      <c r="C4369" s="15" t="str">
        <f aca="false">IF(B4369=0,"",AVERAGEIF(Cleaned!$C$2:$C$125,2,Cleaned!HC$2:HC$125))</f>
        <v/>
      </c>
    </row>
    <row r="4370" customFormat="false" ht="15" hidden="false" customHeight="false" outlineLevel="0" collapsed="false">
      <c r="A4370" s="12" t="s">
        <v>700</v>
      </c>
      <c r="B4370" s="12" t="n">
        <f aca="false">COUNTIFS(Cleaned!$C$2:$C$125,3,Cleaned!HC$2:HC$125,"&lt;&gt;")</f>
        <v>1</v>
      </c>
      <c r="C4370" s="15" t="n">
        <f aca="false">IF(B4370=0,"",AVERAGEIF(Cleaned!$C$2:$C$125,3,Cleaned!HC$2:HC$125))</f>
        <v>4200</v>
      </c>
    </row>
    <row r="4371" customFormat="false" ht="15" hidden="false" customHeight="false" outlineLevel="0" collapsed="false">
      <c r="A4371" s="12" t="s">
        <v>701</v>
      </c>
      <c r="B4371" s="12" t="n">
        <f aca="false">COUNTIFS(Cleaned!$C$2:$C$125,4,Cleaned!HC$2:HC$125,"&lt;&gt;")</f>
        <v>5</v>
      </c>
      <c r="C4371" s="15" t="n">
        <f aca="false">IF(B4371=0,"",AVERAGEIF(Cleaned!$C$2:$C$125,4,Cleaned!HC$2:HC$125))</f>
        <v>3538</v>
      </c>
    </row>
    <row r="4372" customFormat="false" ht="15" hidden="false" customHeight="false" outlineLevel="0" collapsed="false">
      <c r="A4372" s="12" t="s">
        <v>702</v>
      </c>
      <c r="B4372" s="12" t="n">
        <f aca="false">COUNTIFS(Cleaned!$C$2:$C$125,5,Cleaned!HC$2:HC$125,"&lt;&gt;")</f>
        <v>13</v>
      </c>
      <c r="C4372" s="15" t="n">
        <f aca="false">IF(B4372=0,"",AVERAGEIF(Cleaned!$C$2:$C$125,5,Cleaned!HC$2:HC$125))</f>
        <v>2824.15384615385</v>
      </c>
    </row>
    <row r="4373" customFormat="false" ht="15" hidden="false" customHeight="false" outlineLevel="0" collapsed="false">
      <c r="A4373" s="11" t="s">
        <v>3</v>
      </c>
      <c r="B4373" s="9" t="s">
        <v>739</v>
      </c>
      <c r="C4373" s="9" t="s">
        <v>735</v>
      </c>
    </row>
    <row r="4374" customFormat="false" ht="15" hidden="false" customHeight="false" outlineLevel="0" collapsed="false">
      <c r="A4374" s="12" t="s">
        <v>704</v>
      </c>
      <c r="B4374" s="12" t="n">
        <f aca="false">COUNTIFS(Cleaned!$D$2:$D$125,1,Cleaned!HC$2:HC$125,"&lt;&gt;")</f>
        <v>0</v>
      </c>
      <c r="C4374" s="15" t="str">
        <f aca="false">IF(B4374=0,"",AVERAGEIF(Cleaned!$D$2:$D$125,1,Cleaned!HC$2:HC$125))</f>
        <v/>
      </c>
    </row>
    <row r="4375" customFormat="false" ht="15" hidden="false" customHeight="false" outlineLevel="0" collapsed="false">
      <c r="A4375" s="12" t="s">
        <v>705</v>
      </c>
      <c r="B4375" s="12" t="n">
        <f aca="false">COUNTIFS(Cleaned!$D$2:$D$125,2,Cleaned!HC$2:HC$125,"&lt;&gt;")</f>
        <v>9</v>
      </c>
      <c r="C4375" s="15" t="n">
        <f aca="false">IF(B4375=0,"",AVERAGEIF(Cleaned!$D$2:$D$125,2,Cleaned!HC$2:HC$125))</f>
        <v>2668.22222222222</v>
      </c>
    </row>
    <row r="4376" customFormat="false" ht="15" hidden="false" customHeight="false" outlineLevel="0" collapsed="false">
      <c r="A4376" s="12" t="s">
        <v>706</v>
      </c>
      <c r="B4376" s="12" t="n">
        <f aca="false">COUNTIFS(Cleaned!$D$2:$D$125,3,Cleaned!HC$2:HC$125,"&lt;&gt;")</f>
        <v>3</v>
      </c>
      <c r="C4376" s="15" t="n">
        <f aca="false">IF(B4376=0,"",AVERAGEIF(Cleaned!$D$2:$D$125,3,Cleaned!HC$2:HC$125))</f>
        <v>2833.33333333333</v>
      </c>
    </row>
    <row r="4377" customFormat="false" ht="15" hidden="false" customHeight="false" outlineLevel="0" collapsed="false">
      <c r="A4377" s="12" t="s">
        <v>707</v>
      </c>
      <c r="B4377" s="12" t="n">
        <f aca="false">COUNTIFS(Cleaned!$D$2:$D$125,4,Cleaned!HC$2:HC$125,"&lt;&gt;")</f>
        <v>2</v>
      </c>
      <c r="C4377" s="15" t="n">
        <f aca="false">IF(B4377=0,"",AVERAGEIF(Cleaned!$D$2:$D$125,4,Cleaned!HC$2:HC$125))</f>
        <v>3700</v>
      </c>
    </row>
    <row r="4378" customFormat="false" ht="15" hidden="false" customHeight="false" outlineLevel="0" collapsed="false">
      <c r="A4378" s="12" t="s">
        <v>708</v>
      </c>
      <c r="B4378" s="12" t="n">
        <f aca="false">COUNTIFS(Cleaned!$D$2:$D$125,5,Cleaned!HC$2:HC$125,"&lt;&gt;")</f>
        <v>1</v>
      </c>
      <c r="C4378" s="15" t="n">
        <f aca="false">IF(B4378=0,"",AVERAGEIF(Cleaned!$D$2:$D$125,5,Cleaned!HC$2:HC$125))</f>
        <v>6500</v>
      </c>
    </row>
    <row r="4379" customFormat="false" ht="15" hidden="false" customHeight="false" outlineLevel="0" collapsed="false">
      <c r="A4379" s="12" t="s">
        <v>709</v>
      </c>
      <c r="B4379" s="12" t="n">
        <f aca="false">COUNTIFS(Cleaned!$D$2:$D$125,6,Cleaned!HC$2:HC$125,"&lt;&gt;")</f>
        <v>1</v>
      </c>
      <c r="C4379" s="15" t="n">
        <f aca="false">IF(B4379=0,"",AVERAGEIF(Cleaned!$D$2:$D$125,6,Cleaned!HC$2:HC$125))</f>
        <v>3000</v>
      </c>
    </row>
    <row r="4380" customFormat="false" ht="15" hidden="false" customHeight="false" outlineLevel="0" collapsed="false">
      <c r="A4380" s="12" t="s">
        <v>710</v>
      </c>
      <c r="B4380" s="12" t="n">
        <f aca="false">COUNTIFS(Cleaned!$D$2:$D$125,7,Cleaned!HC$2:HC$125,"&lt;&gt;")</f>
        <v>2</v>
      </c>
      <c r="C4380" s="15" t="n">
        <f aca="false">IF(B4380=0,"",AVERAGEIF(Cleaned!$D$2:$D$125,7,Cleaned!HC$2:HC$125))</f>
        <v>3350</v>
      </c>
    </row>
    <row r="4381" customFormat="false" ht="15" hidden="false" customHeight="false" outlineLevel="0" collapsed="false">
      <c r="A4381" s="12" t="s">
        <v>711</v>
      </c>
      <c r="B4381" s="12" t="n">
        <f aca="false">COUNTIFS(Cleaned!$D$2:$D$125,8,Cleaned!HC$2:HC$125,"&lt;&gt;")</f>
        <v>1</v>
      </c>
      <c r="C4381" s="15" t="n">
        <f aca="false">IF(B4381=0,"",AVERAGEIF(Cleaned!$D$2:$D$125,8,Cleaned!HC$2:HC$125))</f>
        <v>2490</v>
      </c>
    </row>
    <row r="4382" customFormat="false" ht="15" hidden="false" customHeight="false" outlineLevel="0" collapsed="false">
      <c r="A4382" s="12" t="s">
        <v>712</v>
      </c>
      <c r="B4382" s="12" t="n">
        <f aca="false">COUNTIFS(Cleaned!$D$2:$D$125,9,Cleaned!HC$2:HC$125,"&lt;&gt;")</f>
        <v>0</v>
      </c>
      <c r="C4382" s="15" t="str">
        <f aca="false">IF(B4382=0,"",AVERAGEIF(Cleaned!$D$2:$D$125,9,Cleaned!HC$2:HC$125))</f>
        <v/>
      </c>
    </row>
    <row r="4383" customFormat="false" ht="15" hidden="false" customHeight="false" outlineLevel="0" collapsed="false">
      <c r="A4383" s="12" t="s">
        <v>713</v>
      </c>
      <c r="B4383" s="12" t="n">
        <f aca="false">COUNTIFS(Cleaned!$D$2:$D$125,10,Cleaned!HC$2:HC$125,"&lt;&gt;")</f>
        <v>0</v>
      </c>
      <c r="C4383" s="15" t="str">
        <f aca="false">IF(B4383=0,"",AVERAGEIF(Cleaned!$D$2:$D$125,10,Cleaned!HC$2:HC$125))</f>
        <v/>
      </c>
    </row>
    <row r="4384" customFormat="false" ht="15" hidden="false" customHeight="false" outlineLevel="0" collapsed="false">
      <c r="A4384" s="12" t="s">
        <v>714</v>
      </c>
      <c r="B4384" s="12" t="n">
        <f aca="false">COUNTIFS(Cleaned!$D$2:$D$125,11,Cleaned!HC$2:HC$125,"&lt;&gt;")</f>
        <v>0</v>
      </c>
      <c r="C4384" s="15" t="str">
        <f aca="false">IF(B4384=0,"",AVERAGEIF(Cleaned!$D$2:$D$125,11,Cleaned!HC$2:HC$125))</f>
        <v/>
      </c>
    </row>
    <row r="4385" customFormat="false" ht="15" hidden="false" customHeight="false" outlineLevel="0" collapsed="false">
      <c r="A4385" s="12" t="s">
        <v>715</v>
      </c>
      <c r="B4385" s="12" t="n">
        <f aca="false">COUNTIFS(Cleaned!$D$2:$D$125,12,Cleaned!HC$2:HC$125,"&lt;&gt;")</f>
        <v>1</v>
      </c>
      <c r="C4385" s="15" t="n">
        <f aca="false">IF(B4385=0,"",AVERAGEIF(Cleaned!$D$2:$D$125,12,Cleaned!HC$2:HC$125))</f>
        <v>1900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4"/>
    <col collapsed="false" customWidth="true" hidden="false" outlineLevel="0" max="4" min="4" style="0" width="10"/>
  </cols>
  <sheetData>
    <row r="1" customFormat="false" ht="17.35" hidden="false" customHeight="false" outlineLevel="0" collapsed="false">
      <c r="A1" s="4" t="s">
        <v>972</v>
      </c>
    </row>
    <row r="2" customFormat="false" ht="15" hidden="false" customHeight="false" outlineLevel="0" collapsed="false">
      <c r="A2" s="5" t="s">
        <v>973</v>
      </c>
    </row>
    <row r="4" customFormat="false" ht="15" hidden="false" customHeight="false" outlineLevel="0" collapsed="false">
      <c r="A4" s="16" t="s">
        <v>974</v>
      </c>
      <c r="B4" s="16" t="s">
        <v>975</v>
      </c>
      <c r="C4" s="16" t="s">
        <v>976</v>
      </c>
      <c r="D4" s="16" t="s">
        <v>977</v>
      </c>
    </row>
    <row r="5" customFormat="false" ht="15" hidden="false" customHeight="false" outlineLevel="0" collapsed="false">
      <c r="A5" s="2" t="s">
        <v>978</v>
      </c>
      <c r="B5" s="2" t="n">
        <v>84</v>
      </c>
      <c r="C5" s="2" t="n">
        <f aca="false">COUNTA(Cleaned!$A$2:$A$125)</f>
        <v>84</v>
      </c>
      <c r="D5" s="2" t="str">
        <f aca="false">IF(B5=C5,"OK","FAIL")</f>
        <v>OK</v>
      </c>
    </row>
    <row r="6" customFormat="false" ht="15" hidden="false" customHeight="false" outlineLevel="0" collapsed="false">
      <c r="A6" s="2" t="s">
        <v>979</v>
      </c>
      <c r="B6" s="2" t="n">
        <v>84</v>
      </c>
      <c r="C6" s="2" t="n">
        <f aca="false">COUNTIFS(Cleaned!$C$2:$C$125,"&gt;=1",Cleaned!$C$2:$C$125,"&lt;=5")</f>
        <v>84</v>
      </c>
      <c r="D6" s="2" t="str">
        <f aca="false">IF(B6=C6,"OK","FAIL")</f>
        <v>OK</v>
      </c>
    </row>
    <row r="7" customFormat="false" ht="15" hidden="false" customHeight="false" outlineLevel="0" collapsed="false">
      <c r="A7" s="2" t="s">
        <v>980</v>
      </c>
      <c r="B7" s="2" t="n">
        <v>84</v>
      </c>
      <c r="C7" s="2" t="n">
        <f aca="false">COUNTIFS(Cleaned!$D$2:$D$125,"&gt;=1",Cleaned!$D$2:$D$125,"&lt;=12")</f>
        <v>84</v>
      </c>
      <c r="D7" s="2" t="str">
        <f aca="false">IF(B7=C7,"OK","FAIL")</f>
        <v>OK</v>
      </c>
    </row>
    <row r="8" customFormat="false" ht="15" hidden="false" customHeight="false" outlineLevel="0" collapsed="false">
      <c r="A8" s="2" t="s">
        <v>981</v>
      </c>
      <c r="B8" s="2" t="n">
        <v>84</v>
      </c>
      <c r="C8" s="2" t="n">
        <f aca="false">COUNTIF(Cleaned!$C$2:$C$125,1)+COUNTIF(Cleaned!$C$2:$C$125,2)+COUNTIF(Cleaned!$C$2:$C$125,3)+COUNTIF(Cleaned!$C$2:$C$125,4)+COUNTIF(Cleaned!$C$2:$C$125,5)</f>
        <v>84</v>
      </c>
      <c r="D8" s="2" t="str">
        <f aca="false">IF(B8=C8,"OK","FAIL")</f>
        <v>OK</v>
      </c>
    </row>
    <row r="9" customFormat="false" ht="15" hidden="false" customHeight="false" outlineLevel="0" collapsed="false">
      <c r="A9" s="2" t="s">
        <v>982</v>
      </c>
      <c r="B9" s="2" t="n">
        <v>84</v>
      </c>
      <c r="C9" s="2" t="n">
        <f aca="false">COUNTIF(Cleaned!$D$2:$D$125,1)+COUNTIF(Cleaned!$D$2:$D$125,2)+COUNTIF(Cleaned!$D$2:$D$125,3)+COUNTIF(Cleaned!$D$2:$D$125,4)+COUNTIF(Cleaned!$D$2:$D$125,5)+COUNTIF(Cleaned!$D$2:$D$125,6)+COUNTIF(Cleaned!$D$2:$D$125,7)+COUNTIF(Cleaned!$D$2:$D$125,8)+COUNTIF(Cleaned!$D$2:$D$125,9)+COUNTIF(Cleaned!$D$2:$D$125,10)+COUNTIF(Cleaned!$D$2:$D$125,11)+COUNTIF(Cleaned!$D$2:$D$125,12)</f>
        <v>84</v>
      </c>
      <c r="D9" s="2" t="str">
        <f aca="false">IF(B9=C9,"OK","FAIL")</f>
        <v>OK</v>
      </c>
    </row>
    <row r="10" customFormat="false" ht="15" hidden="false" customHeight="false" outlineLevel="0" collapsed="false">
      <c r="A10" s="2" t="s">
        <v>983</v>
      </c>
      <c r="B10" s="2" t="n">
        <v>0</v>
      </c>
      <c r="C10" s="2" t="n">
        <f aca="false">COUNTBLANK(Cleaned!$B$2:$B$85)</f>
        <v>0</v>
      </c>
      <c r="D10" s="2" t="str">
        <f aca="false">IF(B10=C10,"OK","FAIL")</f>
        <v>OK</v>
      </c>
    </row>
    <row r="11" customFormat="false" ht="15" hidden="false" customHeight="false" outlineLevel="0" collapsed="false">
      <c r="A11" s="2" t="s">
        <v>984</v>
      </c>
      <c r="B11" s="2" t="n">
        <f aca="false">COUNTIFS(Cleaned!$C$2:$C$125,1,Cleaned!$E$2:$E$125,1)+COUNTIFS(Cleaned!$C$2:$C$125,1,Cleaned!$E$2:$E$125,2)+COUNTIFS(Cleaned!$C$2:$C$125,1,Cleaned!$E$2:$E$125,3)+COUNTIFS(Cleaned!$C$2:$C$125,1,Cleaned!$E$2:$E$125,4)+COUNTIFS(Cleaned!$C$2:$C$125,2,Cleaned!$E$2:$E$125,1)+COUNTIFS(Cleaned!$C$2:$C$125,2,Cleaned!$E$2:$E$125,2)+COUNTIFS(Cleaned!$C$2:$C$125,2,Cleaned!$E$2:$E$125,3)+COUNTIFS(Cleaned!$C$2:$C$125,2,Cleaned!$E$2:$E$125,4)+COUNTIFS(Cleaned!$C$2:$C$125,3,Cleaned!$E$2:$E$125,1)+COUNTIFS(Cleaned!$C$2:$C$125,3,Cleaned!$E$2:$E$125,2)+COUNTIFS(Cleaned!$C$2:$C$125,3,Cleaned!$E$2:$E$125,3)+COUNTIFS(Cleaned!$C$2:$C$125,3,Cleaned!$E$2:$E$125,4)+COUNTIFS(Cleaned!$C$2:$C$125,4,Cleaned!$E$2:$E$125,1)+COUNTIFS(Cleaned!$C$2:$C$125,4,Cleaned!$E$2:$E$125,2)+COUNTIFS(Cleaned!$C$2:$C$125,4,Cleaned!$E$2:$E$125,3)+COUNTIFS(Cleaned!$C$2:$C$125,4,Cleaned!$E$2:$E$125,4)+COUNTIFS(Cleaned!$C$2:$C$125,5,Cleaned!$E$2:$E$125,1)+COUNTIFS(Cleaned!$C$2:$C$125,5,Cleaned!$E$2:$E$125,2)+COUNTIFS(Cleaned!$C$2:$C$125,5,Cleaned!$E$2:$E$125,3)+COUNTIFS(Cleaned!$C$2:$C$125,5,Cleaned!$E$2:$E$125,4)</f>
        <v>79</v>
      </c>
      <c r="C11" s="2" t="n">
        <f aca="false">COUNTIFS(Cleaned!$D$2:$D$125,1,Cleaned!$E$2:$E$125,1)+COUNTIFS(Cleaned!$D$2:$D$125,1,Cleaned!$E$2:$E$125,2)+COUNTIFS(Cleaned!$D$2:$D$125,1,Cleaned!$E$2:$E$125,3)+COUNTIFS(Cleaned!$D$2:$D$125,1,Cleaned!$E$2:$E$125,4)+COUNTIFS(Cleaned!$D$2:$D$125,2,Cleaned!$E$2:$E$125,1)+COUNTIFS(Cleaned!$D$2:$D$125,2,Cleaned!$E$2:$E$125,2)+COUNTIFS(Cleaned!$D$2:$D$125,2,Cleaned!$E$2:$E$125,3)+COUNTIFS(Cleaned!$D$2:$D$125,2,Cleaned!$E$2:$E$125,4)+COUNTIFS(Cleaned!$D$2:$D$125,3,Cleaned!$E$2:$E$125,1)+COUNTIFS(Cleaned!$D$2:$D$125,3,Cleaned!$E$2:$E$125,2)+COUNTIFS(Cleaned!$D$2:$D$125,3,Cleaned!$E$2:$E$125,3)+COUNTIFS(Cleaned!$D$2:$D$125,3,Cleaned!$E$2:$E$125,4)+COUNTIFS(Cleaned!$D$2:$D$125,4,Cleaned!$E$2:$E$125,1)+COUNTIFS(Cleaned!$D$2:$D$125,4,Cleaned!$E$2:$E$125,2)+COUNTIFS(Cleaned!$D$2:$D$125,4,Cleaned!$E$2:$E$125,3)+COUNTIFS(Cleaned!$D$2:$D$125,4,Cleaned!$E$2:$E$125,4)+COUNTIFS(Cleaned!$D$2:$D$125,5,Cleaned!$E$2:$E$125,1)+COUNTIFS(Cleaned!$D$2:$D$125,5,Cleaned!$E$2:$E$125,2)+COUNTIFS(Cleaned!$D$2:$D$125,5,Cleaned!$E$2:$E$125,3)+COUNTIFS(Cleaned!$D$2:$D$125,5,Cleaned!$E$2:$E$125,4)+COUNTIFS(Cleaned!$D$2:$D$125,6,Cleaned!$E$2:$E$125,1)+COUNTIFS(Cleaned!$D$2:$D$125,6,Cleaned!$E$2:$E$125,2)+COUNTIFS(Cleaned!$D$2:$D$125,6,Cleaned!$E$2:$E$125,3)+COUNTIFS(Cleaned!$D$2:$D$125,6,Cleaned!$E$2:$E$125,4)+COUNTIFS(Cleaned!$D$2:$D$125,7,Cleaned!$E$2:$E$125,1)+COUNTIFS(Cleaned!$D$2:$D$125,7,Cleaned!$E$2:$E$125,2)+COUNTIFS(Cleaned!$D$2:$D$125,7,Cleaned!$E$2:$E$125,3)+COUNTIFS(Cleaned!$D$2:$D$125,7,Cleaned!$E$2:$E$125,4)+COUNTIFS(Cleaned!$D$2:$D$125,8,Cleaned!$E$2:$E$125,1)+COUNTIFS(Cleaned!$D$2:$D$125,8,Cleaned!$E$2:$E$125,2)+COUNTIFS(Cleaned!$D$2:$D$125,8,Cleaned!$E$2:$E$125,3)+COUNTIFS(Cleaned!$D$2:$D$125,8,Cleaned!$E$2:$E$125,4)+COUNTIFS(Cleaned!$D$2:$D$125,9,Cleaned!$E$2:$E$125,1)+COUNTIFS(Cleaned!$D$2:$D$125,9,Cleaned!$E$2:$E$125,2)+COUNTIFS(Cleaned!$D$2:$D$125,9,Cleaned!$E$2:$E$125,3)+COUNTIFS(Cleaned!$D$2:$D$125,9,Cleaned!$E$2:$E$125,4)+COUNTIFS(Cleaned!$D$2:$D$125,10,Cleaned!$E$2:$E$125,1)+COUNTIFS(Cleaned!$D$2:$D$125,10,Cleaned!$E$2:$E$125,2)+COUNTIFS(Cleaned!$D$2:$D$125,10,Cleaned!$E$2:$E$125,3)+COUNTIFS(Cleaned!$D$2:$D$125,10,Cleaned!$E$2:$E$125,4)+COUNTIFS(Cleaned!$D$2:$D$125,11,Cleaned!$E$2:$E$125,1)+COUNTIFS(Cleaned!$D$2:$D$125,11,Cleaned!$E$2:$E$125,2)+COUNTIFS(Cleaned!$D$2:$D$125,11,Cleaned!$E$2:$E$125,3)+COUNTIFS(Cleaned!$D$2:$D$125,11,Cleaned!$E$2:$E$125,4)+COUNTIFS(Cleaned!$D$2:$D$125,12,Cleaned!$E$2:$E$125,1)+COUNTIFS(Cleaned!$D$2:$D$125,12,Cleaned!$E$2:$E$125,2)+COUNTIFS(Cleaned!$D$2:$D$125,12,Cleaned!$E$2:$E$125,3)+COUNTIFS(Cleaned!$D$2:$D$125,12,Cleaned!$E$2:$E$125,4)</f>
        <v>79</v>
      </c>
      <c r="D11" s="2" t="str">
        <f aca="false">IF(B11=C11,"OK","FAIL")</f>
        <v>OK</v>
      </c>
    </row>
    <row r="12" customFormat="false" ht="15" hidden="false" customHeight="false" outlineLevel="0" collapsed="false">
      <c r="A12" s="2" t="s">
        <v>985</v>
      </c>
      <c r="B12" s="2" t="n">
        <f aca="false">COUNTIFS(Cleaned!$C$2:$C$125,1,Cleaned!$G$2:$G$125,0)+COUNTIFS(Cleaned!$C$2:$C$125,1,Cleaned!$G$2:$G$125,1)+COUNTIFS(Cleaned!$C$2:$C$125,2,Cleaned!$G$2:$G$125,0)+COUNTIFS(Cleaned!$C$2:$C$125,2,Cleaned!$G$2:$G$125,1)+COUNTIFS(Cleaned!$C$2:$C$125,3,Cleaned!$G$2:$G$125,0)+COUNTIFS(Cleaned!$C$2:$C$125,3,Cleaned!$G$2:$G$125,1)+COUNTIFS(Cleaned!$C$2:$C$125,4,Cleaned!$G$2:$G$125,0)+COUNTIFS(Cleaned!$C$2:$C$125,4,Cleaned!$G$2:$G$125,1)+COUNTIFS(Cleaned!$C$2:$C$125,5,Cleaned!$G$2:$G$125,0)+COUNTIFS(Cleaned!$C$2:$C$125,5,Cleaned!$G$2:$G$125,1)</f>
        <v>78</v>
      </c>
      <c r="C12" s="2" t="n">
        <f aca="false">COUNTIFS(Cleaned!$D$2:$D$125,1,Cleaned!$G$2:$G$125,0)+COUNTIFS(Cleaned!$D$2:$D$125,1,Cleaned!$G$2:$G$125,1)+COUNTIFS(Cleaned!$D$2:$D$125,2,Cleaned!$G$2:$G$125,0)+COUNTIFS(Cleaned!$D$2:$D$125,2,Cleaned!$G$2:$G$125,1)+COUNTIFS(Cleaned!$D$2:$D$125,3,Cleaned!$G$2:$G$125,0)+COUNTIFS(Cleaned!$D$2:$D$125,3,Cleaned!$G$2:$G$125,1)+COUNTIFS(Cleaned!$D$2:$D$125,4,Cleaned!$G$2:$G$125,0)+COUNTIFS(Cleaned!$D$2:$D$125,4,Cleaned!$G$2:$G$125,1)+COUNTIFS(Cleaned!$D$2:$D$125,5,Cleaned!$G$2:$G$125,0)+COUNTIFS(Cleaned!$D$2:$D$125,5,Cleaned!$G$2:$G$125,1)+COUNTIFS(Cleaned!$D$2:$D$125,6,Cleaned!$G$2:$G$125,0)+COUNTIFS(Cleaned!$D$2:$D$125,6,Cleaned!$G$2:$G$125,1)+COUNTIFS(Cleaned!$D$2:$D$125,7,Cleaned!$G$2:$G$125,0)+COUNTIFS(Cleaned!$D$2:$D$125,7,Cleaned!$G$2:$G$125,1)+COUNTIFS(Cleaned!$D$2:$D$125,8,Cleaned!$G$2:$G$125,0)+COUNTIFS(Cleaned!$D$2:$D$125,8,Cleaned!$G$2:$G$125,1)+COUNTIFS(Cleaned!$D$2:$D$125,9,Cleaned!$G$2:$G$125,0)+COUNTIFS(Cleaned!$D$2:$D$125,9,Cleaned!$G$2:$G$125,1)+COUNTIFS(Cleaned!$D$2:$D$125,10,Cleaned!$G$2:$G$125,0)+COUNTIFS(Cleaned!$D$2:$D$125,10,Cleaned!$G$2:$G$125,1)+COUNTIFS(Cleaned!$D$2:$D$125,11,Cleaned!$G$2:$G$125,0)+COUNTIFS(Cleaned!$D$2:$D$125,11,Cleaned!$G$2:$G$125,1)+COUNTIFS(Cleaned!$D$2:$D$125,12,Cleaned!$G$2:$G$125,0)+COUNTIFS(Cleaned!$D$2:$D$125,12,Cleaned!$G$2:$G$125,1)</f>
        <v>78</v>
      </c>
      <c r="D12" s="2" t="str">
        <f aca="false">IF(B12=C12,"OK","FAIL")</f>
        <v>OK</v>
      </c>
    </row>
    <row r="13" customFormat="false" ht="15" hidden="false" customHeight="false" outlineLevel="0" collapsed="false">
      <c r="A13" s="2" t="s">
        <v>985</v>
      </c>
      <c r="B13" s="2" t="n">
        <f aca="false">COUNTIFS(Cleaned!$C$2:$C$125,1,Cleaned!$H$2:$H$125,0)+COUNTIFS(Cleaned!$C$2:$C$125,1,Cleaned!$H$2:$H$125,1)+COUNTIFS(Cleaned!$C$2:$C$125,2,Cleaned!$H$2:$H$125,0)+COUNTIFS(Cleaned!$C$2:$C$125,2,Cleaned!$H$2:$H$125,1)+COUNTIFS(Cleaned!$C$2:$C$125,3,Cleaned!$H$2:$H$125,0)+COUNTIFS(Cleaned!$C$2:$C$125,3,Cleaned!$H$2:$H$125,1)+COUNTIFS(Cleaned!$C$2:$C$125,4,Cleaned!$H$2:$H$125,0)+COUNTIFS(Cleaned!$C$2:$C$125,4,Cleaned!$H$2:$H$125,1)+COUNTIFS(Cleaned!$C$2:$C$125,5,Cleaned!$H$2:$H$125,0)+COUNTIFS(Cleaned!$C$2:$C$125,5,Cleaned!$H$2:$H$125,1)</f>
        <v>78</v>
      </c>
      <c r="C13" s="2" t="n">
        <f aca="false">COUNTIFS(Cleaned!$D$2:$D$125,1,Cleaned!$H$2:$H$125,0)+COUNTIFS(Cleaned!$D$2:$D$125,1,Cleaned!$H$2:$H$125,1)+COUNTIFS(Cleaned!$D$2:$D$125,2,Cleaned!$H$2:$H$125,0)+COUNTIFS(Cleaned!$D$2:$D$125,2,Cleaned!$H$2:$H$125,1)+COUNTIFS(Cleaned!$D$2:$D$125,3,Cleaned!$H$2:$H$125,0)+COUNTIFS(Cleaned!$D$2:$D$125,3,Cleaned!$H$2:$H$125,1)+COUNTIFS(Cleaned!$D$2:$D$125,4,Cleaned!$H$2:$H$125,0)+COUNTIFS(Cleaned!$D$2:$D$125,4,Cleaned!$H$2:$H$125,1)+COUNTIFS(Cleaned!$D$2:$D$125,5,Cleaned!$H$2:$H$125,0)+COUNTIFS(Cleaned!$D$2:$D$125,5,Cleaned!$H$2:$H$125,1)+COUNTIFS(Cleaned!$D$2:$D$125,6,Cleaned!$H$2:$H$125,0)+COUNTIFS(Cleaned!$D$2:$D$125,6,Cleaned!$H$2:$H$125,1)+COUNTIFS(Cleaned!$D$2:$D$125,7,Cleaned!$H$2:$H$125,0)+COUNTIFS(Cleaned!$D$2:$D$125,7,Cleaned!$H$2:$H$125,1)+COUNTIFS(Cleaned!$D$2:$D$125,8,Cleaned!$H$2:$H$125,0)+COUNTIFS(Cleaned!$D$2:$D$125,8,Cleaned!$H$2:$H$125,1)+COUNTIFS(Cleaned!$D$2:$D$125,9,Cleaned!$H$2:$H$125,0)+COUNTIFS(Cleaned!$D$2:$D$125,9,Cleaned!$H$2:$H$125,1)+COUNTIFS(Cleaned!$D$2:$D$125,10,Cleaned!$H$2:$H$125,0)+COUNTIFS(Cleaned!$D$2:$D$125,10,Cleaned!$H$2:$H$125,1)+COUNTIFS(Cleaned!$D$2:$D$125,11,Cleaned!$H$2:$H$125,0)+COUNTIFS(Cleaned!$D$2:$D$125,11,Cleaned!$H$2:$H$125,1)+COUNTIFS(Cleaned!$D$2:$D$125,12,Cleaned!$H$2:$H$125,0)+COUNTIFS(Cleaned!$D$2:$D$125,12,Cleaned!$H$2:$H$125,1)</f>
        <v>78</v>
      </c>
      <c r="D13" s="2" t="str">
        <f aca="false">IF(B13=C13,"OK","FAIL")</f>
        <v>OK</v>
      </c>
    </row>
    <row r="14" customFormat="false" ht="15" hidden="false" customHeight="false" outlineLevel="0" collapsed="false">
      <c r="A14" s="2" t="s">
        <v>985</v>
      </c>
      <c r="B14" s="2" t="n">
        <f aca="false">COUNTIFS(Cleaned!$C$2:$C$125,1,Cleaned!$I$2:$I$125,0)+COUNTIFS(Cleaned!$C$2:$C$125,1,Cleaned!$I$2:$I$125,1)+COUNTIFS(Cleaned!$C$2:$C$125,2,Cleaned!$I$2:$I$125,0)+COUNTIFS(Cleaned!$C$2:$C$125,2,Cleaned!$I$2:$I$125,1)+COUNTIFS(Cleaned!$C$2:$C$125,3,Cleaned!$I$2:$I$125,0)+COUNTIFS(Cleaned!$C$2:$C$125,3,Cleaned!$I$2:$I$125,1)+COUNTIFS(Cleaned!$C$2:$C$125,4,Cleaned!$I$2:$I$125,0)+COUNTIFS(Cleaned!$C$2:$C$125,4,Cleaned!$I$2:$I$125,1)+COUNTIFS(Cleaned!$C$2:$C$125,5,Cleaned!$I$2:$I$125,0)+COUNTIFS(Cleaned!$C$2:$C$125,5,Cleaned!$I$2:$I$125,1)</f>
        <v>78</v>
      </c>
      <c r="C14" s="2" t="n">
        <f aca="false">COUNTIFS(Cleaned!$D$2:$D$125,1,Cleaned!$I$2:$I$125,0)+COUNTIFS(Cleaned!$D$2:$D$125,1,Cleaned!$I$2:$I$125,1)+COUNTIFS(Cleaned!$D$2:$D$125,2,Cleaned!$I$2:$I$125,0)+COUNTIFS(Cleaned!$D$2:$D$125,2,Cleaned!$I$2:$I$125,1)+COUNTIFS(Cleaned!$D$2:$D$125,3,Cleaned!$I$2:$I$125,0)+COUNTIFS(Cleaned!$D$2:$D$125,3,Cleaned!$I$2:$I$125,1)+COUNTIFS(Cleaned!$D$2:$D$125,4,Cleaned!$I$2:$I$125,0)+COUNTIFS(Cleaned!$D$2:$D$125,4,Cleaned!$I$2:$I$125,1)+COUNTIFS(Cleaned!$D$2:$D$125,5,Cleaned!$I$2:$I$125,0)+COUNTIFS(Cleaned!$D$2:$D$125,5,Cleaned!$I$2:$I$125,1)+COUNTIFS(Cleaned!$D$2:$D$125,6,Cleaned!$I$2:$I$125,0)+COUNTIFS(Cleaned!$D$2:$D$125,6,Cleaned!$I$2:$I$125,1)+COUNTIFS(Cleaned!$D$2:$D$125,7,Cleaned!$I$2:$I$125,0)+COUNTIFS(Cleaned!$D$2:$D$125,7,Cleaned!$I$2:$I$125,1)+COUNTIFS(Cleaned!$D$2:$D$125,8,Cleaned!$I$2:$I$125,0)+COUNTIFS(Cleaned!$D$2:$D$125,8,Cleaned!$I$2:$I$125,1)+COUNTIFS(Cleaned!$D$2:$D$125,9,Cleaned!$I$2:$I$125,0)+COUNTIFS(Cleaned!$D$2:$D$125,9,Cleaned!$I$2:$I$125,1)+COUNTIFS(Cleaned!$D$2:$D$125,10,Cleaned!$I$2:$I$125,0)+COUNTIFS(Cleaned!$D$2:$D$125,10,Cleaned!$I$2:$I$125,1)+COUNTIFS(Cleaned!$D$2:$D$125,11,Cleaned!$I$2:$I$125,0)+COUNTIFS(Cleaned!$D$2:$D$125,11,Cleaned!$I$2:$I$125,1)+COUNTIFS(Cleaned!$D$2:$D$125,12,Cleaned!$I$2:$I$125,0)+COUNTIFS(Cleaned!$D$2:$D$125,12,Cleaned!$I$2:$I$125,1)</f>
        <v>78</v>
      </c>
      <c r="D14" s="2" t="str">
        <f aca="false">IF(B14=C14,"OK","FAIL")</f>
        <v>OK</v>
      </c>
    </row>
    <row r="15" customFormat="false" ht="15" hidden="false" customHeight="false" outlineLevel="0" collapsed="false">
      <c r="A15" s="2" t="s">
        <v>985</v>
      </c>
      <c r="B15" s="2" t="n">
        <f aca="false">COUNTIFS(Cleaned!$C$2:$C$125,1,Cleaned!$J$2:$J$125,0)+COUNTIFS(Cleaned!$C$2:$C$125,1,Cleaned!$J$2:$J$125,1)+COUNTIFS(Cleaned!$C$2:$C$125,2,Cleaned!$J$2:$J$125,0)+COUNTIFS(Cleaned!$C$2:$C$125,2,Cleaned!$J$2:$J$125,1)+COUNTIFS(Cleaned!$C$2:$C$125,3,Cleaned!$J$2:$J$125,0)+COUNTIFS(Cleaned!$C$2:$C$125,3,Cleaned!$J$2:$J$125,1)+COUNTIFS(Cleaned!$C$2:$C$125,4,Cleaned!$J$2:$J$125,0)+COUNTIFS(Cleaned!$C$2:$C$125,4,Cleaned!$J$2:$J$125,1)+COUNTIFS(Cleaned!$C$2:$C$125,5,Cleaned!$J$2:$J$125,0)+COUNTIFS(Cleaned!$C$2:$C$125,5,Cleaned!$J$2:$J$125,1)</f>
        <v>78</v>
      </c>
      <c r="C15" s="2" t="n">
        <f aca="false">COUNTIFS(Cleaned!$D$2:$D$125,1,Cleaned!$J$2:$J$125,0)+COUNTIFS(Cleaned!$D$2:$D$125,1,Cleaned!$J$2:$J$125,1)+COUNTIFS(Cleaned!$D$2:$D$125,2,Cleaned!$J$2:$J$125,0)+COUNTIFS(Cleaned!$D$2:$D$125,2,Cleaned!$J$2:$J$125,1)+COUNTIFS(Cleaned!$D$2:$D$125,3,Cleaned!$J$2:$J$125,0)+COUNTIFS(Cleaned!$D$2:$D$125,3,Cleaned!$J$2:$J$125,1)+COUNTIFS(Cleaned!$D$2:$D$125,4,Cleaned!$J$2:$J$125,0)+COUNTIFS(Cleaned!$D$2:$D$125,4,Cleaned!$J$2:$J$125,1)+COUNTIFS(Cleaned!$D$2:$D$125,5,Cleaned!$J$2:$J$125,0)+COUNTIFS(Cleaned!$D$2:$D$125,5,Cleaned!$J$2:$J$125,1)+COUNTIFS(Cleaned!$D$2:$D$125,6,Cleaned!$J$2:$J$125,0)+COUNTIFS(Cleaned!$D$2:$D$125,6,Cleaned!$J$2:$J$125,1)+COUNTIFS(Cleaned!$D$2:$D$125,7,Cleaned!$J$2:$J$125,0)+COUNTIFS(Cleaned!$D$2:$D$125,7,Cleaned!$J$2:$J$125,1)+COUNTIFS(Cleaned!$D$2:$D$125,8,Cleaned!$J$2:$J$125,0)+COUNTIFS(Cleaned!$D$2:$D$125,8,Cleaned!$J$2:$J$125,1)+COUNTIFS(Cleaned!$D$2:$D$125,9,Cleaned!$J$2:$J$125,0)+COUNTIFS(Cleaned!$D$2:$D$125,9,Cleaned!$J$2:$J$125,1)+COUNTIFS(Cleaned!$D$2:$D$125,10,Cleaned!$J$2:$J$125,0)+COUNTIFS(Cleaned!$D$2:$D$125,10,Cleaned!$J$2:$J$125,1)+COUNTIFS(Cleaned!$D$2:$D$125,11,Cleaned!$J$2:$J$125,0)+COUNTIFS(Cleaned!$D$2:$D$125,11,Cleaned!$J$2:$J$125,1)+COUNTIFS(Cleaned!$D$2:$D$125,12,Cleaned!$J$2:$J$125,0)+COUNTIFS(Cleaned!$D$2:$D$125,12,Cleaned!$J$2:$J$125,1)</f>
        <v>78</v>
      </c>
      <c r="D15" s="2" t="str">
        <f aca="false">IF(B15=C15,"OK","FAIL")</f>
        <v>OK</v>
      </c>
    </row>
    <row r="16" customFormat="false" ht="15" hidden="false" customHeight="false" outlineLevel="0" collapsed="false">
      <c r="A16" s="2" t="s">
        <v>985</v>
      </c>
      <c r="B16" s="2" t="n">
        <f aca="false">COUNTIFS(Cleaned!$C$2:$C$125,1,Cleaned!$K$2:$K$125,0)+COUNTIFS(Cleaned!$C$2:$C$125,1,Cleaned!$K$2:$K$125,1)+COUNTIFS(Cleaned!$C$2:$C$125,2,Cleaned!$K$2:$K$125,0)+COUNTIFS(Cleaned!$C$2:$C$125,2,Cleaned!$K$2:$K$125,1)+COUNTIFS(Cleaned!$C$2:$C$125,3,Cleaned!$K$2:$K$125,0)+COUNTIFS(Cleaned!$C$2:$C$125,3,Cleaned!$K$2:$K$125,1)+COUNTIFS(Cleaned!$C$2:$C$125,4,Cleaned!$K$2:$K$125,0)+COUNTIFS(Cleaned!$C$2:$C$125,4,Cleaned!$K$2:$K$125,1)+COUNTIFS(Cleaned!$C$2:$C$125,5,Cleaned!$K$2:$K$125,0)+COUNTIFS(Cleaned!$C$2:$C$125,5,Cleaned!$K$2:$K$125,1)</f>
        <v>78</v>
      </c>
      <c r="C16" s="2" t="n">
        <f aca="false">COUNTIFS(Cleaned!$D$2:$D$125,1,Cleaned!$K$2:$K$125,0)+COUNTIFS(Cleaned!$D$2:$D$125,1,Cleaned!$K$2:$K$125,1)+COUNTIFS(Cleaned!$D$2:$D$125,2,Cleaned!$K$2:$K$125,0)+COUNTIFS(Cleaned!$D$2:$D$125,2,Cleaned!$K$2:$K$125,1)+COUNTIFS(Cleaned!$D$2:$D$125,3,Cleaned!$K$2:$K$125,0)+COUNTIFS(Cleaned!$D$2:$D$125,3,Cleaned!$K$2:$K$125,1)+COUNTIFS(Cleaned!$D$2:$D$125,4,Cleaned!$K$2:$K$125,0)+COUNTIFS(Cleaned!$D$2:$D$125,4,Cleaned!$K$2:$K$125,1)+COUNTIFS(Cleaned!$D$2:$D$125,5,Cleaned!$K$2:$K$125,0)+COUNTIFS(Cleaned!$D$2:$D$125,5,Cleaned!$K$2:$K$125,1)+COUNTIFS(Cleaned!$D$2:$D$125,6,Cleaned!$K$2:$K$125,0)+COUNTIFS(Cleaned!$D$2:$D$125,6,Cleaned!$K$2:$K$125,1)+COUNTIFS(Cleaned!$D$2:$D$125,7,Cleaned!$K$2:$K$125,0)+COUNTIFS(Cleaned!$D$2:$D$125,7,Cleaned!$K$2:$K$125,1)+COUNTIFS(Cleaned!$D$2:$D$125,8,Cleaned!$K$2:$K$125,0)+COUNTIFS(Cleaned!$D$2:$D$125,8,Cleaned!$K$2:$K$125,1)+COUNTIFS(Cleaned!$D$2:$D$125,9,Cleaned!$K$2:$K$125,0)+COUNTIFS(Cleaned!$D$2:$D$125,9,Cleaned!$K$2:$K$125,1)+COUNTIFS(Cleaned!$D$2:$D$125,10,Cleaned!$K$2:$K$125,0)+COUNTIFS(Cleaned!$D$2:$D$125,10,Cleaned!$K$2:$K$125,1)+COUNTIFS(Cleaned!$D$2:$D$125,11,Cleaned!$K$2:$K$125,0)+COUNTIFS(Cleaned!$D$2:$D$125,11,Cleaned!$K$2:$K$125,1)+COUNTIFS(Cleaned!$D$2:$D$125,12,Cleaned!$K$2:$K$125,0)+COUNTIFS(Cleaned!$D$2:$D$125,12,Cleaned!$K$2:$K$125,1)</f>
        <v>78</v>
      </c>
      <c r="D16" s="2" t="str">
        <f aca="false">IF(B16=C16,"OK","FAIL")</f>
        <v>OK</v>
      </c>
    </row>
    <row r="17" customFormat="false" ht="15" hidden="false" customHeight="false" outlineLevel="0" collapsed="false">
      <c r="A17" s="2" t="s">
        <v>985</v>
      </c>
      <c r="B17" s="2" t="n">
        <f aca="false">COUNTIFS(Cleaned!$C$2:$C$125,1,Cleaned!$L$2:$L$125,0)+COUNTIFS(Cleaned!$C$2:$C$125,1,Cleaned!$L$2:$L$125,1)+COUNTIFS(Cleaned!$C$2:$C$125,2,Cleaned!$L$2:$L$125,0)+COUNTIFS(Cleaned!$C$2:$C$125,2,Cleaned!$L$2:$L$125,1)+COUNTIFS(Cleaned!$C$2:$C$125,3,Cleaned!$L$2:$L$125,0)+COUNTIFS(Cleaned!$C$2:$C$125,3,Cleaned!$L$2:$L$125,1)+COUNTIFS(Cleaned!$C$2:$C$125,4,Cleaned!$L$2:$L$125,0)+COUNTIFS(Cleaned!$C$2:$C$125,4,Cleaned!$L$2:$L$125,1)+COUNTIFS(Cleaned!$C$2:$C$125,5,Cleaned!$L$2:$L$125,0)+COUNTIFS(Cleaned!$C$2:$C$125,5,Cleaned!$L$2:$L$125,1)</f>
        <v>78</v>
      </c>
      <c r="C17" s="2" t="n">
        <f aca="false">COUNTIFS(Cleaned!$D$2:$D$125,1,Cleaned!$L$2:$L$125,0)+COUNTIFS(Cleaned!$D$2:$D$125,1,Cleaned!$L$2:$L$125,1)+COUNTIFS(Cleaned!$D$2:$D$125,2,Cleaned!$L$2:$L$125,0)+COUNTIFS(Cleaned!$D$2:$D$125,2,Cleaned!$L$2:$L$125,1)+COUNTIFS(Cleaned!$D$2:$D$125,3,Cleaned!$L$2:$L$125,0)+COUNTIFS(Cleaned!$D$2:$D$125,3,Cleaned!$L$2:$L$125,1)+COUNTIFS(Cleaned!$D$2:$D$125,4,Cleaned!$L$2:$L$125,0)+COUNTIFS(Cleaned!$D$2:$D$125,4,Cleaned!$L$2:$L$125,1)+COUNTIFS(Cleaned!$D$2:$D$125,5,Cleaned!$L$2:$L$125,0)+COUNTIFS(Cleaned!$D$2:$D$125,5,Cleaned!$L$2:$L$125,1)+COUNTIFS(Cleaned!$D$2:$D$125,6,Cleaned!$L$2:$L$125,0)+COUNTIFS(Cleaned!$D$2:$D$125,6,Cleaned!$L$2:$L$125,1)+COUNTIFS(Cleaned!$D$2:$D$125,7,Cleaned!$L$2:$L$125,0)+COUNTIFS(Cleaned!$D$2:$D$125,7,Cleaned!$L$2:$L$125,1)+COUNTIFS(Cleaned!$D$2:$D$125,8,Cleaned!$L$2:$L$125,0)+COUNTIFS(Cleaned!$D$2:$D$125,8,Cleaned!$L$2:$L$125,1)+COUNTIFS(Cleaned!$D$2:$D$125,9,Cleaned!$L$2:$L$125,0)+COUNTIFS(Cleaned!$D$2:$D$125,9,Cleaned!$L$2:$L$125,1)+COUNTIFS(Cleaned!$D$2:$D$125,10,Cleaned!$L$2:$L$125,0)+COUNTIFS(Cleaned!$D$2:$D$125,10,Cleaned!$L$2:$L$125,1)+COUNTIFS(Cleaned!$D$2:$D$125,11,Cleaned!$L$2:$L$125,0)+COUNTIFS(Cleaned!$D$2:$D$125,11,Cleaned!$L$2:$L$125,1)+COUNTIFS(Cleaned!$D$2:$D$125,12,Cleaned!$L$2:$L$125,0)+COUNTIFS(Cleaned!$D$2:$D$125,12,Cleaned!$L$2:$L$125,1)</f>
        <v>78</v>
      </c>
      <c r="D17" s="2" t="str">
        <f aca="false">IF(B17=C17,"OK","FAIL")</f>
        <v>OK</v>
      </c>
    </row>
    <row r="18" customFormat="false" ht="15" hidden="false" customHeight="false" outlineLevel="0" collapsed="false">
      <c r="A18" s="2" t="s">
        <v>986</v>
      </c>
      <c r="B18" s="2" t="n">
        <f aca="false">COUNTIFS(Cleaned!$C$2:$C$125,1,Cleaned!$M$2:$M$125,1)+COUNTIFS(Cleaned!$C$2:$C$125,1,Cleaned!$M$2:$M$125,2)+COUNTIFS(Cleaned!$C$2:$C$125,2,Cleaned!$M$2:$M$125,1)+COUNTIFS(Cleaned!$C$2:$C$125,2,Cleaned!$M$2:$M$125,2)+COUNTIFS(Cleaned!$C$2:$C$125,3,Cleaned!$M$2:$M$125,1)+COUNTIFS(Cleaned!$C$2:$C$125,3,Cleaned!$M$2:$M$125,2)+COUNTIFS(Cleaned!$C$2:$C$125,4,Cleaned!$M$2:$M$125,1)+COUNTIFS(Cleaned!$C$2:$C$125,4,Cleaned!$M$2:$M$125,2)+COUNTIFS(Cleaned!$C$2:$C$125,5,Cleaned!$M$2:$M$125,1)+COUNTIFS(Cleaned!$C$2:$C$125,5,Cleaned!$M$2:$M$125,2)</f>
        <v>78</v>
      </c>
      <c r="C18" s="2" t="n">
        <f aca="false">COUNTIFS(Cleaned!$D$2:$D$125,1,Cleaned!$M$2:$M$125,1)+COUNTIFS(Cleaned!$D$2:$D$125,1,Cleaned!$M$2:$M$125,2)+COUNTIFS(Cleaned!$D$2:$D$125,2,Cleaned!$M$2:$M$125,1)+COUNTIFS(Cleaned!$D$2:$D$125,2,Cleaned!$M$2:$M$125,2)+COUNTIFS(Cleaned!$D$2:$D$125,3,Cleaned!$M$2:$M$125,1)+COUNTIFS(Cleaned!$D$2:$D$125,3,Cleaned!$M$2:$M$125,2)+COUNTIFS(Cleaned!$D$2:$D$125,4,Cleaned!$M$2:$M$125,1)+COUNTIFS(Cleaned!$D$2:$D$125,4,Cleaned!$M$2:$M$125,2)+COUNTIFS(Cleaned!$D$2:$D$125,5,Cleaned!$M$2:$M$125,1)+COUNTIFS(Cleaned!$D$2:$D$125,5,Cleaned!$M$2:$M$125,2)+COUNTIFS(Cleaned!$D$2:$D$125,6,Cleaned!$M$2:$M$125,1)+COUNTIFS(Cleaned!$D$2:$D$125,6,Cleaned!$M$2:$M$125,2)+COUNTIFS(Cleaned!$D$2:$D$125,7,Cleaned!$M$2:$M$125,1)+COUNTIFS(Cleaned!$D$2:$D$125,7,Cleaned!$M$2:$M$125,2)+COUNTIFS(Cleaned!$D$2:$D$125,8,Cleaned!$M$2:$M$125,1)+COUNTIFS(Cleaned!$D$2:$D$125,8,Cleaned!$M$2:$M$125,2)+COUNTIFS(Cleaned!$D$2:$D$125,9,Cleaned!$M$2:$M$125,1)+COUNTIFS(Cleaned!$D$2:$D$125,9,Cleaned!$M$2:$M$125,2)+COUNTIFS(Cleaned!$D$2:$D$125,10,Cleaned!$M$2:$M$125,1)+COUNTIFS(Cleaned!$D$2:$D$125,10,Cleaned!$M$2:$M$125,2)+COUNTIFS(Cleaned!$D$2:$D$125,11,Cleaned!$M$2:$M$125,1)+COUNTIFS(Cleaned!$D$2:$D$125,11,Cleaned!$M$2:$M$125,2)+COUNTIFS(Cleaned!$D$2:$D$125,12,Cleaned!$M$2:$M$125,1)+COUNTIFS(Cleaned!$D$2:$D$125,12,Cleaned!$M$2:$M$125,2)</f>
        <v>78</v>
      </c>
      <c r="D18" s="2" t="str">
        <f aca="false">IF(B18=C18,"OK","FAIL")</f>
        <v>OK</v>
      </c>
    </row>
    <row r="19" customFormat="false" ht="15" hidden="false" customHeight="false" outlineLevel="0" collapsed="false">
      <c r="A19" s="2" t="s">
        <v>987</v>
      </c>
      <c r="B19" s="2" t="n">
        <f aca="false">COUNTIFS(Cleaned!$C$2:$C$125,1,Cleaned!$N$2:$N$125,0)+COUNTIFS(Cleaned!$C$2:$C$125,1,Cleaned!$N$2:$N$125,1)+COUNTIFS(Cleaned!$C$2:$C$125,2,Cleaned!$N$2:$N$125,0)+COUNTIFS(Cleaned!$C$2:$C$125,2,Cleaned!$N$2:$N$125,1)+COUNTIFS(Cleaned!$C$2:$C$125,3,Cleaned!$N$2:$N$125,0)+COUNTIFS(Cleaned!$C$2:$C$125,3,Cleaned!$N$2:$N$125,1)+COUNTIFS(Cleaned!$C$2:$C$125,4,Cleaned!$N$2:$N$125,0)+COUNTIFS(Cleaned!$C$2:$C$125,4,Cleaned!$N$2:$N$125,1)+COUNTIFS(Cleaned!$C$2:$C$125,5,Cleaned!$N$2:$N$125,0)+COUNTIFS(Cleaned!$C$2:$C$125,5,Cleaned!$N$2:$N$125,1)</f>
        <v>78</v>
      </c>
      <c r="C19" s="2" t="n">
        <f aca="false">COUNTIFS(Cleaned!$D$2:$D$125,1,Cleaned!$N$2:$N$125,0)+COUNTIFS(Cleaned!$D$2:$D$125,1,Cleaned!$N$2:$N$125,1)+COUNTIFS(Cleaned!$D$2:$D$125,2,Cleaned!$N$2:$N$125,0)+COUNTIFS(Cleaned!$D$2:$D$125,2,Cleaned!$N$2:$N$125,1)+COUNTIFS(Cleaned!$D$2:$D$125,3,Cleaned!$N$2:$N$125,0)+COUNTIFS(Cleaned!$D$2:$D$125,3,Cleaned!$N$2:$N$125,1)+COUNTIFS(Cleaned!$D$2:$D$125,4,Cleaned!$N$2:$N$125,0)+COUNTIFS(Cleaned!$D$2:$D$125,4,Cleaned!$N$2:$N$125,1)+COUNTIFS(Cleaned!$D$2:$D$125,5,Cleaned!$N$2:$N$125,0)+COUNTIFS(Cleaned!$D$2:$D$125,5,Cleaned!$N$2:$N$125,1)+COUNTIFS(Cleaned!$D$2:$D$125,6,Cleaned!$N$2:$N$125,0)+COUNTIFS(Cleaned!$D$2:$D$125,6,Cleaned!$N$2:$N$125,1)+COUNTIFS(Cleaned!$D$2:$D$125,7,Cleaned!$N$2:$N$125,0)+COUNTIFS(Cleaned!$D$2:$D$125,7,Cleaned!$N$2:$N$125,1)+COUNTIFS(Cleaned!$D$2:$D$125,8,Cleaned!$N$2:$N$125,0)+COUNTIFS(Cleaned!$D$2:$D$125,8,Cleaned!$N$2:$N$125,1)+COUNTIFS(Cleaned!$D$2:$D$125,9,Cleaned!$N$2:$N$125,0)+COUNTIFS(Cleaned!$D$2:$D$125,9,Cleaned!$N$2:$N$125,1)+COUNTIFS(Cleaned!$D$2:$D$125,10,Cleaned!$N$2:$N$125,0)+COUNTIFS(Cleaned!$D$2:$D$125,10,Cleaned!$N$2:$N$125,1)+COUNTIFS(Cleaned!$D$2:$D$125,11,Cleaned!$N$2:$N$125,0)+COUNTIFS(Cleaned!$D$2:$D$125,11,Cleaned!$N$2:$N$125,1)+COUNTIFS(Cleaned!$D$2:$D$125,12,Cleaned!$N$2:$N$125,0)+COUNTIFS(Cleaned!$D$2:$D$125,12,Cleaned!$N$2:$N$125,1)</f>
        <v>78</v>
      </c>
      <c r="D19" s="2" t="str">
        <f aca="false">IF(B19=C19,"OK","FAIL")</f>
        <v>OK</v>
      </c>
    </row>
    <row r="20" customFormat="false" ht="15" hidden="false" customHeight="false" outlineLevel="0" collapsed="false">
      <c r="A20" s="2" t="s">
        <v>987</v>
      </c>
      <c r="B20" s="2" t="n">
        <f aca="false">COUNTIFS(Cleaned!$C$2:$C$125,1,Cleaned!$O$2:$O$125,0)+COUNTIFS(Cleaned!$C$2:$C$125,1,Cleaned!$O$2:$O$125,1)+COUNTIFS(Cleaned!$C$2:$C$125,2,Cleaned!$O$2:$O$125,0)+COUNTIFS(Cleaned!$C$2:$C$125,2,Cleaned!$O$2:$O$125,1)+COUNTIFS(Cleaned!$C$2:$C$125,3,Cleaned!$O$2:$O$125,0)+COUNTIFS(Cleaned!$C$2:$C$125,3,Cleaned!$O$2:$O$125,1)+COUNTIFS(Cleaned!$C$2:$C$125,4,Cleaned!$O$2:$O$125,0)+COUNTIFS(Cleaned!$C$2:$C$125,4,Cleaned!$O$2:$O$125,1)+COUNTIFS(Cleaned!$C$2:$C$125,5,Cleaned!$O$2:$O$125,0)+COUNTIFS(Cleaned!$C$2:$C$125,5,Cleaned!$O$2:$O$125,1)</f>
        <v>78</v>
      </c>
      <c r="C20" s="2" t="n">
        <f aca="false">COUNTIFS(Cleaned!$D$2:$D$125,1,Cleaned!$O$2:$O$125,0)+COUNTIFS(Cleaned!$D$2:$D$125,1,Cleaned!$O$2:$O$125,1)+COUNTIFS(Cleaned!$D$2:$D$125,2,Cleaned!$O$2:$O$125,0)+COUNTIFS(Cleaned!$D$2:$D$125,2,Cleaned!$O$2:$O$125,1)+COUNTIFS(Cleaned!$D$2:$D$125,3,Cleaned!$O$2:$O$125,0)+COUNTIFS(Cleaned!$D$2:$D$125,3,Cleaned!$O$2:$O$125,1)+COUNTIFS(Cleaned!$D$2:$D$125,4,Cleaned!$O$2:$O$125,0)+COUNTIFS(Cleaned!$D$2:$D$125,4,Cleaned!$O$2:$O$125,1)+COUNTIFS(Cleaned!$D$2:$D$125,5,Cleaned!$O$2:$O$125,0)+COUNTIFS(Cleaned!$D$2:$D$125,5,Cleaned!$O$2:$O$125,1)+COUNTIFS(Cleaned!$D$2:$D$125,6,Cleaned!$O$2:$O$125,0)+COUNTIFS(Cleaned!$D$2:$D$125,6,Cleaned!$O$2:$O$125,1)+COUNTIFS(Cleaned!$D$2:$D$125,7,Cleaned!$O$2:$O$125,0)+COUNTIFS(Cleaned!$D$2:$D$125,7,Cleaned!$O$2:$O$125,1)+COUNTIFS(Cleaned!$D$2:$D$125,8,Cleaned!$O$2:$O$125,0)+COUNTIFS(Cleaned!$D$2:$D$125,8,Cleaned!$O$2:$O$125,1)+COUNTIFS(Cleaned!$D$2:$D$125,9,Cleaned!$O$2:$O$125,0)+COUNTIFS(Cleaned!$D$2:$D$125,9,Cleaned!$O$2:$O$125,1)+COUNTIFS(Cleaned!$D$2:$D$125,10,Cleaned!$O$2:$O$125,0)+COUNTIFS(Cleaned!$D$2:$D$125,10,Cleaned!$O$2:$O$125,1)+COUNTIFS(Cleaned!$D$2:$D$125,11,Cleaned!$O$2:$O$125,0)+COUNTIFS(Cleaned!$D$2:$D$125,11,Cleaned!$O$2:$O$125,1)+COUNTIFS(Cleaned!$D$2:$D$125,12,Cleaned!$O$2:$O$125,0)+COUNTIFS(Cleaned!$D$2:$D$125,12,Cleaned!$O$2:$O$125,1)</f>
        <v>78</v>
      </c>
      <c r="D20" s="2" t="str">
        <f aca="false">IF(B20=C20,"OK","FAIL")</f>
        <v>OK</v>
      </c>
    </row>
    <row r="21" customFormat="false" ht="15" hidden="false" customHeight="false" outlineLevel="0" collapsed="false">
      <c r="A21" s="2" t="s">
        <v>987</v>
      </c>
      <c r="B21" s="2" t="n">
        <f aca="false">COUNTIFS(Cleaned!$C$2:$C$125,1,Cleaned!$P$2:$P$125,0)+COUNTIFS(Cleaned!$C$2:$C$125,1,Cleaned!$P$2:$P$125,1)+COUNTIFS(Cleaned!$C$2:$C$125,2,Cleaned!$P$2:$P$125,0)+COUNTIFS(Cleaned!$C$2:$C$125,2,Cleaned!$P$2:$P$125,1)+COUNTIFS(Cleaned!$C$2:$C$125,3,Cleaned!$P$2:$P$125,0)+COUNTIFS(Cleaned!$C$2:$C$125,3,Cleaned!$P$2:$P$125,1)+COUNTIFS(Cleaned!$C$2:$C$125,4,Cleaned!$P$2:$P$125,0)+COUNTIFS(Cleaned!$C$2:$C$125,4,Cleaned!$P$2:$P$125,1)+COUNTIFS(Cleaned!$C$2:$C$125,5,Cleaned!$P$2:$P$125,0)+COUNTIFS(Cleaned!$C$2:$C$125,5,Cleaned!$P$2:$P$125,1)</f>
        <v>78</v>
      </c>
      <c r="C21" s="2" t="n">
        <f aca="false">COUNTIFS(Cleaned!$D$2:$D$125,1,Cleaned!$P$2:$P$125,0)+COUNTIFS(Cleaned!$D$2:$D$125,1,Cleaned!$P$2:$P$125,1)+COUNTIFS(Cleaned!$D$2:$D$125,2,Cleaned!$P$2:$P$125,0)+COUNTIFS(Cleaned!$D$2:$D$125,2,Cleaned!$P$2:$P$125,1)+COUNTIFS(Cleaned!$D$2:$D$125,3,Cleaned!$P$2:$P$125,0)+COUNTIFS(Cleaned!$D$2:$D$125,3,Cleaned!$P$2:$P$125,1)+COUNTIFS(Cleaned!$D$2:$D$125,4,Cleaned!$P$2:$P$125,0)+COUNTIFS(Cleaned!$D$2:$D$125,4,Cleaned!$P$2:$P$125,1)+COUNTIFS(Cleaned!$D$2:$D$125,5,Cleaned!$P$2:$P$125,0)+COUNTIFS(Cleaned!$D$2:$D$125,5,Cleaned!$P$2:$P$125,1)+COUNTIFS(Cleaned!$D$2:$D$125,6,Cleaned!$P$2:$P$125,0)+COUNTIFS(Cleaned!$D$2:$D$125,6,Cleaned!$P$2:$P$125,1)+COUNTIFS(Cleaned!$D$2:$D$125,7,Cleaned!$P$2:$P$125,0)+COUNTIFS(Cleaned!$D$2:$D$125,7,Cleaned!$P$2:$P$125,1)+COUNTIFS(Cleaned!$D$2:$D$125,8,Cleaned!$P$2:$P$125,0)+COUNTIFS(Cleaned!$D$2:$D$125,8,Cleaned!$P$2:$P$125,1)+COUNTIFS(Cleaned!$D$2:$D$125,9,Cleaned!$P$2:$P$125,0)+COUNTIFS(Cleaned!$D$2:$D$125,9,Cleaned!$P$2:$P$125,1)+COUNTIFS(Cleaned!$D$2:$D$125,10,Cleaned!$P$2:$P$125,0)+COUNTIFS(Cleaned!$D$2:$D$125,10,Cleaned!$P$2:$P$125,1)+COUNTIFS(Cleaned!$D$2:$D$125,11,Cleaned!$P$2:$P$125,0)+COUNTIFS(Cleaned!$D$2:$D$125,11,Cleaned!$P$2:$P$125,1)+COUNTIFS(Cleaned!$D$2:$D$125,12,Cleaned!$P$2:$P$125,0)+COUNTIFS(Cleaned!$D$2:$D$125,12,Cleaned!$P$2:$P$125,1)</f>
        <v>78</v>
      </c>
      <c r="D21" s="2" t="str">
        <f aca="false">IF(B21=C21,"OK","FAIL")</f>
        <v>OK</v>
      </c>
    </row>
    <row r="22" customFormat="false" ht="15" hidden="false" customHeight="false" outlineLevel="0" collapsed="false">
      <c r="A22" s="2" t="s">
        <v>987</v>
      </c>
      <c r="B22" s="2" t="n">
        <f aca="false">COUNTIFS(Cleaned!$C$2:$C$125,1,Cleaned!$Q$2:$Q$125,0)+COUNTIFS(Cleaned!$C$2:$C$125,1,Cleaned!$Q$2:$Q$125,1)+COUNTIFS(Cleaned!$C$2:$C$125,2,Cleaned!$Q$2:$Q$125,0)+COUNTIFS(Cleaned!$C$2:$C$125,2,Cleaned!$Q$2:$Q$125,1)+COUNTIFS(Cleaned!$C$2:$C$125,3,Cleaned!$Q$2:$Q$125,0)+COUNTIFS(Cleaned!$C$2:$C$125,3,Cleaned!$Q$2:$Q$125,1)+COUNTIFS(Cleaned!$C$2:$C$125,4,Cleaned!$Q$2:$Q$125,0)+COUNTIFS(Cleaned!$C$2:$C$125,4,Cleaned!$Q$2:$Q$125,1)+COUNTIFS(Cleaned!$C$2:$C$125,5,Cleaned!$Q$2:$Q$125,0)+COUNTIFS(Cleaned!$C$2:$C$125,5,Cleaned!$Q$2:$Q$125,1)</f>
        <v>78</v>
      </c>
      <c r="C22" s="2" t="n">
        <f aca="false">COUNTIFS(Cleaned!$D$2:$D$125,1,Cleaned!$Q$2:$Q$125,0)+COUNTIFS(Cleaned!$D$2:$D$125,1,Cleaned!$Q$2:$Q$125,1)+COUNTIFS(Cleaned!$D$2:$D$125,2,Cleaned!$Q$2:$Q$125,0)+COUNTIFS(Cleaned!$D$2:$D$125,2,Cleaned!$Q$2:$Q$125,1)+COUNTIFS(Cleaned!$D$2:$D$125,3,Cleaned!$Q$2:$Q$125,0)+COUNTIFS(Cleaned!$D$2:$D$125,3,Cleaned!$Q$2:$Q$125,1)+COUNTIFS(Cleaned!$D$2:$D$125,4,Cleaned!$Q$2:$Q$125,0)+COUNTIFS(Cleaned!$D$2:$D$125,4,Cleaned!$Q$2:$Q$125,1)+COUNTIFS(Cleaned!$D$2:$D$125,5,Cleaned!$Q$2:$Q$125,0)+COUNTIFS(Cleaned!$D$2:$D$125,5,Cleaned!$Q$2:$Q$125,1)+COUNTIFS(Cleaned!$D$2:$D$125,6,Cleaned!$Q$2:$Q$125,0)+COUNTIFS(Cleaned!$D$2:$D$125,6,Cleaned!$Q$2:$Q$125,1)+COUNTIFS(Cleaned!$D$2:$D$125,7,Cleaned!$Q$2:$Q$125,0)+COUNTIFS(Cleaned!$D$2:$D$125,7,Cleaned!$Q$2:$Q$125,1)+COUNTIFS(Cleaned!$D$2:$D$125,8,Cleaned!$Q$2:$Q$125,0)+COUNTIFS(Cleaned!$D$2:$D$125,8,Cleaned!$Q$2:$Q$125,1)+COUNTIFS(Cleaned!$D$2:$D$125,9,Cleaned!$Q$2:$Q$125,0)+COUNTIFS(Cleaned!$D$2:$D$125,9,Cleaned!$Q$2:$Q$125,1)+COUNTIFS(Cleaned!$D$2:$D$125,10,Cleaned!$Q$2:$Q$125,0)+COUNTIFS(Cleaned!$D$2:$D$125,10,Cleaned!$Q$2:$Q$125,1)+COUNTIFS(Cleaned!$D$2:$D$125,11,Cleaned!$Q$2:$Q$125,0)+COUNTIFS(Cleaned!$D$2:$D$125,11,Cleaned!$Q$2:$Q$125,1)+COUNTIFS(Cleaned!$D$2:$D$125,12,Cleaned!$Q$2:$Q$125,0)+COUNTIFS(Cleaned!$D$2:$D$125,12,Cleaned!$Q$2:$Q$125,1)</f>
        <v>78</v>
      </c>
      <c r="D22" s="2" t="str">
        <f aca="false">IF(B22=C22,"OK","FAIL")</f>
        <v>OK</v>
      </c>
    </row>
    <row r="23" customFormat="false" ht="15" hidden="false" customHeight="false" outlineLevel="0" collapsed="false">
      <c r="A23" s="2" t="s">
        <v>987</v>
      </c>
      <c r="B23" s="2" t="n">
        <f aca="false">COUNTIFS(Cleaned!$C$2:$C$125,1,Cleaned!$R$2:$R$125,0)+COUNTIFS(Cleaned!$C$2:$C$125,1,Cleaned!$R$2:$R$125,1)+COUNTIFS(Cleaned!$C$2:$C$125,2,Cleaned!$R$2:$R$125,0)+COUNTIFS(Cleaned!$C$2:$C$125,2,Cleaned!$R$2:$R$125,1)+COUNTIFS(Cleaned!$C$2:$C$125,3,Cleaned!$R$2:$R$125,0)+COUNTIFS(Cleaned!$C$2:$C$125,3,Cleaned!$R$2:$R$125,1)+COUNTIFS(Cleaned!$C$2:$C$125,4,Cleaned!$R$2:$R$125,0)+COUNTIFS(Cleaned!$C$2:$C$125,4,Cleaned!$R$2:$R$125,1)+COUNTIFS(Cleaned!$C$2:$C$125,5,Cleaned!$R$2:$R$125,0)+COUNTIFS(Cleaned!$C$2:$C$125,5,Cleaned!$R$2:$R$125,1)</f>
        <v>78</v>
      </c>
      <c r="C23" s="2" t="n">
        <f aca="false">COUNTIFS(Cleaned!$D$2:$D$125,1,Cleaned!$R$2:$R$125,0)+COUNTIFS(Cleaned!$D$2:$D$125,1,Cleaned!$R$2:$R$125,1)+COUNTIFS(Cleaned!$D$2:$D$125,2,Cleaned!$R$2:$R$125,0)+COUNTIFS(Cleaned!$D$2:$D$125,2,Cleaned!$R$2:$R$125,1)+COUNTIFS(Cleaned!$D$2:$D$125,3,Cleaned!$R$2:$R$125,0)+COUNTIFS(Cleaned!$D$2:$D$125,3,Cleaned!$R$2:$R$125,1)+COUNTIFS(Cleaned!$D$2:$D$125,4,Cleaned!$R$2:$R$125,0)+COUNTIFS(Cleaned!$D$2:$D$125,4,Cleaned!$R$2:$R$125,1)+COUNTIFS(Cleaned!$D$2:$D$125,5,Cleaned!$R$2:$R$125,0)+COUNTIFS(Cleaned!$D$2:$D$125,5,Cleaned!$R$2:$R$125,1)+COUNTIFS(Cleaned!$D$2:$D$125,6,Cleaned!$R$2:$R$125,0)+COUNTIFS(Cleaned!$D$2:$D$125,6,Cleaned!$R$2:$R$125,1)+COUNTIFS(Cleaned!$D$2:$D$125,7,Cleaned!$R$2:$R$125,0)+COUNTIFS(Cleaned!$D$2:$D$125,7,Cleaned!$R$2:$R$125,1)+COUNTIFS(Cleaned!$D$2:$D$125,8,Cleaned!$R$2:$R$125,0)+COUNTIFS(Cleaned!$D$2:$D$125,8,Cleaned!$R$2:$R$125,1)+COUNTIFS(Cleaned!$D$2:$D$125,9,Cleaned!$R$2:$R$125,0)+COUNTIFS(Cleaned!$D$2:$D$125,9,Cleaned!$R$2:$R$125,1)+COUNTIFS(Cleaned!$D$2:$D$125,10,Cleaned!$R$2:$R$125,0)+COUNTIFS(Cleaned!$D$2:$D$125,10,Cleaned!$R$2:$R$125,1)+COUNTIFS(Cleaned!$D$2:$D$125,11,Cleaned!$R$2:$R$125,0)+COUNTIFS(Cleaned!$D$2:$D$125,11,Cleaned!$R$2:$R$125,1)+COUNTIFS(Cleaned!$D$2:$D$125,12,Cleaned!$R$2:$R$125,0)+COUNTIFS(Cleaned!$D$2:$D$125,12,Cleaned!$R$2:$R$125,1)</f>
        <v>78</v>
      </c>
      <c r="D23" s="2" t="str">
        <f aca="false">IF(B23=C23,"OK","FAIL")</f>
        <v>OK</v>
      </c>
    </row>
    <row r="24" customFormat="false" ht="15" hidden="false" customHeight="false" outlineLevel="0" collapsed="false">
      <c r="A24" s="2" t="s">
        <v>987</v>
      </c>
      <c r="B24" s="2" t="n">
        <f aca="false">COUNTIFS(Cleaned!$C$2:$C$125,1,Cleaned!$S$2:$S$125,0)+COUNTIFS(Cleaned!$C$2:$C$125,1,Cleaned!$S$2:$S$125,1)+COUNTIFS(Cleaned!$C$2:$C$125,2,Cleaned!$S$2:$S$125,0)+COUNTIFS(Cleaned!$C$2:$C$125,2,Cleaned!$S$2:$S$125,1)+COUNTIFS(Cleaned!$C$2:$C$125,3,Cleaned!$S$2:$S$125,0)+COUNTIFS(Cleaned!$C$2:$C$125,3,Cleaned!$S$2:$S$125,1)+COUNTIFS(Cleaned!$C$2:$C$125,4,Cleaned!$S$2:$S$125,0)+COUNTIFS(Cleaned!$C$2:$C$125,4,Cleaned!$S$2:$S$125,1)+COUNTIFS(Cleaned!$C$2:$C$125,5,Cleaned!$S$2:$S$125,0)+COUNTIFS(Cleaned!$C$2:$C$125,5,Cleaned!$S$2:$S$125,1)</f>
        <v>78</v>
      </c>
      <c r="C24" s="2" t="n">
        <f aca="false">COUNTIFS(Cleaned!$D$2:$D$125,1,Cleaned!$S$2:$S$125,0)+COUNTIFS(Cleaned!$D$2:$D$125,1,Cleaned!$S$2:$S$125,1)+COUNTIFS(Cleaned!$D$2:$D$125,2,Cleaned!$S$2:$S$125,0)+COUNTIFS(Cleaned!$D$2:$D$125,2,Cleaned!$S$2:$S$125,1)+COUNTIFS(Cleaned!$D$2:$D$125,3,Cleaned!$S$2:$S$125,0)+COUNTIFS(Cleaned!$D$2:$D$125,3,Cleaned!$S$2:$S$125,1)+COUNTIFS(Cleaned!$D$2:$D$125,4,Cleaned!$S$2:$S$125,0)+COUNTIFS(Cleaned!$D$2:$D$125,4,Cleaned!$S$2:$S$125,1)+COUNTIFS(Cleaned!$D$2:$D$125,5,Cleaned!$S$2:$S$125,0)+COUNTIFS(Cleaned!$D$2:$D$125,5,Cleaned!$S$2:$S$125,1)+COUNTIFS(Cleaned!$D$2:$D$125,6,Cleaned!$S$2:$S$125,0)+COUNTIFS(Cleaned!$D$2:$D$125,6,Cleaned!$S$2:$S$125,1)+COUNTIFS(Cleaned!$D$2:$D$125,7,Cleaned!$S$2:$S$125,0)+COUNTIFS(Cleaned!$D$2:$D$125,7,Cleaned!$S$2:$S$125,1)+COUNTIFS(Cleaned!$D$2:$D$125,8,Cleaned!$S$2:$S$125,0)+COUNTIFS(Cleaned!$D$2:$D$125,8,Cleaned!$S$2:$S$125,1)+COUNTIFS(Cleaned!$D$2:$D$125,9,Cleaned!$S$2:$S$125,0)+COUNTIFS(Cleaned!$D$2:$D$125,9,Cleaned!$S$2:$S$125,1)+COUNTIFS(Cleaned!$D$2:$D$125,10,Cleaned!$S$2:$S$125,0)+COUNTIFS(Cleaned!$D$2:$D$125,10,Cleaned!$S$2:$S$125,1)+COUNTIFS(Cleaned!$D$2:$D$125,11,Cleaned!$S$2:$S$125,0)+COUNTIFS(Cleaned!$D$2:$D$125,11,Cleaned!$S$2:$S$125,1)+COUNTIFS(Cleaned!$D$2:$D$125,12,Cleaned!$S$2:$S$125,0)+COUNTIFS(Cleaned!$D$2:$D$125,12,Cleaned!$S$2:$S$125,1)</f>
        <v>78</v>
      </c>
      <c r="D24" s="2" t="str">
        <f aca="false">IF(B24=C24,"OK","FAIL")</f>
        <v>OK</v>
      </c>
    </row>
    <row r="25" customFormat="false" ht="15" hidden="false" customHeight="false" outlineLevel="0" collapsed="false">
      <c r="A25" s="2" t="s">
        <v>988</v>
      </c>
      <c r="B25" s="2" t="n">
        <f aca="false">COUNTIFS(Cleaned!$C$2:$C$125,1,Cleaned!$AC$2:$AC$125,1)+COUNTIFS(Cleaned!$C$2:$C$125,1,Cleaned!$AC$2:$AC$125,2)+COUNTIFS(Cleaned!$C$2:$C$125,2,Cleaned!$AC$2:$AC$125,1)+COUNTIFS(Cleaned!$C$2:$C$125,2,Cleaned!$AC$2:$AC$125,2)+COUNTIFS(Cleaned!$C$2:$C$125,3,Cleaned!$AC$2:$AC$125,1)+COUNTIFS(Cleaned!$C$2:$C$125,3,Cleaned!$AC$2:$AC$125,2)+COUNTIFS(Cleaned!$C$2:$C$125,4,Cleaned!$AC$2:$AC$125,1)+COUNTIFS(Cleaned!$C$2:$C$125,4,Cleaned!$AC$2:$AC$125,2)+COUNTIFS(Cleaned!$C$2:$C$125,5,Cleaned!$AC$2:$AC$125,1)+COUNTIFS(Cleaned!$C$2:$C$125,5,Cleaned!$AC$2:$AC$125,2)</f>
        <v>75</v>
      </c>
      <c r="C25" s="2" t="n">
        <f aca="false">COUNTIFS(Cleaned!$D$2:$D$125,1,Cleaned!$AC$2:$AC$125,1)+COUNTIFS(Cleaned!$D$2:$D$125,1,Cleaned!$AC$2:$AC$125,2)+COUNTIFS(Cleaned!$D$2:$D$125,2,Cleaned!$AC$2:$AC$125,1)+COUNTIFS(Cleaned!$D$2:$D$125,2,Cleaned!$AC$2:$AC$125,2)+COUNTIFS(Cleaned!$D$2:$D$125,3,Cleaned!$AC$2:$AC$125,1)+COUNTIFS(Cleaned!$D$2:$D$125,3,Cleaned!$AC$2:$AC$125,2)+COUNTIFS(Cleaned!$D$2:$D$125,4,Cleaned!$AC$2:$AC$125,1)+COUNTIFS(Cleaned!$D$2:$D$125,4,Cleaned!$AC$2:$AC$125,2)+COUNTIFS(Cleaned!$D$2:$D$125,5,Cleaned!$AC$2:$AC$125,1)+COUNTIFS(Cleaned!$D$2:$D$125,5,Cleaned!$AC$2:$AC$125,2)+COUNTIFS(Cleaned!$D$2:$D$125,6,Cleaned!$AC$2:$AC$125,1)+COUNTIFS(Cleaned!$D$2:$D$125,6,Cleaned!$AC$2:$AC$125,2)+COUNTIFS(Cleaned!$D$2:$D$125,7,Cleaned!$AC$2:$AC$125,1)+COUNTIFS(Cleaned!$D$2:$D$125,7,Cleaned!$AC$2:$AC$125,2)+COUNTIFS(Cleaned!$D$2:$D$125,8,Cleaned!$AC$2:$AC$125,1)+COUNTIFS(Cleaned!$D$2:$D$125,8,Cleaned!$AC$2:$AC$125,2)+COUNTIFS(Cleaned!$D$2:$D$125,9,Cleaned!$AC$2:$AC$125,1)+COUNTIFS(Cleaned!$D$2:$D$125,9,Cleaned!$AC$2:$AC$125,2)+COUNTIFS(Cleaned!$D$2:$D$125,10,Cleaned!$AC$2:$AC$125,1)+COUNTIFS(Cleaned!$D$2:$D$125,10,Cleaned!$AC$2:$AC$125,2)+COUNTIFS(Cleaned!$D$2:$D$125,11,Cleaned!$AC$2:$AC$125,1)+COUNTIFS(Cleaned!$D$2:$D$125,11,Cleaned!$AC$2:$AC$125,2)+COUNTIFS(Cleaned!$D$2:$D$125,12,Cleaned!$AC$2:$AC$125,1)+COUNTIFS(Cleaned!$D$2:$D$125,12,Cleaned!$AC$2:$AC$125,2)</f>
        <v>75</v>
      </c>
      <c r="D25" s="2" t="str">
        <f aca="false">IF(B25=C25,"OK","FAIL")</f>
        <v>OK</v>
      </c>
    </row>
    <row r="26" customFormat="false" ht="15" hidden="false" customHeight="false" outlineLevel="0" collapsed="false">
      <c r="A26" s="2" t="s">
        <v>989</v>
      </c>
      <c r="B26" s="2" t="n">
        <f aca="false">COUNTIFS(Cleaned!$C$2:$C$125,1,Cleaned!$AE$2:$AE$125,1)+COUNTIFS(Cleaned!$C$2:$C$125,1,Cleaned!$AE$2:$AE$125,2)+COUNTIFS(Cleaned!$C$2:$C$125,1,Cleaned!$AE$2:$AE$125,3)+COUNTIFS(Cleaned!$C$2:$C$125,1,Cleaned!$AE$2:$AE$125,4)+COUNTIFS(Cleaned!$C$2:$C$125,2,Cleaned!$AE$2:$AE$125,1)+COUNTIFS(Cleaned!$C$2:$C$125,2,Cleaned!$AE$2:$AE$125,2)+COUNTIFS(Cleaned!$C$2:$C$125,2,Cleaned!$AE$2:$AE$125,3)+COUNTIFS(Cleaned!$C$2:$C$125,2,Cleaned!$AE$2:$AE$125,4)+COUNTIFS(Cleaned!$C$2:$C$125,3,Cleaned!$AE$2:$AE$125,1)+COUNTIFS(Cleaned!$C$2:$C$125,3,Cleaned!$AE$2:$AE$125,2)+COUNTIFS(Cleaned!$C$2:$C$125,3,Cleaned!$AE$2:$AE$125,3)+COUNTIFS(Cleaned!$C$2:$C$125,3,Cleaned!$AE$2:$AE$125,4)+COUNTIFS(Cleaned!$C$2:$C$125,4,Cleaned!$AE$2:$AE$125,1)+COUNTIFS(Cleaned!$C$2:$C$125,4,Cleaned!$AE$2:$AE$125,2)+COUNTIFS(Cleaned!$C$2:$C$125,4,Cleaned!$AE$2:$AE$125,3)+COUNTIFS(Cleaned!$C$2:$C$125,4,Cleaned!$AE$2:$AE$125,4)+COUNTIFS(Cleaned!$C$2:$C$125,5,Cleaned!$AE$2:$AE$125,1)+COUNTIFS(Cleaned!$C$2:$C$125,5,Cleaned!$AE$2:$AE$125,2)+COUNTIFS(Cleaned!$C$2:$C$125,5,Cleaned!$AE$2:$AE$125,3)+COUNTIFS(Cleaned!$C$2:$C$125,5,Cleaned!$AE$2:$AE$125,4)</f>
        <v>75</v>
      </c>
      <c r="C26" s="2" t="n">
        <f aca="false">COUNTIFS(Cleaned!$D$2:$D$125,1,Cleaned!$AE$2:$AE$125,1)+COUNTIFS(Cleaned!$D$2:$D$125,1,Cleaned!$AE$2:$AE$125,2)+COUNTIFS(Cleaned!$D$2:$D$125,1,Cleaned!$AE$2:$AE$125,3)+COUNTIFS(Cleaned!$D$2:$D$125,1,Cleaned!$AE$2:$AE$125,4)+COUNTIFS(Cleaned!$D$2:$D$125,2,Cleaned!$AE$2:$AE$125,1)+COUNTIFS(Cleaned!$D$2:$D$125,2,Cleaned!$AE$2:$AE$125,2)+COUNTIFS(Cleaned!$D$2:$D$125,2,Cleaned!$AE$2:$AE$125,3)+COUNTIFS(Cleaned!$D$2:$D$125,2,Cleaned!$AE$2:$AE$125,4)+COUNTIFS(Cleaned!$D$2:$D$125,3,Cleaned!$AE$2:$AE$125,1)+COUNTIFS(Cleaned!$D$2:$D$125,3,Cleaned!$AE$2:$AE$125,2)+COUNTIFS(Cleaned!$D$2:$D$125,3,Cleaned!$AE$2:$AE$125,3)+COUNTIFS(Cleaned!$D$2:$D$125,3,Cleaned!$AE$2:$AE$125,4)+COUNTIFS(Cleaned!$D$2:$D$125,4,Cleaned!$AE$2:$AE$125,1)+COUNTIFS(Cleaned!$D$2:$D$125,4,Cleaned!$AE$2:$AE$125,2)+COUNTIFS(Cleaned!$D$2:$D$125,4,Cleaned!$AE$2:$AE$125,3)+COUNTIFS(Cleaned!$D$2:$D$125,4,Cleaned!$AE$2:$AE$125,4)+COUNTIFS(Cleaned!$D$2:$D$125,5,Cleaned!$AE$2:$AE$125,1)+COUNTIFS(Cleaned!$D$2:$D$125,5,Cleaned!$AE$2:$AE$125,2)+COUNTIFS(Cleaned!$D$2:$D$125,5,Cleaned!$AE$2:$AE$125,3)+COUNTIFS(Cleaned!$D$2:$D$125,5,Cleaned!$AE$2:$AE$125,4)+COUNTIFS(Cleaned!$D$2:$D$125,6,Cleaned!$AE$2:$AE$125,1)+COUNTIFS(Cleaned!$D$2:$D$125,6,Cleaned!$AE$2:$AE$125,2)+COUNTIFS(Cleaned!$D$2:$D$125,6,Cleaned!$AE$2:$AE$125,3)+COUNTIFS(Cleaned!$D$2:$D$125,6,Cleaned!$AE$2:$AE$125,4)+COUNTIFS(Cleaned!$D$2:$D$125,7,Cleaned!$AE$2:$AE$125,1)+COUNTIFS(Cleaned!$D$2:$D$125,7,Cleaned!$AE$2:$AE$125,2)+COUNTIFS(Cleaned!$D$2:$D$125,7,Cleaned!$AE$2:$AE$125,3)+COUNTIFS(Cleaned!$D$2:$D$125,7,Cleaned!$AE$2:$AE$125,4)+COUNTIFS(Cleaned!$D$2:$D$125,8,Cleaned!$AE$2:$AE$125,1)+COUNTIFS(Cleaned!$D$2:$D$125,8,Cleaned!$AE$2:$AE$125,2)+COUNTIFS(Cleaned!$D$2:$D$125,8,Cleaned!$AE$2:$AE$125,3)+COUNTIFS(Cleaned!$D$2:$D$125,8,Cleaned!$AE$2:$AE$125,4)+COUNTIFS(Cleaned!$D$2:$D$125,9,Cleaned!$AE$2:$AE$125,1)+COUNTIFS(Cleaned!$D$2:$D$125,9,Cleaned!$AE$2:$AE$125,2)+COUNTIFS(Cleaned!$D$2:$D$125,9,Cleaned!$AE$2:$AE$125,3)+COUNTIFS(Cleaned!$D$2:$D$125,9,Cleaned!$AE$2:$AE$125,4)+COUNTIFS(Cleaned!$D$2:$D$125,10,Cleaned!$AE$2:$AE$125,1)+COUNTIFS(Cleaned!$D$2:$D$125,10,Cleaned!$AE$2:$AE$125,2)+COUNTIFS(Cleaned!$D$2:$D$125,10,Cleaned!$AE$2:$AE$125,3)+COUNTIFS(Cleaned!$D$2:$D$125,10,Cleaned!$AE$2:$AE$125,4)+COUNTIFS(Cleaned!$D$2:$D$125,11,Cleaned!$AE$2:$AE$125,1)+COUNTIFS(Cleaned!$D$2:$D$125,11,Cleaned!$AE$2:$AE$125,2)+COUNTIFS(Cleaned!$D$2:$D$125,11,Cleaned!$AE$2:$AE$125,3)+COUNTIFS(Cleaned!$D$2:$D$125,11,Cleaned!$AE$2:$AE$125,4)+COUNTIFS(Cleaned!$D$2:$D$125,12,Cleaned!$AE$2:$AE$125,1)+COUNTIFS(Cleaned!$D$2:$D$125,12,Cleaned!$AE$2:$AE$125,2)+COUNTIFS(Cleaned!$D$2:$D$125,12,Cleaned!$AE$2:$AE$125,3)+COUNTIFS(Cleaned!$D$2:$D$125,12,Cleaned!$AE$2:$AE$125,4)</f>
        <v>75</v>
      </c>
      <c r="D26" s="2" t="str">
        <f aca="false">IF(B26=C26,"OK","FAIL")</f>
        <v>OK</v>
      </c>
    </row>
    <row r="27" customFormat="false" ht="15" hidden="false" customHeight="false" outlineLevel="0" collapsed="false">
      <c r="A27" s="2" t="s">
        <v>990</v>
      </c>
      <c r="B27" s="2" t="n">
        <f aca="false">COUNTIFS(Cleaned!$C$2:$C$125,1,Cleaned!$AF$2:$AF$125,1)+COUNTIFS(Cleaned!$C$2:$C$125,1,Cleaned!$AF$2:$AF$125,2)+COUNTIFS(Cleaned!$C$2:$C$125,1,Cleaned!$AF$2:$AF$125,3)+COUNTIFS(Cleaned!$C$2:$C$125,2,Cleaned!$AF$2:$AF$125,1)+COUNTIFS(Cleaned!$C$2:$C$125,2,Cleaned!$AF$2:$AF$125,2)+COUNTIFS(Cleaned!$C$2:$C$125,2,Cleaned!$AF$2:$AF$125,3)+COUNTIFS(Cleaned!$C$2:$C$125,3,Cleaned!$AF$2:$AF$125,1)+COUNTIFS(Cleaned!$C$2:$C$125,3,Cleaned!$AF$2:$AF$125,2)+COUNTIFS(Cleaned!$C$2:$C$125,3,Cleaned!$AF$2:$AF$125,3)+COUNTIFS(Cleaned!$C$2:$C$125,4,Cleaned!$AF$2:$AF$125,1)+COUNTIFS(Cleaned!$C$2:$C$125,4,Cleaned!$AF$2:$AF$125,2)+COUNTIFS(Cleaned!$C$2:$C$125,4,Cleaned!$AF$2:$AF$125,3)+COUNTIFS(Cleaned!$C$2:$C$125,5,Cleaned!$AF$2:$AF$125,1)+COUNTIFS(Cleaned!$C$2:$C$125,5,Cleaned!$AF$2:$AF$125,2)+COUNTIFS(Cleaned!$C$2:$C$125,5,Cleaned!$AF$2:$AF$125,3)</f>
        <v>64</v>
      </c>
      <c r="C27" s="2" t="n">
        <f aca="false">COUNTIFS(Cleaned!$D$2:$D$125,1,Cleaned!$AF$2:$AF$125,1)+COUNTIFS(Cleaned!$D$2:$D$125,1,Cleaned!$AF$2:$AF$125,2)+COUNTIFS(Cleaned!$D$2:$D$125,1,Cleaned!$AF$2:$AF$125,3)+COUNTIFS(Cleaned!$D$2:$D$125,2,Cleaned!$AF$2:$AF$125,1)+COUNTIFS(Cleaned!$D$2:$D$125,2,Cleaned!$AF$2:$AF$125,2)+COUNTIFS(Cleaned!$D$2:$D$125,2,Cleaned!$AF$2:$AF$125,3)+COUNTIFS(Cleaned!$D$2:$D$125,3,Cleaned!$AF$2:$AF$125,1)+COUNTIFS(Cleaned!$D$2:$D$125,3,Cleaned!$AF$2:$AF$125,2)+COUNTIFS(Cleaned!$D$2:$D$125,3,Cleaned!$AF$2:$AF$125,3)+COUNTIFS(Cleaned!$D$2:$D$125,4,Cleaned!$AF$2:$AF$125,1)+COUNTIFS(Cleaned!$D$2:$D$125,4,Cleaned!$AF$2:$AF$125,2)+COUNTIFS(Cleaned!$D$2:$D$125,4,Cleaned!$AF$2:$AF$125,3)+COUNTIFS(Cleaned!$D$2:$D$125,5,Cleaned!$AF$2:$AF$125,1)+COUNTIFS(Cleaned!$D$2:$D$125,5,Cleaned!$AF$2:$AF$125,2)+COUNTIFS(Cleaned!$D$2:$D$125,5,Cleaned!$AF$2:$AF$125,3)+COUNTIFS(Cleaned!$D$2:$D$125,6,Cleaned!$AF$2:$AF$125,1)+COUNTIFS(Cleaned!$D$2:$D$125,6,Cleaned!$AF$2:$AF$125,2)+COUNTIFS(Cleaned!$D$2:$D$125,6,Cleaned!$AF$2:$AF$125,3)+COUNTIFS(Cleaned!$D$2:$D$125,7,Cleaned!$AF$2:$AF$125,1)+COUNTIFS(Cleaned!$D$2:$D$125,7,Cleaned!$AF$2:$AF$125,2)+COUNTIFS(Cleaned!$D$2:$D$125,7,Cleaned!$AF$2:$AF$125,3)+COUNTIFS(Cleaned!$D$2:$D$125,8,Cleaned!$AF$2:$AF$125,1)+COUNTIFS(Cleaned!$D$2:$D$125,8,Cleaned!$AF$2:$AF$125,2)+COUNTIFS(Cleaned!$D$2:$D$125,8,Cleaned!$AF$2:$AF$125,3)+COUNTIFS(Cleaned!$D$2:$D$125,9,Cleaned!$AF$2:$AF$125,1)+COUNTIFS(Cleaned!$D$2:$D$125,9,Cleaned!$AF$2:$AF$125,2)+COUNTIFS(Cleaned!$D$2:$D$125,9,Cleaned!$AF$2:$AF$125,3)+COUNTIFS(Cleaned!$D$2:$D$125,10,Cleaned!$AF$2:$AF$125,1)+COUNTIFS(Cleaned!$D$2:$D$125,10,Cleaned!$AF$2:$AF$125,2)+COUNTIFS(Cleaned!$D$2:$D$125,10,Cleaned!$AF$2:$AF$125,3)+COUNTIFS(Cleaned!$D$2:$D$125,11,Cleaned!$AF$2:$AF$125,1)+COUNTIFS(Cleaned!$D$2:$D$125,11,Cleaned!$AF$2:$AF$125,2)+COUNTIFS(Cleaned!$D$2:$D$125,11,Cleaned!$AF$2:$AF$125,3)+COUNTIFS(Cleaned!$D$2:$D$125,12,Cleaned!$AF$2:$AF$125,1)+COUNTIFS(Cleaned!$D$2:$D$125,12,Cleaned!$AF$2:$AF$125,2)+COUNTIFS(Cleaned!$D$2:$D$125,12,Cleaned!$AF$2:$AF$125,3)</f>
        <v>64</v>
      </c>
      <c r="D27" s="2" t="str">
        <f aca="false">IF(B27=C27,"OK","FAIL")</f>
        <v>OK</v>
      </c>
    </row>
    <row r="28" customFormat="false" ht="15" hidden="false" customHeight="false" outlineLevel="0" collapsed="false">
      <c r="A28" s="2" t="s">
        <v>991</v>
      </c>
      <c r="B28" s="2" t="n">
        <f aca="false">COUNTIFS(Cleaned!$C$2:$C$125,1,Cleaned!$AM$2:$AM$125,1)+COUNTIFS(Cleaned!$C$2:$C$125,2,Cleaned!$AM$2:$AM$125,1)+COUNTIFS(Cleaned!$C$2:$C$125,3,Cleaned!$AM$2:$AM$125,1)+COUNTIFS(Cleaned!$C$2:$C$125,4,Cleaned!$AM$2:$AM$125,1)+COUNTIFS(Cleaned!$C$2:$C$125,5,Cleaned!$AM$2:$AM$125,1)</f>
        <v>19</v>
      </c>
      <c r="C28" s="2" t="n">
        <f aca="false">COUNTIFS(Cleaned!$D$2:$D$125,1,Cleaned!$AM$2:$AM$125,1)+COUNTIFS(Cleaned!$D$2:$D$125,2,Cleaned!$AM$2:$AM$125,1)+COUNTIFS(Cleaned!$D$2:$D$125,3,Cleaned!$AM$2:$AM$125,1)+COUNTIFS(Cleaned!$D$2:$D$125,4,Cleaned!$AM$2:$AM$125,1)+COUNTIFS(Cleaned!$D$2:$D$125,5,Cleaned!$AM$2:$AM$125,1)+COUNTIFS(Cleaned!$D$2:$D$125,6,Cleaned!$AM$2:$AM$125,1)+COUNTIFS(Cleaned!$D$2:$D$125,7,Cleaned!$AM$2:$AM$125,1)+COUNTIFS(Cleaned!$D$2:$D$125,8,Cleaned!$AM$2:$AM$125,1)+COUNTIFS(Cleaned!$D$2:$D$125,9,Cleaned!$AM$2:$AM$125,1)+COUNTIFS(Cleaned!$D$2:$D$125,10,Cleaned!$AM$2:$AM$125,1)+COUNTIFS(Cleaned!$D$2:$D$125,11,Cleaned!$AM$2:$AM$125,1)+COUNTIFS(Cleaned!$D$2:$D$125,12,Cleaned!$AM$2:$AM$125,1)</f>
        <v>19</v>
      </c>
      <c r="D28" s="2" t="str">
        <f aca="false">IF(B28=C28,"OK","FAIL")</f>
        <v>OK</v>
      </c>
    </row>
    <row r="29" customFormat="false" ht="15" hidden="false" customHeight="false" outlineLevel="0" collapsed="false">
      <c r="A29" s="2" t="s">
        <v>991</v>
      </c>
      <c r="B29" s="2" t="n">
        <f aca="false">COUNTIFS(Cleaned!$C$2:$C$125,1,Cleaned!$AN$2:$AN$125,1)+COUNTIFS(Cleaned!$C$2:$C$125,2,Cleaned!$AN$2:$AN$125,1)+COUNTIFS(Cleaned!$C$2:$C$125,3,Cleaned!$AN$2:$AN$125,1)+COUNTIFS(Cleaned!$C$2:$C$125,4,Cleaned!$AN$2:$AN$125,1)+COUNTIFS(Cleaned!$C$2:$C$125,5,Cleaned!$AN$2:$AN$125,1)</f>
        <v>22</v>
      </c>
      <c r="C29" s="2" t="n">
        <f aca="false">COUNTIFS(Cleaned!$D$2:$D$125,1,Cleaned!$AN$2:$AN$125,1)+COUNTIFS(Cleaned!$D$2:$D$125,2,Cleaned!$AN$2:$AN$125,1)+COUNTIFS(Cleaned!$D$2:$D$125,3,Cleaned!$AN$2:$AN$125,1)+COUNTIFS(Cleaned!$D$2:$D$125,4,Cleaned!$AN$2:$AN$125,1)+COUNTIFS(Cleaned!$D$2:$D$125,5,Cleaned!$AN$2:$AN$125,1)+COUNTIFS(Cleaned!$D$2:$D$125,6,Cleaned!$AN$2:$AN$125,1)+COUNTIFS(Cleaned!$D$2:$D$125,7,Cleaned!$AN$2:$AN$125,1)+COUNTIFS(Cleaned!$D$2:$D$125,8,Cleaned!$AN$2:$AN$125,1)+COUNTIFS(Cleaned!$D$2:$D$125,9,Cleaned!$AN$2:$AN$125,1)+COUNTIFS(Cleaned!$D$2:$D$125,10,Cleaned!$AN$2:$AN$125,1)+COUNTIFS(Cleaned!$D$2:$D$125,11,Cleaned!$AN$2:$AN$125,1)+COUNTIFS(Cleaned!$D$2:$D$125,12,Cleaned!$AN$2:$AN$125,1)</f>
        <v>22</v>
      </c>
      <c r="D29" s="2" t="str">
        <f aca="false">IF(B29=C29,"OK","FAIL")</f>
        <v>OK</v>
      </c>
    </row>
    <row r="30" customFormat="false" ht="15" hidden="false" customHeight="false" outlineLevel="0" collapsed="false">
      <c r="A30" s="2" t="s">
        <v>991</v>
      </c>
      <c r="B30" s="2" t="n">
        <f aca="false">COUNTIFS(Cleaned!$C$2:$C$125,1,Cleaned!$AO$2:$AO$125,1)+COUNTIFS(Cleaned!$C$2:$C$125,2,Cleaned!$AO$2:$AO$125,1)+COUNTIFS(Cleaned!$C$2:$C$125,3,Cleaned!$AO$2:$AO$125,1)+COUNTIFS(Cleaned!$C$2:$C$125,4,Cleaned!$AO$2:$AO$125,1)+COUNTIFS(Cleaned!$C$2:$C$125,5,Cleaned!$AO$2:$AO$125,1)</f>
        <v>36</v>
      </c>
      <c r="C30" s="2" t="n">
        <f aca="false">COUNTIFS(Cleaned!$D$2:$D$125,1,Cleaned!$AO$2:$AO$125,1)+COUNTIFS(Cleaned!$D$2:$D$125,2,Cleaned!$AO$2:$AO$125,1)+COUNTIFS(Cleaned!$D$2:$D$125,3,Cleaned!$AO$2:$AO$125,1)+COUNTIFS(Cleaned!$D$2:$D$125,4,Cleaned!$AO$2:$AO$125,1)+COUNTIFS(Cleaned!$D$2:$D$125,5,Cleaned!$AO$2:$AO$125,1)+COUNTIFS(Cleaned!$D$2:$D$125,6,Cleaned!$AO$2:$AO$125,1)+COUNTIFS(Cleaned!$D$2:$D$125,7,Cleaned!$AO$2:$AO$125,1)+COUNTIFS(Cleaned!$D$2:$D$125,8,Cleaned!$AO$2:$AO$125,1)+COUNTIFS(Cleaned!$D$2:$D$125,9,Cleaned!$AO$2:$AO$125,1)+COUNTIFS(Cleaned!$D$2:$D$125,10,Cleaned!$AO$2:$AO$125,1)+COUNTIFS(Cleaned!$D$2:$D$125,11,Cleaned!$AO$2:$AO$125,1)+COUNTIFS(Cleaned!$D$2:$D$125,12,Cleaned!$AO$2:$AO$125,1)</f>
        <v>36</v>
      </c>
      <c r="D30" s="2" t="str">
        <f aca="false">IF(B30=C30,"OK","FAIL")</f>
        <v>OK</v>
      </c>
    </row>
    <row r="31" customFormat="false" ht="15" hidden="false" customHeight="false" outlineLevel="0" collapsed="false">
      <c r="A31" s="2" t="s">
        <v>992</v>
      </c>
      <c r="B31" s="2" t="n">
        <f aca="false">COUNTIFS(Cleaned!$C$2:$C$125,1,Cleaned!$AP$2:$AP$125,1)+COUNTIFS(Cleaned!$C$2:$C$125,1,Cleaned!$AP$2:$AP$125,2)+COUNTIFS(Cleaned!$C$2:$C$125,2,Cleaned!$AP$2:$AP$125,1)+COUNTIFS(Cleaned!$C$2:$C$125,2,Cleaned!$AP$2:$AP$125,2)+COUNTIFS(Cleaned!$C$2:$C$125,3,Cleaned!$AP$2:$AP$125,1)+COUNTIFS(Cleaned!$C$2:$C$125,3,Cleaned!$AP$2:$AP$125,2)+COUNTIFS(Cleaned!$C$2:$C$125,4,Cleaned!$AP$2:$AP$125,1)+COUNTIFS(Cleaned!$C$2:$C$125,4,Cleaned!$AP$2:$AP$125,2)+COUNTIFS(Cleaned!$C$2:$C$125,5,Cleaned!$AP$2:$AP$125,1)+COUNTIFS(Cleaned!$C$2:$C$125,5,Cleaned!$AP$2:$AP$125,2)</f>
        <v>56</v>
      </c>
      <c r="C31" s="2" t="n">
        <f aca="false">COUNTIFS(Cleaned!$D$2:$D$125,1,Cleaned!$AP$2:$AP$125,1)+COUNTIFS(Cleaned!$D$2:$D$125,1,Cleaned!$AP$2:$AP$125,2)+COUNTIFS(Cleaned!$D$2:$D$125,2,Cleaned!$AP$2:$AP$125,1)+COUNTIFS(Cleaned!$D$2:$D$125,2,Cleaned!$AP$2:$AP$125,2)+COUNTIFS(Cleaned!$D$2:$D$125,3,Cleaned!$AP$2:$AP$125,1)+COUNTIFS(Cleaned!$D$2:$D$125,3,Cleaned!$AP$2:$AP$125,2)+COUNTIFS(Cleaned!$D$2:$D$125,4,Cleaned!$AP$2:$AP$125,1)+COUNTIFS(Cleaned!$D$2:$D$125,4,Cleaned!$AP$2:$AP$125,2)+COUNTIFS(Cleaned!$D$2:$D$125,5,Cleaned!$AP$2:$AP$125,1)+COUNTIFS(Cleaned!$D$2:$D$125,5,Cleaned!$AP$2:$AP$125,2)+COUNTIFS(Cleaned!$D$2:$D$125,6,Cleaned!$AP$2:$AP$125,1)+COUNTIFS(Cleaned!$D$2:$D$125,6,Cleaned!$AP$2:$AP$125,2)+COUNTIFS(Cleaned!$D$2:$D$125,7,Cleaned!$AP$2:$AP$125,1)+COUNTIFS(Cleaned!$D$2:$D$125,7,Cleaned!$AP$2:$AP$125,2)+COUNTIFS(Cleaned!$D$2:$D$125,8,Cleaned!$AP$2:$AP$125,1)+COUNTIFS(Cleaned!$D$2:$D$125,8,Cleaned!$AP$2:$AP$125,2)+COUNTIFS(Cleaned!$D$2:$D$125,9,Cleaned!$AP$2:$AP$125,1)+COUNTIFS(Cleaned!$D$2:$D$125,9,Cleaned!$AP$2:$AP$125,2)+COUNTIFS(Cleaned!$D$2:$D$125,10,Cleaned!$AP$2:$AP$125,1)+COUNTIFS(Cleaned!$D$2:$D$125,10,Cleaned!$AP$2:$AP$125,2)+COUNTIFS(Cleaned!$D$2:$D$125,11,Cleaned!$AP$2:$AP$125,1)+COUNTIFS(Cleaned!$D$2:$D$125,11,Cleaned!$AP$2:$AP$125,2)+COUNTIFS(Cleaned!$D$2:$D$125,12,Cleaned!$AP$2:$AP$125,1)+COUNTIFS(Cleaned!$D$2:$D$125,12,Cleaned!$AP$2:$AP$125,2)</f>
        <v>56</v>
      </c>
      <c r="D31" s="2" t="str">
        <f aca="false">IF(B31=C31,"OK","FAIL")</f>
        <v>OK</v>
      </c>
    </row>
    <row r="32" customFormat="false" ht="15" hidden="false" customHeight="false" outlineLevel="0" collapsed="false">
      <c r="A32" s="2" t="s">
        <v>992</v>
      </c>
      <c r="B32" s="2" t="n">
        <f aca="false">COUNTIFS(Cleaned!$C$2:$C$125,1,Cleaned!$AQ$2:$AQ$125,1)+COUNTIFS(Cleaned!$C$2:$C$125,1,Cleaned!$AQ$2:$AQ$125,2)+COUNTIFS(Cleaned!$C$2:$C$125,2,Cleaned!$AQ$2:$AQ$125,1)+COUNTIFS(Cleaned!$C$2:$C$125,2,Cleaned!$AQ$2:$AQ$125,2)+COUNTIFS(Cleaned!$C$2:$C$125,3,Cleaned!$AQ$2:$AQ$125,1)+COUNTIFS(Cleaned!$C$2:$C$125,3,Cleaned!$AQ$2:$AQ$125,2)+COUNTIFS(Cleaned!$C$2:$C$125,4,Cleaned!$AQ$2:$AQ$125,1)+COUNTIFS(Cleaned!$C$2:$C$125,4,Cleaned!$AQ$2:$AQ$125,2)+COUNTIFS(Cleaned!$C$2:$C$125,5,Cleaned!$AQ$2:$AQ$125,1)+COUNTIFS(Cleaned!$C$2:$C$125,5,Cleaned!$AQ$2:$AQ$125,2)</f>
        <v>46</v>
      </c>
      <c r="C32" s="2" t="n">
        <f aca="false">COUNTIFS(Cleaned!$D$2:$D$125,1,Cleaned!$AQ$2:$AQ$125,1)+COUNTIFS(Cleaned!$D$2:$D$125,1,Cleaned!$AQ$2:$AQ$125,2)+COUNTIFS(Cleaned!$D$2:$D$125,2,Cleaned!$AQ$2:$AQ$125,1)+COUNTIFS(Cleaned!$D$2:$D$125,2,Cleaned!$AQ$2:$AQ$125,2)+COUNTIFS(Cleaned!$D$2:$D$125,3,Cleaned!$AQ$2:$AQ$125,1)+COUNTIFS(Cleaned!$D$2:$D$125,3,Cleaned!$AQ$2:$AQ$125,2)+COUNTIFS(Cleaned!$D$2:$D$125,4,Cleaned!$AQ$2:$AQ$125,1)+COUNTIFS(Cleaned!$D$2:$D$125,4,Cleaned!$AQ$2:$AQ$125,2)+COUNTIFS(Cleaned!$D$2:$D$125,5,Cleaned!$AQ$2:$AQ$125,1)+COUNTIFS(Cleaned!$D$2:$D$125,5,Cleaned!$AQ$2:$AQ$125,2)+COUNTIFS(Cleaned!$D$2:$D$125,6,Cleaned!$AQ$2:$AQ$125,1)+COUNTIFS(Cleaned!$D$2:$D$125,6,Cleaned!$AQ$2:$AQ$125,2)+COUNTIFS(Cleaned!$D$2:$D$125,7,Cleaned!$AQ$2:$AQ$125,1)+COUNTIFS(Cleaned!$D$2:$D$125,7,Cleaned!$AQ$2:$AQ$125,2)+COUNTIFS(Cleaned!$D$2:$D$125,8,Cleaned!$AQ$2:$AQ$125,1)+COUNTIFS(Cleaned!$D$2:$D$125,8,Cleaned!$AQ$2:$AQ$125,2)+COUNTIFS(Cleaned!$D$2:$D$125,9,Cleaned!$AQ$2:$AQ$125,1)+COUNTIFS(Cleaned!$D$2:$D$125,9,Cleaned!$AQ$2:$AQ$125,2)+COUNTIFS(Cleaned!$D$2:$D$125,10,Cleaned!$AQ$2:$AQ$125,1)+COUNTIFS(Cleaned!$D$2:$D$125,10,Cleaned!$AQ$2:$AQ$125,2)+COUNTIFS(Cleaned!$D$2:$D$125,11,Cleaned!$AQ$2:$AQ$125,1)+COUNTIFS(Cleaned!$D$2:$D$125,11,Cleaned!$AQ$2:$AQ$125,2)+COUNTIFS(Cleaned!$D$2:$D$125,12,Cleaned!$AQ$2:$AQ$125,1)+COUNTIFS(Cleaned!$D$2:$D$125,12,Cleaned!$AQ$2:$AQ$125,2)</f>
        <v>46</v>
      </c>
      <c r="D32" s="2" t="str">
        <f aca="false">IF(B32=C32,"OK","FAIL")</f>
        <v>OK</v>
      </c>
    </row>
    <row r="33" customFormat="false" ht="15" hidden="false" customHeight="false" outlineLevel="0" collapsed="false">
      <c r="A33" s="2" t="s">
        <v>992</v>
      </c>
      <c r="B33" s="2" t="n">
        <f aca="false">COUNTIFS(Cleaned!$C$2:$C$125,1,Cleaned!$AR$2:$AR$125,1)+COUNTIFS(Cleaned!$C$2:$C$125,1,Cleaned!$AR$2:$AR$125,2)+COUNTIFS(Cleaned!$C$2:$C$125,2,Cleaned!$AR$2:$AR$125,1)+COUNTIFS(Cleaned!$C$2:$C$125,2,Cleaned!$AR$2:$AR$125,2)+COUNTIFS(Cleaned!$C$2:$C$125,3,Cleaned!$AR$2:$AR$125,1)+COUNTIFS(Cleaned!$C$2:$C$125,3,Cleaned!$AR$2:$AR$125,2)+COUNTIFS(Cleaned!$C$2:$C$125,4,Cleaned!$AR$2:$AR$125,1)+COUNTIFS(Cleaned!$C$2:$C$125,4,Cleaned!$AR$2:$AR$125,2)+COUNTIFS(Cleaned!$C$2:$C$125,5,Cleaned!$AR$2:$AR$125,1)+COUNTIFS(Cleaned!$C$2:$C$125,5,Cleaned!$AR$2:$AR$125,2)</f>
        <v>39</v>
      </c>
      <c r="C33" s="2" t="n">
        <f aca="false">COUNTIFS(Cleaned!$D$2:$D$125,1,Cleaned!$AR$2:$AR$125,1)+COUNTIFS(Cleaned!$D$2:$D$125,1,Cleaned!$AR$2:$AR$125,2)+COUNTIFS(Cleaned!$D$2:$D$125,2,Cleaned!$AR$2:$AR$125,1)+COUNTIFS(Cleaned!$D$2:$D$125,2,Cleaned!$AR$2:$AR$125,2)+COUNTIFS(Cleaned!$D$2:$D$125,3,Cleaned!$AR$2:$AR$125,1)+COUNTIFS(Cleaned!$D$2:$D$125,3,Cleaned!$AR$2:$AR$125,2)+COUNTIFS(Cleaned!$D$2:$D$125,4,Cleaned!$AR$2:$AR$125,1)+COUNTIFS(Cleaned!$D$2:$D$125,4,Cleaned!$AR$2:$AR$125,2)+COUNTIFS(Cleaned!$D$2:$D$125,5,Cleaned!$AR$2:$AR$125,1)+COUNTIFS(Cleaned!$D$2:$D$125,5,Cleaned!$AR$2:$AR$125,2)+COUNTIFS(Cleaned!$D$2:$D$125,6,Cleaned!$AR$2:$AR$125,1)+COUNTIFS(Cleaned!$D$2:$D$125,6,Cleaned!$AR$2:$AR$125,2)+COUNTIFS(Cleaned!$D$2:$D$125,7,Cleaned!$AR$2:$AR$125,1)+COUNTIFS(Cleaned!$D$2:$D$125,7,Cleaned!$AR$2:$AR$125,2)+COUNTIFS(Cleaned!$D$2:$D$125,8,Cleaned!$AR$2:$AR$125,1)+COUNTIFS(Cleaned!$D$2:$D$125,8,Cleaned!$AR$2:$AR$125,2)+COUNTIFS(Cleaned!$D$2:$D$125,9,Cleaned!$AR$2:$AR$125,1)+COUNTIFS(Cleaned!$D$2:$D$125,9,Cleaned!$AR$2:$AR$125,2)+COUNTIFS(Cleaned!$D$2:$D$125,10,Cleaned!$AR$2:$AR$125,1)+COUNTIFS(Cleaned!$D$2:$D$125,10,Cleaned!$AR$2:$AR$125,2)+COUNTIFS(Cleaned!$D$2:$D$125,11,Cleaned!$AR$2:$AR$125,1)+COUNTIFS(Cleaned!$D$2:$D$125,11,Cleaned!$AR$2:$AR$125,2)+COUNTIFS(Cleaned!$D$2:$D$125,12,Cleaned!$AR$2:$AR$125,1)+COUNTIFS(Cleaned!$D$2:$D$125,12,Cleaned!$AR$2:$AR$125,2)</f>
        <v>39</v>
      </c>
      <c r="D33" s="2" t="str">
        <f aca="false">IF(B33=C33,"OK","FAIL")</f>
        <v>OK</v>
      </c>
    </row>
    <row r="34" customFormat="false" ht="15" hidden="false" customHeight="false" outlineLevel="0" collapsed="false">
      <c r="A34" s="2" t="s">
        <v>993</v>
      </c>
      <c r="B34" s="2" t="n">
        <f aca="false">COUNTIFS(Cleaned!$C$2:$C$125,1,Cleaned!$AY$2:$AY$125,1)+COUNTIFS(Cleaned!$C$2:$C$125,1,Cleaned!$AY$2:$AY$125,2)+COUNTIFS(Cleaned!$C$2:$C$125,2,Cleaned!$AY$2:$AY$125,1)+COUNTIFS(Cleaned!$C$2:$C$125,2,Cleaned!$AY$2:$AY$125,2)+COUNTIFS(Cleaned!$C$2:$C$125,3,Cleaned!$AY$2:$AY$125,1)+COUNTIFS(Cleaned!$C$2:$C$125,3,Cleaned!$AY$2:$AY$125,2)+COUNTIFS(Cleaned!$C$2:$C$125,4,Cleaned!$AY$2:$AY$125,1)+COUNTIFS(Cleaned!$C$2:$C$125,4,Cleaned!$AY$2:$AY$125,2)+COUNTIFS(Cleaned!$C$2:$C$125,5,Cleaned!$AY$2:$AY$125,1)+COUNTIFS(Cleaned!$C$2:$C$125,5,Cleaned!$AY$2:$AY$125,2)</f>
        <v>64</v>
      </c>
      <c r="C34" s="2" t="n">
        <f aca="false">COUNTIFS(Cleaned!$D$2:$D$125,1,Cleaned!$AY$2:$AY$125,1)+COUNTIFS(Cleaned!$D$2:$D$125,1,Cleaned!$AY$2:$AY$125,2)+COUNTIFS(Cleaned!$D$2:$D$125,2,Cleaned!$AY$2:$AY$125,1)+COUNTIFS(Cleaned!$D$2:$D$125,2,Cleaned!$AY$2:$AY$125,2)+COUNTIFS(Cleaned!$D$2:$D$125,3,Cleaned!$AY$2:$AY$125,1)+COUNTIFS(Cleaned!$D$2:$D$125,3,Cleaned!$AY$2:$AY$125,2)+COUNTIFS(Cleaned!$D$2:$D$125,4,Cleaned!$AY$2:$AY$125,1)+COUNTIFS(Cleaned!$D$2:$D$125,4,Cleaned!$AY$2:$AY$125,2)+COUNTIFS(Cleaned!$D$2:$D$125,5,Cleaned!$AY$2:$AY$125,1)+COUNTIFS(Cleaned!$D$2:$D$125,5,Cleaned!$AY$2:$AY$125,2)+COUNTIFS(Cleaned!$D$2:$D$125,6,Cleaned!$AY$2:$AY$125,1)+COUNTIFS(Cleaned!$D$2:$D$125,6,Cleaned!$AY$2:$AY$125,2)+COUNTIFS(Cleaned!$D$2:$D$125,7,Cleaned!$AY$2:$AY$125,1)+COUNTIFS(Cleaned!$D$2:$D$125,7,Cleaned!$AY$2:$AY$125,2)+COUNTIFS(Cleaned!$D$2:$D$125,8,Cleaned!$AY$2:$AY$125,1)+COUNTIFS(Cleaned!$D$2:$D$125,8,Cleaned!$AY$2:$AY$125,2)+COUNTIFS(Cleaned!$D$2:$D$125,9,Cleaned!$AY$2:$AY$125,1)+COUNTIFS(Cleaned!$D$2:$D$125,9,Cleaned!$AY$2:$AY$125,2)+COUNTIFS(Cleaned!$D$2:$D$125,10,Cleaned!$AY$2:$AY$125,1)+COUNTIFS(Cleaned!$D$2:$D$125,10,Cleaned!$AY$2:$AY$125,2)+COUNTIFS(Cleaned!$D$2:$D$125,11,Cleaned!$AY$2:$AY$125,1)+COUNTIFS(Cleaned!$D$2:$D$125,11,Cleaned!$AY$2:$AY$125,2)+COUNTIFS(Cleaned!$D$2:$D$125,12,Cleaned!$AY$2:$AY$125,1)+COUNTIFS(Cleaned!$D$2:$D$125,12,Cleaned!$AY$2:$AY$125,2)</f>
        <v>64</v>
      </c>
      <c r="D34" s="2" t="str">
        <f aca="false">IF(B34=C34,"OK","FAIL")</f>
        <v>OK</v>
      </c>
    </row>
    <row r="35" customFormat="false" ht="15" hidden="false" customHeight="false" outlineLevel="0" collapsed="false">
      <c r="A35" s="2" t="s">
        <v>994</v>
      </c>
      <c r="B35" s="2" t="n">
        <f aca="false">COUNTIFS(Cleaned!$C$2:$C$125,1,Cleaned!$AZ$2:$AZ$125,1)+COUNTIFS(Cleaned!$C$2:$C$125,1,Cleaned!$AZ$2:$AZ$125,2)+COUNTIFS(Cleaned!$C$2:$C$125,1,Cleaned!$AZ$2:$AZ$125,3)+COUNTIFS(Cleaned!$C$2:$C$125,1,Cleaned!$AZ$2:$AZ$125,4)+COUNTIFS(Cleaned!$C$2:$C$125,2,Cleaned!$AZ$2:$AZ$125,1)+COUNTIFS(Cleaned!$C$2:$C$125,2,Cleaned!$AZ$2:$AZ$125,2)+COUNTIFS(Cleaned!$C$2:$C$125,2,Cleaned!$AZ$2:$AZ$125,3)+COUNTIFS(Cleaned!$C$2:$C$125,2,Cleaned!$AZ$2:$AZ$125,4)+COUNTIFS(Cleaned!$C$2:$C$125,3,Cleaned!$AZ$2:$AZ$125,1)+COUNTIFS(Cleaned!$C$2:$C$125,3,Cleaned!$AZ$2:$AZ$125,2)+COUNTIFS(Cleaned!$C$2:$C$125,3,Cleaned!$AZ$2:$AZ$125,3)+COUNTIFS(Cleaned!$C$2:$C$125,3,Cleaned!$AZ$2:$AZ$125,4)+COUNTIFS(Cleaned!$C$2:$C$125,4,Cleaned!$AZ$2:$AZ$125,1)+COUNTIFS(Cleaned!$C$2:$C$125,4,Cleaned!$AZ$2:$AZ$125,2)+COUNTIFS(Cleaned!$C$2:$C$125,4,Cleaned!$AZ$2:$AZ$125,3)+COUNTIFS(Cleaned!$C$2:$C$125,4,Cleaned!$AZ$2:$AZ$125,4)+COUNTIFS(Cleaned!$C$2:$C$125,5,Cleaned!$AZ$2:$AZ$125,1)+COUNTIFS(Cleaned!$C$2:$C$125,5,Cleaned!$AZ$2:$AZ$125,2)+COUNTIFS(Cleaned!$C$2:$C$125,5,Cleaned!$AZ$2:$AZ$125,3)+COUNTIFS(Cleaned!$C$2:$C$125,5,Cleaned!$AZ$2:$AZ$125,4)</f>
        <v>65</v>
      </c>
      <c r="C35" s="2" t="n">
        <f aca="false">COUNTIFS(Cleaned!$D$2:$D$125,1,Cleaned!$AZ$2:$AZ$125,1)+COUNTIFS(Cleaned!$D$2:$D$125,1,Cleaned!$AZ$2:$AZ$125,2)+COUNTIFS(Cleaned!$D$2:$D$125,1,Cleaned!$AZ$2:$AZ$125,3)+COUNTIFS(Cleaned!$D$2:$D$125,1,Cleaned!$AZ$2:$AZ$125,4)+COUNTIFS(Cleaned!$D$2:$D$125,2,Cleaned!$AZ$2:$AZ$125,1)+COUNTIFS(Cleaned!$D$2:$D$125,2,Cleaned!$AZ$2:$AZ$125,2)+COUNTIFS(Cleaned!$D$2:$D$125,2,Cleaned!$AZ$2:$AZ$125,3)+COUNTIFS(Cleaned!$D$2:$D$125,2,Cleaned!$AZ$2:$AZ$125,4)+COUNTIFS(Cleaned!$D$2:$D$125,3,Cleaned!$AZ$2:$AZ$125,1)+COUNTIFS(Cleaned!$D$2:$D$125,3,Cleaned!$AZ$2:$AZ$125,2)+COUNTIFS(Cleaned!$D$2:$D$125,3,Cleaned!$AZ$2:$AZ$125,3)+COUNTIFS(Cleaned!$D$2:$D$125,3,Cleaned!$AZ$2:$AZ$125,4)+COUNTIFS(Cleaned!$D$2:$D$125,4,Cleaned!$AZ$2:$AZ$125,1)+COUNTIFS(Cleaned!$D$2:$D$125,4,Cleaned!$AZ$2:$AZ$125,2)+COUNTIFS(Cleaned!$D$2:$D$125,4,Cleaned!$AZ$2:$AZ$125,3)+COUNTIFS(Cleaned!$D$2:$D$125,4,Cleaned!$AZ$2:$AZ$125,4)+COUNTIFS(Cleaned!$D$2:$D$125,5,Cleaned!$AZ$2:$AZ$125,1)+COUNTIFS(Cleaned!$D$2:$D$125,5,Cleaned!$AZ$2:$AZ$125,2)+COUNTIFS(Cleaned!$D$2:$D$125,5,Cleaned!$AZ$2:$AZ$125,3)+COUNTIFS(Cleaned!$D$2:$D$125,5,Cleaned!$AZ$2:$AZ$125,4)+COUNTIFS(Cleaned!$D$2:$D$125,6,Cleaned!$AZ$2:$AZ$125,1)+COUNTIFS(Cleaned!$D$2:$D$125,6,Cleaned!$AZ$2:$AZ$125,2)+COUNTIFS(Cleaned!$D$2:$D$125,6,Cleaned!$AZ$2:$AZ$125,3)+COUNTIFS(Cleaned!$D$2:$D$125,6,Cleaned!$AZ$2:$AZ$125,4)+COUNTIFS(Cleaned!$D$2:$D$125,7,Cleaned!$AZ$2:$AZ$125,1)+COUNTIFS(Cleaned!$D$2:$D$125,7,Cleaned!$AZ$2:$AZ$125,2)+COUNTIFS(Cleaned!$D$2:$D$125,7,Cleaned!$AZ$2:$AZ$125,3)+COUNTIFS(Cleaned!$D$2:$D$125,7,Cleaned!$AZ$2:$AZ$125,4)+COUNTIFS(Cleaned!$D$2:$D$125,8,Cleaned!$AZ$2:$AZ$125,1)+COUNTIFS(Cleaned!$D$2:$D$125,8,Cleaned!$AZ$2:$AZ$125,2)+COUNTIFS(Cleaned!$D$2:$D$125,8,Cleaned!$AZ$2:$AZ$125,3)+COUNTIFS(Cleaned!$D$2:$D$125,8,Cleaned!$AZ$2:$AZ$125,4)+COUNTIFS(Cleaned!$D$2:$D$125,9,Cleaned!$AZ$2:$AZ$125,1)+COUNTIFS(Cleaned!$D$2:$D$125,9,Cleaned!$AZ$2:$AZ$125,2)+COUNTIFS(Cleaned!$D$2:$D$125,9,Cleaned!$AZ$2:$AZ$125,3)+COUNTIFS(Cleaned!$D$2:$D$125,9,Cleaned!$AZ$2:$AZ$125,4)+COUNTIFS(Cleaned!$D$2:$D$125,10,Cleaned!$AZ$2:$AZ$125,1)+COUNTIFS(Cleaned!$D$2:$D$125,10,Cleaned!$AZ$2:$AZ$125,2)+COUNTIFS(Cleaned!$D$2:$D$125,10,Cleaned!$AZ$2:$AZ$125,3)+COUNTIFS(Cleaned!$D$2:$D$125,10,Cleaned!$AZ$2:$AZ$125,4)+COUNTIFS(Cleaned!$D$2:$D$125,11,Cleaned!$AZ$2:$AZ$125,1)+COUNTIFS(Cleaned!$D$2:$D$125,11,Cleaned!$AZ$2:$AZ$125,2)+COUNTIFS(Cleaned!$D$2:$D$125,11,Cleaned!$AZ$2:$AZ$125,3)+COUNTIFS(Cleaned!$D$2:$D$125,11,Cleaned!$AZ$2:$AZ$125,4)+COUNTIFS(Cleaned!$D$2:$D$125,12,Cleaned!$AZ$2:$AZ$125,1)+COUNTIFS(Cleaned!$D$2:$D$125,12,Cleaned!$AZ$2:$AZ$125,2)+COUNTIFS(Cleaned!$D$2:$D$125,12,Cleaned!$AZ$2:$AZ$125,3)+COUNTIFS(Cleaned!$D$2:$D$125,12,Cleaned!$AZ$2:$AZ$125,4)</f>
        <v>65</v>
      </c>
      <c r="D35" s="2" t="str">
        <f aca="false">IF(B35=C35,"OK","FAIL")</f>
        <v>OK</v>
      </c>
    </row>
    <row r="36" customFormat="false" ht="15" hidden="false" customHeight="false" outlineLevel="0" collapsed="false">
      <c r="A36" s="2" t="s">
        <v>995</v>
      </c>
      <c r="B36" s="2" t="n">
        <f aca="false">COUNTIFS(Cleaned!$C$2:$C$125,1,Cleaned!$BC$2:$BC$125,0)+COUNTIFS(Cleaned!$C$2:$C$125,1,Cleaned!$BC$2:$BC$125,1)+COUNTIFS(Cleaned!$C$2:$C$125,2,Cleaned!$BC$2:$BC$125,0)+COUNTIFS(Cleaned!$C$2:$C$125,2,Cleaned!$BC$2:$BC$125,1)+COUNTIFS(Cleaned!$C$2:$C$125,3,Cleaned!$BC$2:$BC$125,0)+COUNTIFS(Cleaned!$C$2:$C$125,3,Cleaned!$BC$2:$BC$125,1)+COUNTIFS(Cleaned!$C$2:$C$125,4,Cleaned!$BC$2:$BC$125,0)+COUNTIFS(Cleaned!$C$2:$C$125,4,Cleaned!$BC$2:$BC$125,1)+COUNTIFS(Cleaned!$C$2:$C$125,5,Cleaned!$BC$2:$BC$125,0)+COUNTIFS(Cleaned!$C$2:$C$125,5,Cleaned!$BC$2:$BC$125,1)</f>
        <v>64</v>
      </c>
      <c r="C36" s="2" t="n">
        <f aca="false">COUNTIFS(Cleaned!$D$2:$D$125,1,Cleaned!$BC$2:$BC$125,0)+COUNTIFS(Cleaned!$D$2:$D$125,1,Cleaned!$BC$2:$BC$125,1)+COUNTIFS(Cleaned!$D$2:$D$125,2,Cleaned!$BC$2:$BC$125,0)+COUNTIFS(Cleaned!$D$2:$D$125,2,Cleaned!$BC$2:$BC$125,1)+COUNTIFS(Cleaned!$D$2:$D$125,3,Cleaned!$BC$2:$BC$125,0)+COUNTIFS(Cleaned!$D$2:$D$125,3,Cleaned!$BC$2:$BC$125,1)+COUNTIFS(Cleaned!$D$2:$D$125,4,Cleaned!$BC$2:$BC$125,0)+COUNTIFS(Cleaned!$D$2:$D$125,4,Cleaned!$BC$2:$BC$125,1)+COUNTIFS(Cleaned!$D$2:$D$125,5,Cleaned!$BC$2:$BC$125,0)+COUNTIFS(Cleaned!$D$2:$D$125,5,Cleaned!$BC$2:$BC$125,1)+COUNTIFS(Cleaned!$D$2:$D$125,6,Cleaned!$BC$2:$BC$125,0)+COUNTIFS(Cleaned!$D$2:$D$125,6,Cleaned!$BC$2:$BC$125,1)+COUNTIFS(Cleaned!$D$2:$D$125,7,Cleaned!$BC$2:$BC$125,0)+COUNTIFS(Cleaned!$D$2:$D$125,7,Cleaned!$BC$2:$BC$125,1)+COUNTIFS(Cleaned!$D$2:$D$125,8,Cleaned!$BC$2:$BC$125,0)+COUNTIFS(Cleaned!$D$2:$D$125,8,Cleaned!$BC$2:$BC$125,1)+COUNTIFS(Cleaned!$D$2:$D$125,9,Cleaned!$BC$2:$BC$125,0)+COUNTIFS(Cleaned!$D$2:$D$125,9,Cleaned!$BC$2:$BC$125,1)+COUNTIFS(Cleaned!$D$2:$D$125,10,Cleaned!$BC$2:$BC$125,0)+COUNTIFS(Cleaned!$D$2:$D$125,10,Cleaned!$BC$2:$BC$125,1)+COUNTIFS(Cleaned!$D$2:$D$125,11,Cleaned!$BC$2:$BC$125,0)+COUNTIFS(Cleaned!$D$2:$D$125,11,Cleaned!$BC$2:$BC$125,1)+COUNTIFS(Cleaned!$D$2:$D$125,12,Cleaned!$BC$2:$BC$125,0)+COUNTIFS(Cleaned!$D$2:$D$125,12,Cleaned!$BC$2:$BC$125,1)</f>
        <v>64</v>
      </c>
      <c r="D36" s="2" t="str">
        <f aca="false">IF(B36=C36,"OK","FAIL")</f>
        <v>OK</v>
      </c>
    </row>
    <row r="37" customFormat="false" ht="15" hidden="false" customHeight="false" outlineLevel="0" collapsed="false">
      <c r="A37" s="2" t="s">
        <v>995</v>
      </c>
      <c r="B37" s="2" t="n">
        <f aca="false">COUNTIFS(Cleaned!$C$2:$C$125,1,Cleaned!$BD$2:$BD$125,0)+COUNTIFS(Cleaned!$C$2:$C$125,1,Cleaned!$BD$2:$BD$125,1)+COUNTIFS(Cleaned!$C$2:$C$125,2,Cleaned!$BD$2:$BD$125,0)+COUNTIFS(Cleaned!$C$2:$C$125,2,Cleaned!$BD$2:$BD$125,1)+COUNTIFS(Cleaned!$C$2:$C$125,3,Cleaned!$BD$2:$BD$125,0)+COUNTIFS(Cleaned!$C$2:$C$125,3,Cleaned!$BD$2:$BD$125,1)+COUNTIFS(Cleaned!$C$2:$C$125,4,Cleaned!$BD$2:$BD$125,0)+COUNTIFS(Cleaned!$C$2:$C$125,4,Cleaned!$BD$2:$BD$125,1)+COUNTIFS(Cleaned!$C$2:$C$125,5,Cleaned!$BD$2:$BD$125,0)+COUNTIFS(Cleaned!$C$2:$C$125,5,Cleaned!$BD$2:$BD$125,1)</f>
        <v>64</v>
      </c>
      <c r="C37" s="2" t="n">
        <f aca="false">COUNTIFS(Cleaned!$D$2:$D$125,1,Cleaned!$BD$2:$BD$125,0)+COUNTIFS(Cleaned!$D$2:$D$125,1,Cleaned!$BD$2:$BD$125,1)+COUNTIFS(Cleaned!$D$2:$D$125,2,Cleaned!$BD$2:$BD$125,0)+COUNTIFS(Cleaned!$D$2:$D$125,2,Cleaned!$BD$2:$BD$125,1)+COUNTIFS(Cleaned!$D$2:$D$125,3,Cleaned!$BD$2:$BD$125,0)+COUNTIFS(Cleaned!$D$2:$D$125,3,Cleaned!$BD$2:$BD$125,1)+COUNTIFS(Cleaned!$D$2:$D$125,4,Cleaned!$BD$2:$BD$125,0)+COUNTIFS(Cleaned!$D$2:$D$125,4,Cleaned!$BD$2:$BD$125,1)+COUNTIFS(Cleaned!$D$2:$D$125,5,Cleaned!$BD$2:$BD$125,0)+COUNTIFS(Cleaned!$D$2:$D$125,5,Cleaned!$BD$2:$BD$125,1)+COUNTIFS(Cleaned!$D$2:$D$125,6,Cleaned!$BD$2:$BD$125,0)+COUNTIFS(Cleaned!$D$2:$D$125,6,Cleaned!$BD$2:$BD$125,1)+COUNTIFS(Cleaned!$D$2:$D$125,7,Cleaned!$BD$2:$BD$125,0)+COUNTIFS(Cleaned!$D$2:$D$125,7,Cleaned!$BD$2:$BD$125,1)+COUNTIFS(Cleaned!$D$2:$D$125,8,Cleaned!$BD$2:$BD$125,0)+COUNTIFS(Cleaned!$D$2:$D$125,8,Cleaned!$BD$2:$BD$125,1)+COUNTIFS(Cleaned!$D$2:$D$125,9,Cleaned!$BD$2:$BD$125,0)+COUNTIFS(Cleaned!$D$2:$D$125,9,Cleaned!$BD$2:$BD$125,1)+COUNTIFS(Cleaned!$D$2:$D$125,10,Cleaned!$BD$2:$BD$125,0)+COUNTIFS(Cleaned!$D$2:$D$125,10,Cleaned!$BD$2:$BD$125,1)+COUNTIFS(Cleaned!$D$2:$D$125,11,Cleaned!$BD$2:$BD$125,0)+COUNTIFS(Cleaned!$D$2:$D$125,11,Cleaned!$BD$2:$BD$125,1)+COUNTIFS(Cleaned!$D$2:$D$125,12,Cleaned!$BD$2:$BD$125,0)+COUNTIFS(Cleaned!$D$2:$D$125,12,Cleaned!$BD$2:$BD$125,1)</f>
        <v>64</v>
      </c>
      <c r="D37" s="2" t="str">
        <f aca="false">IF(B37=C37,"OK","FAIL")</f>
        <v>OK</v>
      </c>
    </row>
    <row r="38" customFormat="false" ht="15" hidden="false" customHeight="false" outlineLevel="0" collapsed="false">
      <c r="A38" s="2" t="s">
        <v>995</v>
      </c>
      <c r="B38" s="2" t="n">
        <f aca="false">COUNTIFS(Cleaned!$C$2:$C$125,1,Cleaned!$BE$2:$BE$125,0)+COUNTIFS(Cleaned!$C$2:$C$125,1,Cleaned!$BE$2:$BE$125,1)+COUNTIFS(Cleaned!$C$2:$C$125,2,Cleaned!$BE$2:$BE$125,0)+COUNTIFS(Cleaned!$C$2:$C$125,2,Cleaned!$BE$2:$BE$125,1)+COUNTIFS(Cleaned!$C$2:$C$125,3,Cleaned!$BE$2:$BE$125,0)+COUNTIFS(Cleaned!$C$2:$C$125,3,Cleaned!$BE$2:$BE$125,1)+COUNTIFS(Cleaned!$C$2:$C$125,4,Cleaned!$BE$2:$BE$125,0)+COUNTIFS(Cleaned!$C$2:$C$125,4,Cleaned!$BE$2:$BE$125,1)+COUNTIFS(Cleaned!$C$2:$C$125,5,Cleaned!$BE$2:$BE$125,0)+COUNTIFS(Cleaned!$C$2:$C$125,5,Cleaned!$BE$2:$BE$125,1)</f>
        <v>64</v>
      </c>
      <c r="C38" s="2" t="n">
        <f aca="false">COUNTIFS(Cleaned!$D$2:$D$125,1,Cleaned!$BE$2:$BE$125,0)+COUNTIFS(Cleaned!$D$2:$D$125,1,Cleaned!$BE$2:$BE$125,1)+COUNTIFS(Cleaned!$D$2:$D$125,2,Cleaned!$BE$2:$BE$125,0)+COUNTIFS(Cleaned!$D$2:$D$125,2,Cleaned!$BE$2:$BE$125,1)+COUNTIFS(Cleaned!$D$2:$D$125,3,Cleaned!$BE$2:$BE$125,0)+COUNTIFS(Cleaned!$D$2:$D$125,3,Cleaned!$BE$2:$BE$125,1)+COUNTIFS(Cleaned!$D$2:$D$125,4,Cleaned!$BE$2:$BE$125,0)+COUNTIFS(Cleaned!$D$2:$D$125,4,Cleaned!$BE$2:$BE$125,1)+COUNTIFS(Cleaned!$D$2:$D$125,5,Cleaned!$BE$2:$BE$125,0)+COUNTIFS(Cleaned!$D$2:$D$125,5,Cleaned!$BE$2:$BE$125,1)+COUNTIFS(Cleaned!$D$2:$D$125,6,Cleaned!$BE$2:$BE$125,0)+COUNTIFS(Cleaned!$D$2:$D$125,6,Cleaned!$BE$2:$BE$125,1)+COUNTIFS(Cleaned!$D$2:$D$125,7,Cleaned!$BE$2:$BE$125,0)+COUNTIFS(Cleaned!$D$2:$D$125,7,Cleaned!$BE$2:$BE$125,1)+COUNTIFS(Cleaned!$D$2:$D$125,8,Cleaned!$BE$2:$BE$125,0)+COUNTIFS(Cleaned!$D$2:$D$125,8,Cleaned!$BE$2:$BE$125,1)+COUNTIFS(Cleaned!$D$2:$D$125,9,Cleaned!$BE$2:$BE$125,0)+COUNTIFS(Cleaned!$D$2:$D$125,9,Cleaned!$BE$2:$BE$125,1)+COUNTIFS(Cleaned!$D$2:$D$125,10,Cleaned!$BE$2:$BE$125,0)+COUNTIFS(Cleaned!$D$2:$D$125,10,Cleaned!$BE$2:$BE$125,1)+COUNTIFS(Cleaned!$D$2:$D$125,11,Cleaned!$BE$2:$BE$125,0)+COUNTIFS(Cleaned!$D$2:$D$125,11,Cleaned!$BE$2:$BE$125,1)+COUNTIFS(Cleaned!$D$2:$D$125,12,Cleaned!$BE$2:$BE$125,0)+COUNTIFS(Cleaned!$D$2:$D$125,12,Cleaned!$BE$2:$BE$125,1)</f>
        <v>64</v>
      </c>
      <c r="D38" s="2" t="str">
        <f aca="false">IF(B38=C38,"OK","FAIL")</f>
        <v>OK</v>
      </c>
    </row>
    <row r="39" customFormat="false" ht="15" hidden="false" customHeight="false" outlineLevel="0" collapsed="false">
      <c r="A39" s="2" t="s">
        <v>995</v>
      </c>
      <c r="B39" s="2" t="n">
        <f aca="false">COUNTIFS(Cleaned!$C$2:$C$125,1,Cleaned!$BF$2:$BF$125,0)+COUNTIFS(Cleaned!$C$2:$C$125,1,Cleaned!$BF$2:$BF$125,1)+COUNTIFS(Cleaned!$C$2:$C$125,2,Cleaned!$BF$2:$BF$125,0)+COUNTIFS(Cleaned!$C$2:$C$125,2,Cleaned!$BF$2:$BF$125,1)+COUNTIFS(Cleaned!$C$2:$C$125,3,Cleaned!$BF$2:$BF$125,0)+COUNTIFS(Cleaned!$C$2:$C$125,3,Cleaned!$BF$2:$BF$125,1)+COUNTIFS(Cleaned!$C$2:$C$125,4,Cleaned!$BF$2:$BF$125,0)+COUNTIFS(Cleaned!$C$2:$C$125,4,Cleaned!$BF$2:$BF$125,1)+COUNTIFS(Cleaned!$C$2:$C$125,5,Cleaned!$BF$2:$BF$125,0)+COUNTIFS(Cleaned!$C$2:$C$125,5,Cleaned!$BF$2:$BF$125,1)</f>
        <v>64</v>
      </c>
      <c r="C39" s="2" t="n">
        <f aca="false">COUNTIFS(Cleaned!$D$2:$D$125,1,Cleaned!$BF$2:$BF$125,0)+COUNTIFS(Cleaned!$D$2:$D$125,1,Cleaned!$BF$2:$BF$125,1)+COUNTIFS(Cleaned!$D$2:$D$125,2,Cleaned!$BF$2:$BF$125,0)+COUNTIFS(Cleaned!$D$2:$D$125,2,Cleaned!$BF$2:$BF$125,1)+COUNTIFS(Cleaned!$D$2:$D$125,3,Cleaned!$BF$2:$BF$125,0)+COUNTIFS(Cleaned!$D$2:$D$125,3,Cleaned!$BF$2:$BF$125,1)+COUNTIFS(Cleaned!$D$2:$D$125,4,Cleaned!$BF$2:$BF$125,0)+COUNTIFS(Cleaned!$D$2:$D$125,4,Cleaned!$BF$2:$BF$125,1)+COUNTIFS(Cleaned!$D$2:$D$125,5,Cleaned!$BF$2:$BF$125,0)+COUNTIFS(Cleaned!$D$2:$D$125,5,Cleaned!$BF$2:$BF$125,1)+COUNTIFS(Cleaned!$D$2:$D$125,6,Cleaned!$BF$2:$BF$125,0)+COUNTIFS(Cleaned!$D$2:$D$125,6,Cleaned!$BF$2:$BF$125,1)+COUNTIFS(Cleaned!$D$2:$D$125,7,Cleaned!$BF$2:$BF$125,0)+COUNTIFS(Cleaned!$D$2:$D$125,7,Cleaned!$BF$2:$BF$125,1)+COUNTIFS(Cleaned!$D$2:$D$125,8,Cleaned!$BF$2:$BF$125,0)+COUNTIFS(Cleaned!$D$2:$D$125,8,Cleaned!$BF$2:$BF$125,1)+COUNTIFS(Cleaned!$D$2:$D$125,9,Cleaned!$BF$2:$BF$125,0)+COUNTIFS(Cleaned!$D$2:$D$125,9,Cleaned!$BF$2:$BF$125,1)+COUNTIFS(Cleaned!$D$2:$D$125,10,Cleaned!$BF$2:$BF$125,0)+COUNTIFS(Cleaned!$D$2:$D$125,10,Cleaned!$BF$2:$BF$125,1)+COUNTIFS(Cleaned!$D$2:$D$125,11,Cleaned!$BF$2:$BF$125,0)+COUNTIFS(Cleaned!$D$2:$D$125,11,Cleaned!$BF$2:$BF$125,1)+COUNTIFS(Cleaned!$D$2:$D$125,12,Cleaned!$BF$2:$BF$125,0)+COUNTIFS(Cleaned!$D$2:$D$125,12,Cleaned!$BF$2:$BF$125,1)</f>
        <v>64</v>
      </c>
      <c r="D39" s="2" t="str">
        <f aca="false">IF(B39=C39,"OK","FAIL")</f>
        <v>OK</v>
      </c>
    </row>
    <row r="40" customFormat="false" ht="15" hidden="false" customHeight="false" outlineLevel="0" collapsed="false">
      <c r="A40" s="2" t="s">
        <v>995</v>
      </c>
      <c r="B40" s="2" t="n">
        <f aca="false">COUNTIFS(Cleaned!$C$2:$C$125,1,Cleaned!$BG$2:$BG$125,0)+COUNTIFS(Cleaned!$C$2:$C$125,1,Cleaned!$BG$2:$BG$125,1)+COUNTIFS(Cleaned!$C$2:$C$125,2,Cleaned!$BG$2:$BG$125,0)+COUNTIFS(Cleaned!$C$2:$C$125,2,Cleaned!$BG$2:$BG$125,1)+COUNTIFS(Cleaned!$C$2:$C$125,3,Cleaned!$BG$2:$BG$125,0)+COUNTIFS(Cleaned!$C$2:$C$125,3,Cleaned!$BG$2:$BG$125,1)+COUNTIFS(Cleaned!$C$2:$C$125,4,Cleaned!$BG$2:$BG$125,0)+COUNTIFS(Cleaned!$C$2:$C$125,4,Cleaned!$BG$2:$BG$125,1)+COUNTIFS(Cleaned!$C$2:$C$125,5,Cleaned!$BG$2:$BG$125,0)+COUNTIFS(Cleaned!$C$2:$C$125,5,Cleaned!$BG$2:$BG$125,1)</f>
        <v>64</v>
      </c>
      <c r="C40" s="2" t="n">
        <f aca="false">COUNTIFS(Cleaned!$D$2:$D$125,1,Cleaned!$BG$2:$BG$125,0)+COUNTIFS(Cleaned!$D$2:$D$125,1,Cleaned!$BG$2:$BG$125,1)+COUNTIFS(Cleaned!$D$2:$D$125,2,Cleaned!$BG$2:$BG$125,0)+COUNTIFS(Cleaned!$D$2:$D$125,2,Cleaned!$BG$2:$BG$125,1)+COUNTIFS(Cleaned!$D$2:$D$125,3,Cleaned!$BG$2:$BG$125,0)+COUNTIFS(Cleaned!$D$2:$D$125,3,Cleaned!$BG$2:$BG$125,1)+COUNTIFS(Cleaned!$D$2:$D$125,4,Cleaned!$BG$2:$BG$125,0)+COUNTIFS(Cleaned!$D$2:$D$125,4,Cleaned!$BG$2:$BG$125,1)+COUNTIFS(Cleaned!$D$2:$D$125,5,Cleaned!$BG$2:$BG$125,0)+COUNTIFS(Cleaned!$D$2:$D$125,5,Cleaned!$BG$2:$BG$125,1)+COUNTIFS(Cleaned!$D$2:$D$125,6,Cleaned!$BG$2:$BG$125,0)+COUNTIFS(Cleaned!$D$2:$D$125,6,Cleaned!$BG$2:$BG$125,1)+COUNTIFS(Cleaned!$D$2:$D$125,7,Cleaned!$BG$2:$BG$125,0)+COUNTIFS(Cleaned!$D$2:$D$125,7,Cleaned!$BG$2:$BG$125,1)+COUNTIFS(Cleaned!$D$2:$D$125,8,Cleaned!$BG$2:$BG$125,0)+COUNTIFS(Cleaned!$D$2:$D$125,8,Cleaned!$BG$2:$BG$125,1)+COUNTIFS(Cleaned!$D$2:$D$125,9,Cleaned!$BG$2:$BG$125,0)+COUNTIFS(Cleaned!$D$2:$D$125,9,Cleaned!$BG$2:$BG$125,1)+COUNTIFS(Cleaned!$D$2:$D$125,10,Cleaned!$BG$2:$BG$125,0)+COUNTIFS(Cleaned!$D$2:$D$125,10,Cleaned!$BG$2:$BG$125,1)+COUNTIFS(Cleaned!$D$2:$D$125,11,Cleaned!$BG$2:$BG$125,0)+COUNTIFS(Cleaned!$D$2:$D$125,11,Cleaned!$BG$2:$BG$125,1)+COUNTIFS(Cleaned!$D$2:$D$125,12,Cleaned!$BG$2:$BG$125,0)+COUNTIFS(Cleaned!$D$2:$D$125,12,Cleaned!$BG$2:$BG$125,1)</f>
        <v>64</v>
      </c>
      <c r="D40" s="2" t="str">
        <f aca="false">IF(B40=C40,"OK","FAIL")</f>
        <v>OK</v>
      </c>
    </row>
    <row r="41" customFormat="false" ht="15" hidden="false" customHeight="false" outlineLevel="0" collapsed="false">
      <c r="A41" s="2" t="s">
        <v>995</v>
      </c>
      <c r="B41" s="2" t="n">
        <f aca="false">COUNTIFS(Cleaned!$C$2:$C$125,1,Cleaned!$BH$2:$BH$125,0)+COUNTIFS(Cleaned!$C$2:$C$125,1,Cleaned!$BH$2:$BH$125,1)+COUNTIFS(Cleaned!$C$2:$C$125,2,Cleaned!$BH$2:$BH$125,0)+COUNTIFS(Cleaned!$C$2:$C$125,2,Cleaned!$BH$2:$BH$125,1)+COUNTIFS(Cleaned!$C$2:$C$125,3,Cleaned!$BH$2:$BH$125,0)+COUNTIFS(Cleaned!$C$2:$C$125,3,Cleaned!$BH$2:$BH$125,1)+COUNTIFS(Cleaned!$C$2:$C$125,4,Cleaned!$BH$2:$BH$125,0)+COUNTIFS(Cleaned!$C$2:$C$125,4,Cleaned!$BH$2:$BH$125,1)+COUNTIFS(Cleaned!$C$2:$C$125,5,Cleaned!$BH$2:$BH$125,0)+COUNTIFS(Cleaned!$C$2:$C$125,5,Cleaned!$BH$2:$BH$125,1)</f>
        <v>64</v>
      </c>
      <c r="C41" s="2" t="n">
        <f aca="false">COUNTIFS(Cleaned!$D$2:$D$125,1,Cleaned!$BH$2:$BH$125,0)+COUNTIFS(Cleaned!$D$2:$D$125,1,Cleaned!$BH$2:$BH$125,1)+COUNTIFS(Cleaned!$D$2:$D$125,2,Cleaned!$BH$2:$BH$125,0)+COUNTIFS(Cleaned!$D$2:$D$125,2,Cleaned!$BH$2:$BH$125,1)+COUNTIFS(Cleaned!$D$2:$D$125,3,Cleaned!$BH$2:$BH$125,0)+COUNTIFS(Cleaned!$D$2:$D$125,3,Cleaned!$BH$2:$BH$125,1)+COUNTIFS(Cleaned!$D$2:$D$125,4,Cleaned!$BH$2:$BH$125,0)+COUNTIFS(Cleaned!$D$2:$D$125,4,Cleaned!$BH$2:$BH$125,1)+COUNTIFS(Cleaned!$D$2:$D$125,5,Cleaned!$BH$2:$BH$125,0)+COUNTIFS(Cleaned!$D$2:$D$125,5,Cleaned!$BH$2:$BH$125,1)+COUNTIFS(Cleaned!$D$2:$D$125,6,Cleaned!$BH$2:$BH$125,0)+COUNTIFS(Cleaned!$D$2:$D$125,6,Cleaned!$BH$2:$BH$125,1)+COUNTIFS(Cleaned!$D$2:$D$125,7,Cleaned!$BH$2:$BH$125,0)+COUNTIFS(Cleaned!$D$2:$D$125,7,Cleaned!$BH$2:$BH$125,1)+COUNTIFS(Cleaned!$D$2:$D$125,8,Cleaned!$BH$2:$BH$125,0)+COUNTIFS(Cleaned!$D$2:$D$125,8,Cleaned!$BH$2:$BH$125,1)+COUNTIFS(Cleaned!$D$2:$D$125,9,Cleaned!$BH$2:$BH$125,0)+COUNTIFS(Cleaned!$D$2:$D$125,9,Cleaned!$BH$2:$BH$125,1)+COUNTIFS(Cleaned!$D$2:$D$125,10,Cleaned!$BH$2:$BH$125,0)+COUNTIFS(Cleaned!$D$2:$D$125,10,Cleaned!$BH$2:$BH$125,1)+COUNTIFS(Cleaned!$D$2:$D$125,11,Cleaned!$BH$2:$BH$125,0)+COUNTIFS(Cleaned!$D$2:$D$125,11,Cleaned!$BH$2:$BH$125,1)+COUNTIFS(Cleaned!$D$2:$D$125,12,Cleaned!$BH$2:$BH$125,0)+COUNTIFS(Cleaned!$D$2:$D$125,12,Cleaned!$BH$2:$BH$125,1)</f>
        <v>64</v>
      </c>
      <c r="D41" s="2" t="str">
        <f aca="false">IF(B41=C41,"OK","FAIL")</f>
        <v>OK</v>
      </c>
    </row>
    <row r="42" customFormat="false" ht="15" hidden="false" customHeight="false" outlineLevel="0" collapsed="false">
      <c r="A42" s="2" t="s">
        <v>996</v>
      </c>
      <c r="B42" s="2" t="n">
        <f aca="false">COUNTIFS(Cleaned!$C$2:$C$125,1,Cleaned!$BJ$2:$BJ$125,1)+COUNTIFS(Cleaned!$C$2:$C$125,1,Cleaned!$BJ$2:$BJ$125,2)+COUNTIFS(Cleaned!$C$2:$C$125,2,Cleaned!$BJ$2:$BJ$125,1)+COUNTIFS(Cleaned!$C$2:$C$125,2,Cleaned!$BJ$2:$BJ$125,2)+COUNTIFS(Cleaned!$C$2:$C$125,3,Cleaned!$BJ$2:$BJ$125,1)+COUNTIFS(Cleaned!$C$2:$C$125,3,Cleaned!$BJ$2:$BJ$125,2)+COUNTIFS(Cleaned!$C$2:$C$125,4,Cleaned!$BJ$2:$BJ$125,1)+COUNTIFS(Cleaned!$C$2:$C$125,4,Cleaned!$BJ$2:$BJ$125,2)+COUNTIFS(Cleaned!$C$2:$C$125,5,Cleaned!$BJ$2:$BJ$125,1)+COUNTIFS(Cleaned!$C$2:$C$125,5,Cleaned!$BJ$2:$BJ$125,2)</f>
        <v>66</v>
      </c>
      <c r="C42" s="2" t="n">
        <f aca="false">COUNTIFS(Cleaned!$D$2:$D$125,1,Cleaned!$BJ$2:$BJ$125,1)+COUNTIFS(Cleaned!$D$2:$D$125,1,Cleaned!$BJ$2:$BJ$125,2)+COUNTIFS(Cleaned!$D$2:$D$125,2,Cleaned!$BJ$2:$BJ$125,1)+COUNTIFS(Cleaned!$D$2:$D$125,2,Cleaned!$BJ$2:$BJ$125,2)+COUNTIFS(Cleaned!$D$2:$D$125,3,Cleaned!$BJ$2:$BJ$125,1)+COUNTIFS(Cleaned!$D$2:$D$125,3,Cleaned!$BJ$2:$BJ$125,2)+COUNTIFS(Cleaned!$D$2:$D$125,4,Cleaned!$BJ$2:$BJ$125,1)+COUNTIFS(Cleaned!$D$2:$D$125,4,Cleaned!$BJ$2:$BJ$125,2)+COUNTIFS(Cleaned!$D$2:$D$125,5,Cleaned!$BJ$2:$BJ$125,1)+COUNTIFS(Cleaned!$D$2:$D$125,5,Cleaned!$BJ$2:$BJ$125,2)+COUNTIFS(Cleaned!$D$2:$D$125,6,Cleaned!$BJ$2:$BJ$125,1)+COUNTIFS(Cleaned!$D$2:$D$125,6,Cleaned!$BJ$2:$BJ$125,2)+COUNTIFS(Cleaned!$D$2:$D$125,7,Cleaned!$BJ$2:$BJ$125,1)+COUNTIFS(Cleaned!$D$2:$D$125,7,Cleaned!$BJ$2:$BJ$125,2)+COUNTIFS(Cleaned!$D$2:$D$125,8,Cleaned!$BJ$2:$BJ$125,1)+COUNTIFS(Cleaned!$D$2:$D$125,8,Cleaned!$BJ$2:$BJ$125,2)+COUNTIFS(Cleaned!$D$2:$D$125,9,Cleaned!$BJ$2:$BJ$125,1)+COUNTIFS(Cleaned!$D$2:$D$125,9,Cleaned!$BJ$2:$BJ$125,2)+COUNTIFS(Cleaned!$D$2:$D$125,10,Cleaned!$BJ$2:$BJ$125,1)+COUNTIFS(Cleaned!$D$2:$D$125,10,Cleaned!$BJ$2:$BJ$125,2)+COUNTIFS(Cleaned!$D$2:$D$125,11,Cleaned!$BJ$2:$BJ$125,1)+COUNTIFS(Cleaned!$D$2:$D$125,11,Cleaned!$BJ$2:$BJ$125,2)+COUNTIFS(Cleaned!$D$2:$D$125,12,Cleaned!$BJ$2:$BJ$125,1)+COUNTIFS(Cleaned!$D$2:$D$125,12,Cleaned!$BJ$2:$BJ$125,2)</f>
        <v>66</v>
      </c>
      <c r="D42" s="2" t="str">
        <f aca="false">IF(B42=C42,"OK","FAIL")</f>
        <v>OK</v>
      </c>
    </row>
    <row r="43" customFormat="false" ht="15" hidden="false" customHeight="false" outlineLevel="0" collapsed="false">
      <c r="A43" s="2" t="s">
        <v>997</v>
      </c>
      <c r="B43" s="2" t="n">
        <f aca="false">COUNTIFS(Cleaned!$C$2:$C$125,1,Cleaned!$BK$2:$BK$125,0)+COUNTIFS(Cleaned!$C$2:$C$125,1,Cleaned!$BK$2:$BK$125,1)+COUNTIFS(Cleaned!$C$2:$C$125,2,Cleaned!$BK$2:$BK$125,0)+COUNTIFS(Cleaned!$C$2:$C$125,2,Cleaned!$BK$2:$BK$125,1)+COUNTIFS(Cleaned!$C$2:$C$125,3,Cleaned!$BK$2:$BK$125,0)+COUNTIFS(Cleaned!$C$2:$C$125,3,Cleaned!$BK$2:$BK$125,1)+COUNTIFS(Cleaned!$C$2:$C$125,4,Cleaned!$BK$2:$BK$125,0)+COUNTIFS(Cleaned!$C$2:$C$125,4,Cleaned!$BK$2:$BK$125,1)+COUNTIFS(Cleaned!$C$2:$C$125,5,Cleaned!$BK$2:$BK$125,0)+COUNTIFS(Cleaned!$C$2:$C$125,5,Cleaned!$BK$2:$BK$125,1)</f>
        <v>47</v>
      </c>
      <c r="C43" s="2" t="n">
        <f aca="false">COUNTIFS(Cleaned!$D$2:$D$125,1,Cleaned!$BK$2:$BK$125,0)+COUNTIFS(Cleaned!$D$2:$D$125,1,Cleaned!$BK$2:$BK$125,1)+COUNTIFS(Cleaned!$D$2:$D$125,2,Cleaned!$BK$2:$BK$125,0)+COUNTIFS(Cleaned!$D$2:$D$125,2,Cleaned!$BK$2:$BK$125,1)+COUNTIFS(Cleaned!$D$2:$D$125,3,Cleaned!$BK$2:$BK$125,0)+COUNTIFS(Cleaned!$D$2:$D$125,3,Cleaned!$BK$2:$BK$125,1)+COUNTIFS(Cleaned!$D$2:$D$125,4,Cleaned!$BK$2:$BK$125,0)+COUNTIFS(Cleaned!$D$2:$D$125,4,Cleaned!$BK$2:$BK$125,1)+COUNTIFS(Cleaned!$D$2:$D$125,5,Cleaned!$BK$2:$BK$125,0)+COUNTIFS(Cleaned!$D$2:$D$125,5,Cleaned!$BK$2:$BK$125,1)+COUNTIFS(Cleaned!$D$2:$D$125,6,Cleaned!$BK$2:$BK$125,0)+COUNTIFS(Cleaned!$D$2:$D$125,6,Cleaned!$BK$2:$BK$125,1)+COUNTIFS(Cleaned!$D$2:$D$125,7,Cleaned!$BK$2:$BK$125,0)+COUNTIFS(Cleaned!$D$2:$D$125,7,Cleaned!$BK$2:$BK$125,1)+COUNTIFS(Cleaned!$D$2:$D$125,8,Cleaned!$BK$2:$BK$125,0)+COUNTIFS(Cleaned!$D$2:$D$125,8,Cleaned!$BK$2:$BK$125,1)+COUNTIFS(Cleaned!$D$2:$D$125,9,Cleaned!$BK$2:$BK$125,0)+COUNTIFS(Cleaned!$D$2:$D$125,9,Cleaned!$BK$2:$BK$125,1)+COUNTIFS(Cleaned!$D$2:$D$125,10,Cleaned!$BK$2:$BK$125,0)+COUNTIFS(Cleaned!$D$2:$D$125,10,Cleaned!$BK$2:$BK$125,1)+COUNTIFS(Cleaned!$D$2:$D$125,11,Cleaned!$BK$2:$BK$125,0)+COUNTIFS(Cleaned!$D$2:$D$125,11,Cleaned!$BK$2:$BK$125,1)+COUNTIFS(Cleaned!$D$2:$D$125,12,Cleaned!$BK$2:$BK$125,0)+COUNTIFS(Cleaned!$D$2:$D$125,12,Cleaned!$BK$2:$BK$125,1)</f>
        <v>47</v>
      </c>
      <c r="D43" s="2" t="str">
        <f aca="false">IF(B43=C43,"OK","FAIL")</f>
        <v>OK</v>
      </c>
    </row>
    <row r="44" customFormat="false" ht="15" hidden="false" customHeight="false" outlineLevel="0" collapsed="false">
      <c r="A44" s="2" t="s">
        <v>997</v>
      </c>
      <c r="B44" s="2" t="n">
        <f aca="false">COUNTIFS(Cleaned!$C$2:$C$125,1,Cleaned!$BL$2:$BL$125,0)+COUNTIFS(Cleaned!$C$2:$C$125,1,Cleaned!$BL$2:$BL$125,1)+COUNTIFS(Cleaned!$C$2:$C$125,2,Cleaned!$BL$2:$BL$125,0)+COUNTIFS(Cleaned!$C$2:$C$125,2,Cleaned!$BL$2:$BL$125,1)+COUNTIFS(Cleaned!$C$2:$C$125,3,Cleaned!$BL$2:$BL$125,0)+COUNTIFS(Cleaned!$C$2:$C$125,3,Cleaned!$BL$2:$BL$125,1)+COUNTIFS(Cleaned!$C$2:$C$125,4,Cleaned!$BL$2:$BL$125,0)+COUNTIFS(Cleaned!$C$2:$C$125,4,Cleaned!$BL$2:$BL$125,1)+COUNTIFS(Cleaned!$C$2:$C$125,5,Cleaned!$BL$2:$BL$125,0)+COUNTIFS(Cleaned!$C$2:$C$125,5,Cleaned!$BL$2:$BL$125,1)</f>
        <v>47</v>
      </c>
      <c r="C44" s="2" t="n">
        <f aca="false">COUNTIFS(Cleaned!$D$2:$D$125,1,Cleaned!$BL$2:$BL$125,0)+COUNTIFS(Cleaned!$D$2:$D$125,1,Cleaned!$BL$2:$BL$125,1)+COUNTIFS(Cleaned!$D$2:$D$125,2,Cleaned!$BL$2:$BL$125,0)+COUNTIFS(Cleaned!$D$2:$D$125,2,Cleaned!$BL$2:$BL$125,1)+COUNTIFS(Cleaned!$D$2:$D$125,3,Cleaned!$BL$2:$BL$125,0)+COUNTIFS(Cleaned!$D$2:$D$125,3,Cleaned!$BL$2:$BL$125,1)+COUNTIFS(Cleaned!$D$2:$D$125,4,Cleaned!$BL$2:$BL$125,0)+COUNTIFS(Cleaned!$D$2:$D$125,4,Cleaned!$BL$2:$BL$125,1)+COUNTIFS(Cleaned!$D$2:$D$125,5,Cleaned!$BL$2:$BL$125,0)+COUNTIFS(Cleaned!$D$2:$D$125,5,Cleaned!$BL$2:$BL$125,1)+COUNTIFS(Cleaned!$D$2:$D$125,6,Cleaned!$BL$2:$BL$125,0)+COUNTIFS(Cleaned!$D$2:$D$125,6,Cleaned!$BL$2:$BL$125,1)+COUNTIFS(Cleaned!$D$2:$D$125,7,Cleaned!$BL$2:$BL$125,0)+COUNTIFS(Cleaned!$D$2:$D$125,7,Cleaned!$BL$2:$BL$125,1)+COUNTIFS(Cleaned!$D$2:$D$125,8,Cleaned!$BL$2:$BL$125,0)+COUNTIFS(Cleaned!$D$2:$D$125,8,Cleaned!$BL$2:$BL$125,1)+COUNTIFS(Cleaned!$D$2:$D$125,9,Cleaned!$BL$2:$BL$125,0)+COUNTIFS(Cleaned!$D$2:$D$125,9,Cleaned!$BL$2:$BL$125,1)+COUNTIFS(Cleaned!$D$2:$D$125,10,Cleaned!$BL$2:$BL$125,0)+COUNTIFS(Cleaned!$D$2:$D$125,10,Cleaned!$BL$2:$BL$125,1)+COUNTIFS(Cleaned!$D$2:$D$125,11,Cleaned!$BL$2:$BL$125,0)+COUNTIFS(Cleaned!$D$2:$D$125,11,Cleaned!$BL$2:$BL$125,1)+COUNTIFS(Cleaned!$D$2:$D$125,12,Cleaned!$BL$2:$BL$125,0)+COUNTIFS(Cleaned!$D$2:$D$125,12,Cleaned!$BL$2:$BL$125,1)</f>
        <v>47</v>
      </c>
      <c r="D44" s="2" t="str">
        <f aca="false">IF(B44=C44,"OK","FAIL")</f>
        <v>OK</v>
      </c>
    </row>
    <row r="45" customFormat="false" ht="15" hidden="false" customHeight="false" outlineLevel="0" collapsed="false">
      <c r="A45" s="2" t="s">
        <v>997</v>
      </c>
      <c r="B45" s="2" t="n">
        <f aca="false">COUNTIFS(Cleaned!$C$2:$C$125,1,Cleaned!$BM$2:$BM$125,0)+COUNTIFS(Cleaned!$C$2:$C$125,1,Cleaned!$BM$2:$BM$125,1)+COUNTIFS(Cleaned!$C$2:$C$125,2,Cleaned!$BM$2:$BM$125,0)+COUNTIFS(Cleaned!$C$2:$C$125,2,Cleaned!$BM$2:$BM$125,1)+COUNTIFS(Cleaned!$C$2:$C$125,3,Cleaned!$BM$2:$BM$125,0)+COUNTIFS(Cleaned!$C$2:$C$125,3,Cleaned!$BM$2:$BM$125,1)+COUNTIFS(Cleaned!$C$2:$C$125,4,Cleaned!$BM$2:$BM$125,0)+COUNTIFS(Cleaned!$C$2:$C$125,4,Cleaned!$BM$2:$BM$125,1)+COUNTIFS(Cleaned!$C$2:$C$125,5,Cleaned!$BM$2:$BM$125,0)+COUNTIFS(Cleaned!$C$2:$C$125,5,Cleaned!$BM$2:$BM$125,1)</f>
        <v>47</v>
      </c>
      <c r="C45" s="2" t="n">
        <f aca="false">COUNTIFS(Cleaned!$D$2:$D$125,1,Cleaned!$BM$2:$BM$125,0)+COUNTIFS(Cleaned!$D$2:$D$125,1,Cleaned!$BM$2:$BM$125,1)+COUNTIFS(Cleaned!$D$2:$D$125,2,Cleaned!$BM$2:$BM$125,0)+COUNTIFS(Cleaned!$D$2:$D$125,2,Cleaned!$BM$2:$BM$125,1)+COUNTIFS(Cleaned!$D$2:$D$125,3,Cleaned!$BM$2:$BM$125,0)+COUNTIFS(Cleaned!$D$2:$D$125,3,Cleaned!$BM$2:$BM$125,1)+COUNTIFS(Cleaned!$D$2:$D$125,4,Cleaned!$BM$2:$BM$125,0)+COUNTIFS(Cleaned!$D$2:$D$125,4,Cleaned!$BM$2:$BM$125,1)+COUNTIFS(Cleaned!$D$2:$D$125,5,Cleaned!$BM$2:$BM$125,0)+COUNTIFS(Cleaned!$D$2:$D$125,5,Cleaned!$BM$2:$BM$125,1)+COUNTIFS(Cleaned!$D$2:$D$125,6,Cleaned!$BM$2:$BM$125,0)+COUNTIFS(Cleaned!$D$2:$D$125,6,Cleaned!$BM$2:$BM$125,1)+COUNTIFS(Cleaned!$D$2:$D$125,7,Cleaned!$BM$2:$BM$125,0)+COUNTIFS(Cleaned!$D$2:$D$125,7,Cleaned!$BM$2:$BM$125,1)+COUNTIFS(Cleaned!$D$2:$D$125,8,Cleaned!$BM$2:$BM$125,0)+COUNTIFS(Cleaned!$D$2:$D$125,8,Cleaned!$BM$2:$BM$125,1)+COUNTIFS(Cleaned!$D$2:$D$125,9,Cleaned!$BM$2:$BM$125,0)+COUNTIFS(Cleaned!$D$2:$D$125,9,Cleaned!$BM$2:$BM$125,1)+COUNTIFS(Cleaned!$D$2:$D$125,10,Cleaned!$BM$2:$BM$125,0)+COUNTIFS(Cleaned!$D$2:$D$125,10,Cleaned!$BM$2:$BM$125,1)+COUNTIFS(Cleaned!$D$2:$D$125,11,Cleaned!$BM$2:$BM$125,0)+COUNTIFS(Cleaned!$D$2:$D$125,11,Cleaned!$BM$2:$BM$125,1)+COUNTIFS(Cleaned!$D$2:$D$125,12,Cleaned!$BM$2:$BM$125,0)+COUNTIFS(Cleaned!$D$2:$D$125,12,Cleaned!$BM$2:$BM$125,1)</f>
        <v>47</v>
      </c>
      <c r="D45" s="2" t="str">
        <f aca="false">IF(B45=C45,"OK","FAIL")</f>
        <v>OK</v>
      </c>
    </row>
    <row r="46" customFormat="false" ht="15" hidden="false" customHeight="false" outlineLevel="0" collapsed="false">
      <c r="A46" s="2" t="s">
        <v>997</v>
      </c>
      <c r="B46" s="2" t="n">
        <f aca="false">COUNTIFS(Cleaned!$C$2:$C$125,1,Cleaned!$BN$2:$BN$125,0)+COUNTIFS(Cleaned!$C$2:$C$125,1,Cleaned!$BN$2:$BN$125,1)+COUNTIFS(Cleaned!$C$2:$C$125,2,Cleaned!$BN$2:$BN$125,0)+COUNTIFS(Cleaned!$C$2:$C$125,2,Cleaned!$BN$2:$BN$125,1)+COUNTIFS(Cleaned!$C$2:$C$125,3,Cleaned!$BN$2:$BN$125,0)+COUNTIFS(Cleaned!$C$2:$C$125,3,Cleaned!$BN$2:$BN$125,1)+COUNTIFS(Cleaned!$C$2:$C$125,4,Cleaned!$BN$2:$BN$125,0)+COUNTIFS(Cleaned!$C$2:$C$125,4,Cleaned!$BN$2:$BN$125,1)+COUNTIFS(Cleaned!$C$2:$C$125,5,Cleaned!$BN$2:$BN$125,0)+COUNTIFS(Cleaned!$C$2:$C$125,5,Cleaned!$BN$2:$BN$125,1)</f>
        <v>47</v>
      </c>
      <c r="C46" s="2" t="n">
        <f aca="false">COUNTIFS(Cleaned!$D$2:$D$125,1,Cleaned!$BN$2:$BN$125,0)+COUNTIFS(Cleaned!$D$2:$D$125,1,Cleaned!$BN$2:$BN$125,1)+COUNTIFS(Cleaned!$D$2:$D$125,2,Cleaned!$BN$2:$BN$125,0)+COUNTIFS(Cleaned!$D$2:$D$125,2,Cleaned!$BN$2:$BN$125,1)+COUNTIFS(Cleaned!$D$2:$D$125,3,Cleaned!$BN$2:$BN$125,0)+COUNTIFS(Cleaned!$D$2:$D$125,3,Cleaned!$BN$2:$BN$125,1)+COUNTIFS(Cleaned!$D$2:$D$125,4,Cleaned!$BN$2:$BN$125,0)+COUNTIFS(Cleaned!$D$2:$D$125,4,Cleaned!$BN$2:$BN$125,1)+COUNTIFS(Cleaned!$D$2:$D$125,5,Cleaned!$BN$2:$BN$125,0)+COUNTIFS(Cleaned!$D$2:$D$125,5,Cleaned!$BN$2:$BN$125,1)+COUNTIFS(Cleaned!$D$2:$D$125,6,Cleaned!$BN$2:$BN$125,0)+COUNTIFS(Cleaned!$D$2:$D$125,6,Cleaned!$BN$2:$BN$125,1)+COUNTIFS(Cleaned!$D$2:$D$125,7,Cleaned!$BN$2:$BN$125,0)+COUNTIFS(Cleaned!$D$2:$D$125,7,Cleaned!$BN$2:$BN$125,1)+COUNTIFS(Cleaned!$D$2:$D$125,8,Cleaned!$BN$2:$BN$125,0)+COUNTIFS(Cleaned!$D$2:$D$125,8,Cleaned!$BN$2:$BN$125,1)+COUNTIFS(Cleaned!$D$2:$D$125,9,Cleaned!$BN$2:$BN$125,0)+COUNTIFS(Cleaned!$D$2:$D$125,9,Cleaned!$BN$2:$BN$125,1)+COUNTIFS(Cleaned!$D$2:$D$125,10,Cleaned!$BN$2:$BN$125,0)+COUNTIFS(Cleaned!$D$2:$D$125,10,Cleaned!$BN$2:$BN$125,1)+COUNTIFS(Cleaned!$D$2:$D$125,11,Cleaned!$BN$2:$BN$125,0)+COUNTIFS(Cleaned!$D$2:$D$125,11,Cleaned!$BN$2:$BN$125,1)+COUNTIFS(Cleaned!$D$2:$D$125,12,Cleaned!$BN$2:$BN$125,0)+COUNTIFS(Cleaned!$D$2:$D$125,12,Cleaned!$BN$2:$BN$125,1)</f>
        <v>47</v>
      </c>
      <c r="D46" s="2" t="str">
        <f aca="false">IF(B46=C46,"OK","FAIL")</f>
        <v>OK</v>
      </c>
    </row>
    <row r="47" customFormat="false" ht="15" hidden="false" customHeight="false" outlineLevel="0" collapsed="false">
      <c r="A47" s="2" t="s">
        <v>997</v>
      </c>
      <c r="B47" s="2" t="n">
        <f aca="false">COUNTIFS(Cleaned!$C$2:$C$125,1,Cleaned!$BO$2:$BO$125,0)+COUNTIFS(Cleaned!$C$2:$C$125,1,Cleaned!$BO$2:$BO$125,1)+COUNTIFS(Cleaned!$C$2:$C$125,2,Cleaned!$BO$2:$BO$125,0)+COUNTIFS(Cleaned!$C$2:$C$125,2,Cleaned!$BO$2:$BO$125,1)+COUNTIFS(Cleaned!$C$2:$C$125,3,Cleaned!$BO$2:$BO$125,0)+COUNTIFS(Cleaned!$C$2:$C$125,3,Cleaned!$BO$2:$BO$125,1)+COUNTIFS(Cleaned!$C$2:$C$125,4,Cleaned!$BO$2:$BO$125,0)+COUNTIFS(Cleaned!$C$2:$C$125,4,Cleaned!$BO$2:$BO$125,1)+COUNTIFS(Cleaned!$C$2:$C$125,5,Cleaned!$BO$2:$BO$125,0)+COUNTIFS(Cleaned!$C$2:$C$125,5,Cleaned!$BO$2:$BO$125,1)</f>
        <v>47</v>
      </c>
      <c r="C47" s="2" t="n">
        <f aca="false">COUNTIFS(Cleaned!$D$2:$D$125,1,Cleaned!$BO$2:$BO$125,0)+COUNTIFS(Cleaned!$D$2:$D$125,1,Cleaned!$BO$2:$BO$125,1)+COUNTIFS(Cleaned!$D$2:$D$125,2,Cleaned!$BO$2:$BO$125,0)+COUNTIFS(Cleaned!$D$2:$D$125,2,Cleaned!$BO$2:$BO$125,1)+COUNTIFS(Cleaned!$D$2:$D$125,3,Cleaned!$BO$2:$BO$125,0)+COUNTIFS(Cleaned!$D$2:$D$125,3,Cleaned!$BO$2:$BO$125,1)+COUNTIFS(Cleaned!$D$2:$D$125,4,Cleaned!$BO$2:$BO$125,0)+COUNTIFS(Cleaned!$D$2:$D$125,4,Cleaned!$BO$2:$BO$125,1)+COUNTIFS(Cleaned!$D$2:$D$125,5,Cleaned!$BO$2:$BO$125,0)+COUNTIFS(Cleaned!$D$2:$D$125,5,Cleaned!$BO$2:$BO$125,1)+COUNTIFS(Cleaned!$D$2:$D$125,6,Cleaned!$BO$2:$BO$125,0)+COUNTIFS(Cleaned!$D$2:$D$125,6,Cleaned!$BO$2:$BO$125,1)+COUNTIFS(Cleaned!$D$2:$D$125,7,Cleaned!$BO$2:$BO$125,0)+COUNTIFS(Cleaned!$D$2:$D$125,7,Cleaned!$BO$2:$BO$125,1)+COUNTIFS(Cleaned!$D$2:$D$125,8,Cleaned!$BO$2:$BO$125,0)+COUNTIFS(Cleaned!$D$2:$D$125,8,Cleaned!$BO$2:$BO$125,1)+COUNTIFS(Cleaned!$D$2:$D$125,9,Cleaned!$BO$2:$BO$125,0)+COUNTIFS(Cleaned!$D$2:$D$125,9,Cleaned!$BO$2:$BO$125,1)+COUNTIFS(Cleaned!$D$2:$D$125,10,Cleaned!$BO$2:$BO$125,0)+COUNTIFS(Cleaned!$D$2:$D$125,10,Cleaned!$BO$2:$BO$125,1)+COUNTIFS(Cleaned!$D$2:$D$125,11,Cleaned!$BO$2:$BO$125,0)+COUNTIFS(Cleaned!$D$2:$D$125,11,Cleaned!$BO$2:$BO$125,1)+COUNTIFS(Cleaned!$D$2:$D$125,12,Cleaned!$BO$2:$BO$125,0)+COUNTIFS(Cleaned!$D$2:$D$125,12,Cleaned!$BO$2:$BO$125,1)</f>
        <v>47</v>
      </c>
      <c r="D47" s="2" t="str">
        <f aca="false">IF(B47=C47,"OK","FAIL")</f>
        <v>OK</v>
      </c>
    </row>
    <row r="48" customFormat="false" ht="15" hidden="false" customHeight="false" outlineLevel="0" collapsed="false">
      <c r="A48" s="2" t="s">
        <v>997</v>
      </c>
      <c r="B48" s="2" t="n">
        <f aca="false">COUNTIFS(Cleaned!$C$2:$C$125,1,Cleaned!$BP$2:$BP$125,0)+COUNTIFS(Cleaned!$C$2:$C$125,1,Cleaned!$BP$2:$BP$125,1)+COUNTIFS(Cleaned!$C$2:$C$125,2,Cleaned!$BP$2:$BP$125,0)+COUNTIFS(Cleaned!$C$2:$C$125,2,Cleaned!$BP$2:$BP$125,1)+COUNTIFS(Cleaned!$C$2:$C$125,3,Cleaned!$BP$2:$BP$125,0)+COUNTIFS(Cleaned!$C$2:$C$125,3,Cleaned!$BP$2:$BP$125,1)+COUNTIFS(Cleaned!$C$2:$C$125,4,Cleaned!$BP$2:$BP$125,0)+COUNTIFS(Cleaned!$C$2:$C$125,4,Cleaned!$BP$2:$BP$125,1)+COUNTIFS(Cleaned!$C$2:$C$125,5,Cleaned!$BP$2:$BP$125,0)+COUNTIFS(Cleaned!$C$2:$C$125,5,Cleaned!$BP$2:$BP$125,1)</f>
        <v>47</v>
      </c>
      <c r="C48" s="2" t="n">
        <f aca="false">COUNTIFS(Cleaned!$D$2:$D$125,1,Cleaned!$BP$2:$BP$125,0)+COUNTIFS(Cleaned!$D$2:$D$125,1,Cleaned!$BP$2:$BP$125,1)+COUNTIFS(Cleaned!$D$2:$D$125,2,Cleaned!$BP$2:$BP$125,0)+COUNTIFS(Cleaned!$D$2:$D$125,2,Cleaned!$BP$2:$BP$125,1)+COUNTIFS(Cleaned!$D$2:$D$125,3,Cleaned!$BP$2:$BP$125,0)+COUNTIFS(Cleaned!$D$2:$D$125,3,Cleaned!$BP$2:$BP$125,1)+COUNTIFS(Cleaned!$D$2:$D$125,4,Cleaned!$BP$2:$BP$125,0)+COUNTIFS(Cleaned!$D$2:$D$125,4,Cleaned!$BP$2:$BP$125,1)+COUNTIFS(Cleaned!$D$2:$D$125,5,Cleaned!$BP$2:$BP$125,0)+COUNTIFS(Cleaned!$D$2:$D$125,5,Cleaned!$BP$2:$BP$125,1)+COUNTIFS(Cleaned!$D$2:$D$125,6,Cleaned!$BP$2:$BP$125,0)+COUNTIFS(Cleaned!$D$2:$D$125,6,Cleaned!$BP$2:$BP$125,1)+COUNTIFS(Cleaned!$D$2:$D$125,7,Cleaned!$BP$2:$BP$125,0)+COUNTIFS(Cleaned!$D$2:$D$125,7,Cleaned!$BP$2:$BP$125,1)+COUNTIFS(Cleaned!$D$2:$D$125,8,Cleaned!$BP$2:$BP$125,0)+COUNTIFS(Cleaned!$D$2:$D$125,8,Cleaned!$BP$2:$BP$125,1)+COUNTIFS(Cleaned!$D$2:$D$125,9,Cleaned!$BP$2:$BP$125,0)+COUNTIFS(Cleaned!$D$2:$D$125,9,Cleaned!$BP$2:$BP$125,1)+COUNTIFS(Cleaned!$D$2:$D$125,10,Cleaned!$BP$2:$BP$125,0)+COUNTIFS(Cleaned!$D$2:$D$125,10,Cleaned!$BP$2:$BP$125,1)+COUNTIFS(Cleaned!$D$2:$D$125,11,Cleaned!$BP$2:$BP$125,0)+COUNTIFS(Cleaned!$D$2:$D$125,11,Cleaned!$BP$2:$BP$125,1)+COUNTIFS(Cleaned!$D$2:$D$125,12,Cleaned!$BP$2:$BP$125,0)+COUNTIFS(Cleaned!$D$2:$D$125,12,Cleaned!$BP$2:$BP$125,1)</f>
        <v>47</v>
      </c>
      <c r="D48" s="2" t="str">
        <f aca="false">IF(B48=C48,"OK","FAIL")</f>
        <v>OK</v>
      </c>
    </row>
    <row r="49" customFormat="false" ht="15" hidden="false" customHeight="false" outlineLevel="0" collapsed="false">
      <c r="A49" s="2" t="s">
        <v>997</v>
      </c>
      <c r="B49" s="2" t="n">
        <f aca="false">COUNTIFS(Cleaned!$C$2:$C$125,1,Cleaned!$BQ$2:$BQ$125,0)+COUNTIFS(Cleaned!$C$2:$C$125,1,Cleaned!$BQ$2:$BQ$125,1)+COUNTIFS(Cleaned!$C$2:$C$125,2,Cleaned!$BQ$2:$BQ$125,0)+COUNTIFS(Cleaned!$C$2:$C$125,2,Cleaned!$BQ$2:$BQ$125,1)+COUNTIFS(Cleaned!$C$2:$C$125,3,Cleaned!$BQ$2:$BQ$125,0)+COUNTIFS(Cleaned!$C$2:$C$125,3,Cleaned!$BQ$2:$BQ$125,1)+COUNTIFS(Cleaned!$C$2:$C$125,4,Cleaned!$BQ$2:$BQ$125,0)+COUNTIFS(Cleaned!$C$2:$C$125,4,Cleaned!$BQ$2:$BQ$125,1)+COUNTIFS(Cleaned!$C$2:$C$125,5,Cleaned!$BQ$2:$BQ$125,0)+COUNTIFS(Cleaned!$C$2:$C$125,5,Cleaned!$BQ$2:$BQ$125,1)</f>
        <v>47</v>
      </c>
      <c r="C49" s="2" t="n">
        <f aca="false">COUNTIFS(Cleaned!$D$2:$D$125,1,Cleaned!$BQ$2:$BQ$125,0)+COUNTIFS(Cleaned!$D$2:$D$125,1,Cleaned!$BQ$2:$BQ$125,1)+COUNTIFS(Cleaned!$D$2:$D$125,2,Cleaned!$BQ$2:$BQ$125,0)+COUNTIFS(Cleaned!$D$2:$D$125,2,Cleaned!$BQ$2:$BQ$125,1)+COUNTIFS(Cleaned!$D$2:$D$125,3,Cleaned!$BQ$2:$BQ$125,0)+COUNTIFS(Cleaned!$D$2:$D$125,3,Cleaned!$BQ$2:$BQ$125,1)+COUNTIFS(Cleaned!$D$2:$D$125,4,Cleaned!$BQ$2:$BQ$125,0)+COUNTIFS(Cleaned!$D$2:$D$125,4,Cleaned!$BQ$2:$BQ$125,1)+COUNTIFS(Cleaned!$D$2:$D$125,5,Cleaned!$BQ$2:$BQ$125,0)+COUNTIFS(Cleaned!$D$2:$D$125,5,Cleaned!$BQ$2:$BQ$125,1)+COUNTIFS(Cleaned!$D$2:$D$125,6,Cleaned!$BQ$2:$BQ$125,0)+COUNTIFS(Cleaned!$D$2:$D$125,6,Cleaned!$BQ$2:$BQ$125,1)+COUNTIFS(Cleaned!$D$2:$D$125,7,Cleaned!$BQ$2:$BQ$125,0)+COUNTIFS(Cleaned!$D$2:$D$125,7,Cleaned!$BQ$2:$BQ$125,1)+COUNTIFS(Cleaned!$D$2:$D$125,8,Cleaned!$BQ$2:$BQ$125,0)+COUNTIFS(Cleaned!$D$2:$D$125,8,Cleaned!$BQ$2:$BQ$125,1)+COUNTIFS(Cleaned!$D$2:$D$125,9,Cleaned!$BQ$2:$BQ$125,0)+COUNTIFS(Cleaned!$D$2:$D$125,9,Cleaned!$BQ$2:$BQ$125,1)+COUNTIFS(Cleaned!$D$2:$D$125,10,Cleaned!$BQ$2:$BQ$125,0)+COUNTIFS(Cleaned!$D$2:$D$125,10,Cleaned!$BQ$2:$BQ$125,1)+COUNTIFS(Cleaned!$D$2:$D$125,11,Cleaned!$BQ$2:$BQ$125,0)+COUNTIFS(Cleaned!$D$2:$D$125,11,Cleaned!$BQ$2:$BQ$125,1)+COUNTIFS(Cleaned!$D$2:$D$125,12,Cleaned!$BQ$2:$BQ$125,0)+COUNTIFS(Cleaned!$D$2:$D$125,12,Cleaned!$BQ$2:$BQ$125,1)</f>
        <v>47</v>
      </c>
      <c r="D49" s="2" t="str">
        <f aca="false">IF(B49=C49,"OK","FAIL")</f>
        <v>OK</v>
      </c>
    </row>
    <row r="50" customFormat="false" ht="15" hidden="false" customHeight="false" outlineLevel="0" collapsed="false">
      <c r="A50" s="2" t="s">
        <v>998</v>
      </c>
      <c r="B50" s="2" t="n">
        <f aca="false">COUNTIFS(Cleaned!$C$2:$C$125,1,Cleaned!$BS$2:$BS$125,1)+COUNTIFS(Cleaned!$C$2:$C$125,1,Cleaned!$BS$2:$BS$125,2)+COUNTIFS(Cleaned!$C$2:$C$125,2,Cleaned!$BS$2:$BS$125,1)+COUNTIFS(Cleaned!$C$2:$C$125,2,Cleaned!$BS$2:$BS$125,2)+COUNTIFS(Cleaned!$C$2:$C$125,3,Cleaned!$BS$2:$BS$125,1)+COUNTIFS(Cleaned!$C$2:$C$125,3,Cleaned!$BS$2:$BS$125,2)+COUNTIFS(Cleaned!$C$2:$C$125,4,Cleaned!$BS$2:$BS$125,1)+COUNTIFS(Cleaned!$C$2:$C$125,4,Cleaned!$BS$2:$BS$125,2)+COUNTIFS(Cleaned!$C$2:$C$125,5,Cleaned!$BS$2:$BS$125,1)+COUNTIFS(Cleaned!$C$2:$C$125,5,Cleaned!$BS$2:$BS$125,2)</f>
        <v>59</v>
      </c>
      <c r="C50" s="2" t="n">
        <f aca="false">COUNTIFS(Cleaned!$D$2:$D$125,1,Cleaned!$BS$2:$BS$125,1)+COUNTIFS(Cleaned!$D$2:$D$125,1,Cleaned!$BS$2:$BS$125,2)+COUNTIFS(Cleaned!$D$2:$D$125,2,Cleaned!$BS$2:$BS$125,1)+COUNTIFS(Cleaned!$D$2:$D$125,2,Cleaned!$BS$2:$BS$125,2)+COUNTIFS(Cleaned!$D$2:$D$125,3,Cleaned!$BS$2:$BS$125,1)+COUNTIFS(Cleaned!$D$2:$D$125,3,Cleaned!$BS$2:$BS$125,2)+COUNTIFS(Cleaned!$D$2:$D$125,4,Cleaned!$BS$2:$BS$125,1)+COUNTIFS(Cleaned!$D$2:$D$125,4,Cleaned!$BS$2:$BS$125,2)+COUNTIFS(Cleaned!$D$2:$D$125,5,Cleaned!$BS$2:$BS$125,1)+COUNTIFS(Cleaned!$D$2:$D$125,5,Cleaned!$BS$2:$BS$125,2)+COUNTIFS(Cleaned!$D$2:$D$125,6,Cleaned!$BS$2:$BS$125,1)+COUNTIFS(Cleaned!$D$2:$D$125,6,Cleaned!$BS$2:$BS$125,2)+COUNTIFS(Cleaned!$D$2:$D$125,7,Cleaned!$BS$2:$BS$125,1)+COUNTIFS(Cleaned!$D$2:$D$125,7,Cleaned!$BS$2:$BS$125,2)+COUNTIFS(Cleaned!$D$2:$D$125,8,Cleaned!$BS$2:$BS$125,1)+COUNTIFS(Cleaned!$D$2:$D$125,8,Cleaned!$BS$2:$BS$125,2)+COUNTIFS(Cleaned!$D$2:$D$125,9,Cleaned!$BS$2:$BS$125,1)+COUNTIFS(Cleaned!$D$2:$D$125,9,Cleaned!$BS$2:$BS$125,2)+COUNTIFS(Cleaned!$D$2:$D$125,10,Cleaned!$BS$2:$BS$125,1)+COUNTIFS(Cleaned!$D$2:$D$125,10,Cleaned!$BS$2:$BS$125,2)+COUNTIFS(Cleaned!$D$2:$D$125,11,Cleaned!$BS$2:$BS$125,1)+COUNTIFS(Cleaned!$D$2:$D$125,11,Cleaned!$BS$2:$BS$125,2)+COUNTIFS(Cleaned!$D$2:$D$125,12,Cleaned!$BS$2:$BS$125,1)+COUNTIFS(Cleaned!$D$2:$D$125,12,Cleaned!$BS$2:$BS$125,2)</f>
        <v>59</v>
      </c>
      <c r="D50" s="2" t="str">
        <f aca="false">IF(B50=C50,"OK","FAIL")</f>
        <v>OK</v>
      </c>
    </row>
    <row r="51" customFormat="false" ht="15" hidden="false" customHeight="false" outlineLevel="0" collapsed="false">
      <c r="A51" s="2" t="s">
        <v>998</v>
      </c>
      <c r="B51" s="2" t="n">
        <f aca="false">COUNTIFS(Cleaned!$C$2:$C$125,1,Cleaned!$BT$2:$BT$125,1)+COUNTIFS(Cleaned!$C$2:$C$125,1,Cleaned!$BT$2:$BT$125,2)+COUNTIFS(Cleaned!$C$2:$C$125,2,Cleaned!$BT$2:$BT$125,1)+COUNTIFS(Cleaned!$C$2:$C$125,2,Cleaned!$BT$2:$BT$125,2)+COUNTIFS(Cleaned!$C$2:$C$125,3,Cleaned!$BT$2:$BT$125,1)+COUNTIFS(Cleaned!$C$2:$C$125,3,Cleaned!$BT$2:$BT$125,2)+COUNTIFS(Cleaned!$C$2:$C$125,4,Cleaned!$BT$2:$BT$125,1)+COUNTIFS(Cleaned!$C$2:$C$125,4,Cleaned!$BT$2:$BT$125,2)+COUNTIFS(Cleaned!$C$2:$C$125,5,Cleaned!$BT$2:$BT$125,1)+COUNTIFS(Cleaned!$C$2:$C$125,5,Cleaned!$BT$2:$BT$125,2)</f>
        <v>51</v>
      </c>
      <c r="C51" s="2" t="n">
        <f aca="false">COUNTIFS(Cleaned!$D$2:$D$125,1,Cleaned!$BT$2:$BT$125,1)+COUNTIFS(Cleaned!$D$2:$D$125,1,Cleaned!$BT$2:$BT$125,2)+COUNTIFS(Cleaned!$D$2:$D$125,2,Cleaned!$BT$2:$BT$125,1)+COUNTIFS(Cleaned!$D$2:$D$125,2,Cleaned!$BT$2:$BT$125,2)+COUNTIFS(Cleaned!$D$2:$D$125,3,Cleaned!$BT$2:$BT$125,1)+COUNTIFS(Cleaned!$D$2:$D$125,3,Cleaned!$BT$2:$BT$125,2)+COUNTIFS(Cleaned!$D$2:$D$125,4,Cleaned!$BT$2:$BT$125,1)+COUNTIFS(Cleaned!$D$2:$D$125,4,Cleaned!$BT$2:$BT$125,2)+COUNTIFS(Cleaned!$D$2:$D$125,5,Cleaned!$BT$2:$BT$125,1)+COUNTIFS(Cleaned!$D$2:$D$125,5,Cleaned!$BT$2:$BT$125,2)+COUNTIFS(Cleaned!$D$2:$D$125,6,Cleaned!$BT$2:$BT$125,1)+COUNTIFS(Cleaned!$D$2:$D$125,6,Cleaned!$BT$2:$BT$125,2)+COUNTIFS(Cleaned!$D$2:$D$125,7,Cleaned!$BT$2:$BT$125,1)+COUNTIFS(Cleaned!$D$2:$D$125,7,Cleaned!$BT$2:$BT$125,2)+COUNTIFS(Cleaned!$D$2:$D$125,8,Cleaned!$BT$2:$BT$125,1)+COUNTIFS(Cleaned!$D$2:$D$125,8,Cleaned!$BT$2:$BT$125,2)+COUNTIFS(Cleaned!$D$2:$D$125,9,Cleaned!$BT$2:$BT$125,1)+COUNTIFS(Cleaned!$D$2:$D$125,9,Cleaned!$BT$2:$BT$125,2)+COUNTIFS(Cleaned!$D$2:$D$125,10,Cleaned!$BT$2:$BT$125,1)+COUNTIFS(Cleaned!$D$2:$D$125,10,Cleaned!$BT$2:$BT$125,2)+COUNTIFS(Cleaned!$D$2:$D$125,11,Cleaned!$BT$2:$BT$125,1)+COUNTIFS(Cleaned!$D$2:$D$125,11,Cleaned!$BT$2:$BT$125,2)+COUNTIFS(Cleaned!$D$2:$D$125,12,Cleaned!$BT$2:$BT$125,1)+COUNTIFS(Cleaned!$D$2:$D$125,12,Cleaned!$BT$2:$BT$125,2)</f>
        <v>51</v>
      </c>
      <c r="D51" s="2" t="str">
        <f aca="false">IF(B51=C51,"OK","FAIL")</f>
        <v>OK</v>
      </c>
    </row>
    <row r="52" customFormat="false" ht="15" hidden="false" customHeight="false" outlineLevel="0" collapsed="false">
      <c r="A52" s="2" t="s">
        <v>998</v>
      </c>
      <c r="B52" s="2" t="n">
        <f aca="false">COUNTIFS(Cleaned!$C$2:$C$125,1,Cleaned!$BU$2:$BU$125,1)+COUNTIFS(Cleaned!$C$2:$C$125,1,Cleaned!$BU$2:$BU$125,2)+COUNTIFS(Cleaned!$C$2:$C$125,2,Cleaned!$BU$2:$BU$125,1)+COUNTIFS(Cleaned!$C$2:$C$125,2,Cleaned!$BU$2:$BU$125,2)+COUNTIFS(Cleaned!$C$2:$C$125,3,Cleaned!$BU$2:$BU$125,1)+COUNTIFS(Cleaned!$C$2:$C$125,3,Cleaned!$BU$2:$BU$125,2)+COUNTIFS(Cleaned!$C$2:$C$125,4,Cleaned!$BU$2:$BU$125,1)+COUNTIFS(Cleaned!$C$2:$C$125,4,Cleaned!$BU$2:$BU$125,2)+COUNTIFS(Cleaned!$C$2:$C$125,5,Cleaned!$BU$2:$BU$125,1)+COUNTIFS(Cleaned!$C$2:$C$125,5,Cleaned!$BU$2:$BU$125,2)</f>
        <v>41</v>
      </c>
      <c r="C52" s="2" t="n">
        <f aca="false">COUNTIFS(Cleaned!$D$2:$D$125,1,Cleaned!$BU$2:$BU$125,1)+COUNTIFS(Cleaned!$D$2:$D$125,1,Cleaned!$BU$2:$BU$125,2)+COUNTIFS(Cleaned!$D$2:$D$125,2,Cleaned!$BU$2:$BU$125,1)+COUNTIFS(Cleaned!$D$2:$D$125,2,Cleaned!$BU$2:$BU$125,2)+COUNTIFS(Cleaned!$D$2:$D$125,3,Cleaned!$BU$2:$BU$125,1)+COUNTIFS(Cleaned!$D$2:$D$125,3,Cleaned!$BU$2:$BU$125,2)+COUNTIFS(Cleaned!$D$2:$D$125,4,Cleaned!$BU$2:$BU$125,1)+COUNTIFS(Cleaned!$D$2:$D$125,4,Cleaned!$BU$2:$BU$125,2)+COUNTIFS(Cleaned!$D$2:$D$125,5,Cleaned!$BU$2:$BU$125,1)+COUNTIFS(Cleaned!$D$2:$D$125,5,Cleaned!$BU$2:$BU$125,2)+COUNTIFS(Cleaned!$D$2:$D$125,6,Cleaned!$BU$2:$BU$125,1)+COUNTIFS(Cleaned!$D$2:$D$125,6,Cleaned!$BU$2:$BU$125,2)+COUNTIFS(Cleaned!$D$2:$D$125,7,Cleaned!$BU$2:$BU$125,1)+COUNTIFS(Cleaned!$D$2:$D$125,7,Cleaned!$BU$2:$BU$125,2)+COUNTIFS(Cleaned!$D$2:$D$125,8,Cleaned!$BU$2:$BU$125,1)+COUNTIFS(Cleaned!$D$2:$D$125,8,Cleaned!$BU$2:$BU$125,2)+COUNTIFS(Cleaned!$D$2:$D$125,9,Cleaned!$BU$2:$BU$125,1)+COUNTIFS(Cleaned!$D$2:$D$125,9,Cleaned!$BU$2:$BU$125,2)+COUNTIFS(Cleaned!$D$2:$D$125,10,Cleaned!$BU$2:$BU$125,1)+COUNTIFS(Cleaned!$D$2:$D$125,10,Cleaned!$BU$2:$BU$125,2)+COUNTIFS(Cleaned!$D$2:$D$125,11,Cleaned!$BU$2:$BU$125,1)+COUNTIFS(Cleaned!$D$2:$D$125,11,Cleaned!$BU$2:$BU$125,2)+COUNTIFS(Cleaned!$D$2:$D$125,12,Cleaned!$BU$2:$BU$125,1)+COUNTIFS(Cleaned!$D$2:$D$125,12,Cleaned!$BU$2:$BU$125,2)</f>
        <v>41</v>
      </c>
      <c r="D52" s="2" t="str">
        <f aca="false">IF(B52=C52,"OK","FAIL")</f>
        <v>OK</v>
      </c>
    </row>
    <row r="53" customFormat="false" ht="15" hidden="false" customHeight="false" outlineLevel="0" collapsed="false">
      <c r="A53" s="2" t="s">
        <v>999</v>
      </c>
      <c r="B53" s="2" t="n">
        <f aca="false">COUNTIFS(Cleaned!$C$2:$C$125,1,Cleaned!$BV$2:$BV$125,1)+COUNTIFS(Cleaned!$C$2:$C$125,1,Cleaned!$BV$2:$BV$125,2)+COUNTIFS(Cleaned!$C$2:$C$125,2,Cleaned!$BV$2:$BV$125,1)+COUNTIFS(Cleaned!$C$2:$C$125,2,Cleaned!$BV$2:$BV$125,2)+COUNTIFS(Cleaned!$C$2:$C$125,3,Cleaned!$BV$2:$BV$125,1)+COUNTIFS(Cleaned!$C$2:$C$125,3,Cleaned!$BV$2:$BV$125,2)+COUNTIFS(Cleaned!$C$2:$C$125,4,Cleaned!$BV$2:$BV$125,1)+COUNTIFS(Cleaned!$C$2:$C$125,4,Cleaned!$BV$2:$BV$125,2)+COUNTIFS(Cleaned!$C$2:$C$125,5,Cleaned!$BV$2:$BV$125,1)+COUNTIFS(Cleaned!$C$2:$C$125,5,Cleaned!$BV$2:$BV$125,2)</f>
        <v>67</v>
      </c>
      <c r="C53" s="2" t="n">
        <f aca="false">COUNTIFS(Cleaned!$D$2:$D$125,1,Cleaned!$BV$2:$BV$125,1)+COUNTIFS(Cleaned!$D$2:$D$125,1,Cleaned!$BV$2:$BV$125,2)+COUNTIFS(Cleaned!$D$2:$D$125,2,Cleaned!$BV$2:$BV$125,1)+COUNTIFS(Cleaned!$D$2:$D$125,2,Cleaned!$BV$2:$BV$125,2)+COUNTIFS(Cleaned!$D$2:$D$125,3,Cleaned!$BV$2:$BV$125,1)+COUNTIFS(Cleaned!$D$2:$D$125,3,Cleaned!$BV$2:$BV$125,2)+COUNTIFS(Cleaned!$D$2:$D$125,4,Cleaned!$BV$2:$BV$125,1)+COUNTIFS(Cleaned!$D$2:$D$125,4,Cleaned!$BV$2:$BV$125,2)+COUNTIFS(Cleaned!$D$2:$D$125,5,Cleaned!$BV$2:$BV$125,1)+COUNTIFS(Cleaned!$D$2:$D$125,5,Cleaned!$BV$2:$BV$125,2)+COUNTIFS(Cleaned!$D$2:$D$125,6,Cleaned!$BV$2:$BV$125,1)+COUNTIFS(Cleaned!$D$2:$D$125,6,Cleaned!$BV$2:$BV$125,2)+COUNTIFS(Cleaned!$D$2:$D$125,7,Cleaned!$BV$2:$BV$125,1)+COUNTIFS(Cleaned!$D$2:$D$125,7,Cleaned!$BV$2:$BV$125,2)+COUNTIFS(Cleaned!$D$2:$D$125,8,Cleaned!$BV$2:$BV$125,1)+COUNTIFS(Cleaned!$D$2:$D$125,8,Cleaned!$BV$2:$BV$125,2)+COUNTIFS(Cleaned!$D$2:$D$125,9,Cleaned!$BV$2:$BV$125,1)+COUNTIFS(Cleaned!$D$2:$D$125,9,Cleaned!$BV$2:$BV$125,2)+COUNTIFS(Cleaned!$D$2:$D$125,10,Cleaned!$BV$2:$BV$125,1)+COUNTIFS(Cleaned!$D$2:$D$125,10,Cleaned!$BV$2:$BV$125,2)+COUNTIFS(Cleaned!$D$2:$D$125,11,Cleaned!$BV$2:$BV$125,1)+COUNTIFS(Cleaned!$D$2:$D$125,11,Cleaned!$BV$2:$BV$125,2)+COUNTIFS(Cleaned!$D$2:$D$125,12,Cleaned!$BV$2:$BV$125,1)+COUNTIFS(Cleaned!$D$2:$D$125,12,Cleaned!$BV$2:$BV$125,2)</f>
        <v>67</v>
      </c>
      <c r="D53" s="2" t="str">
        <f aca="false">IF(B53=C53,"OK","FAIL")</f>
        <v>OK</v>
      </c>
    </row>
    <row r="54" customFormat="false" ht="15" hidden="false" customHeight="false" outlineLevel="0" collapsed="false">
      <c r="A54" s="2" t="s">
        <v>1000</v>
      </c>
      <c r="B54" s="2" t="n">
        <f aca="false">COUNTIFS(Cleaned!$C$2:$C$125,1,Cleaned!$BX$2:$BX$125,1)+COUNTIFS(Cleaned!$C$2:$C$125,2,Cleaned!$BX$2:$BX$125,1)+COUNTIFS(Cleaned!$C$2:$C$125,3,Cleaned!$BX$2:$BX$125,1)+COUNTIFS(Cleaned!$C$2:$C$125,4,Cleaned!$BX$2:$BX$125,1)+COUNTIFS(Cleaned!$C$2:$C$125,5,Cleaned!$BX$2:$BX$125,1)</f>
        <v>55</v>
      </c>
      <c r="C54" s="2" t="n">
        <f aca="false">COUNTIFS(Cleaned!$D$2:$D$125,1,Cleaned!$BX$2:$BX$125,1)+COUNTIFS(Cleaned!$D$2:$D$125,2,Cleaned!$BX$2:$BX$125,1)+COUNTIFS(Cleaned!$D$2:$D$125,3,Cleaned!$BX$2:$BX$125,1)+COUNTIFS(Cleaned!$D$2:$D$125,4,Cleaned!$BX$2:$BX$125,1)+COUNTIFS(Cleaned!$D$2:$D$125,5,Cleaned!$BX$2:$BX$125,1)+COUNTIFS(Cleaned!$D$2:$D$125,6,Cleaned!$BX$2:$BX$125,1)+COUNTIFS(Cleaned!$D$2:$D$125,7,Cleaned!$BX$2:$BX$125,1)+COUNTIFS(Cleaned!$D$2:$D$125,8,Cleaned!$BX$2:$BX$125,1)+COUNTIFS(Cleaned!$D$2:$D$125,9,Cleaned!$BX$2:$BX$125,1)+COUNTIFS(Cleaned!$D$2:$D$125,10,Cleaned!$BX$2:$BX$125,1)+COUNTIFS(Cleaned!$D$2:$D$125,11,Cleaned!$BX$2:$BX$125,1)+COUNTIFS(Cleaned!$D$2:$D$125,12,Cleaned!$BX$2:$BX$125,1)</f>
        <v>55</v>
      </c>
      <c r="D54" s="2" t="str">
        <f aca="false">IF(B54=C54,"OK","FAIL")</f>
        <v>OK</v>
      </c>
    </row>
    <row r="55" customFormat="false" ht="15" hidden="false" customHeight="false" outlineLevel="0" collapsed="false">
      <c r="A55" s="2" t="s">
        <v>1001</v>
      </c>
      <c r="B55" s="2" t="n">
        <f aca="false">COUNTIFS(Cleaned!$C$2:$C$125,1,Cleaned!$BZ$2:$BZ$125,0)+COUNTIFS(Cleaned!$C$2:$C$125,1,Cleaned!$BZ$2:$BZ$125,1)+COUNTIFS(Cleaned!$C$2:$C$125,2,Cleaned!$BZ$2:$BZ$125,0)+COUNTIFS(Cleaned!$C$2:$C$125,2,Cleaned!$BZ$2:$BZ$125,1)+COUNTIFS(Cleaned!$C$2:$C$125,3,Cleaned!$BZ$2:$BZ$125,0)+COUNTIFS(Cleaned!$C$2:$C$125,3,Cleaned!$BZ$2:$BZ$125,1)+COUNTIFS(Cleaned!$C$2:$C$125,4,Cleaned!$BZ$2:$BZ$125,0)+COUNTIFS(Cleaned!$C$2:$C$125,4,Cleaned!$BZ$2:$BZ$125,1)+COUNTIFS(Cleaned!$C$2:$C$125,5,Cleaned!$BZ$2:$BZ$125,0)+COUNTIFS(Cleaned!$C$2:$C$125,5,Cleaned!$BZ$2:$BZ$125,1)</f>
        <v>56</v>
      </c>
      <c r="C55" s="2" t="n">
        <f aca="false">COUNTIFS(Cleaned!$D$2:$D$125,1,Cleaned!$BZ$2:$BZ$125,0)+COUNTIFS(Cleaned!$D$2:$D$125,1,Cleaned!$BZ$2:$BZ$125,1)+COUNTIFS(Cleaned!$D$2:$D$125,2,Cleaned!$BZ$2:$BZ$125,0)+COUNTIFS(Cleaned!$D$2:$D$125,2,Cleaned!$BZ$2:$BZ$125,1)+COUNTIFS(Cleaned!$D$2:$D$125,3,Cleaned!$BZ$2:$BZ$125,0)+COUNTIFS(Cleaned!$D$2:$D$125,3,Cleaned!$BZ$2:$BZ$125,1)+COUNTIFS(Cleaned!$D$2:$D$125,4,Cleaned!$BZ$2:$BZ$125,0)+COUNTIFS(Cleaned!$D$2:$D$125,4,Cleaned!$BZ$2:$BZ$125,1)+COUNTIFS(Cleaned!$D$2:$D$125,5,Cleaned!$BZ$2:$BZ$125,0)+COUNTIFS(Cleaned!$D$2:$D$125,5,Cleaned!$BZ$2:$BZ$125,1)+COUNTIFS(Cleaned!$D$2:$D$125,6,Cleaned!$BZ$2:$BZ$125,0)+COUNTIFS(Cleaned!$D$2:$D$125,6,Cleaned!$BZ$2:$BZ$125,1)+COUNTIFS(Cleaned!$D$2:$D$125,7,Cleaned!$BZ$2:$BZ$125,0)+COUNTIFS(Cleaned!$D$2:$D$125,7,Cleaned!$BZ$2:$BZ$125,1)+COUNTIFS(Cleaned!$D$2:$D$125,8,Cleaned!$BZ$2:$BZ$125,0)+COUNTIFS(Cleaned!$D$2:$D$125,8,Cleaned!$BZ$2:$BZ$125,1)+COUNTIFS(Cleaned!$D$2:$D$125,9,Cleaned!$BZ$2:$BZ$125,0)+COUNTIFS(Cleaned!$D$2:$D$125,9,Cleaned!$BZ$2:$BZ$125,1)+COUNTIFS(Cleaned!$D$2:$D$125,10,Cleaned!$BZ$2:$BZ$125,0)+COUNTIFS(Cleaned!$D$2:$D$125,10,Cleaned!$BZ$2:$BZ$125,1)+COUNTIFS(Cleaned!$D$2:$D$125,11,Cleaned!$BZ$2:$BZ$125,0)+COUNTIFS(Cleaned!$D$2:$D$125,11,Cleaned!$BZ$2:$BZ$125,1)+COUNTIFS(Cleaned!$D$2:$D$125,12,Cleaned!$BZ$2:$BZ$125,0)+COUNTIFS(Cleaned!$D$2:$D$125,12,Cleaned!$BZ$2:$BZ$125,1)</f>
        <v>56</v>
      </c>
      <c r="D55" s="2" t="str">
        <f aca="false">IF(B55=C55,"OK","FAIL")</f>
        <v>OK</v>
      </c>
    </row>
    <row r="56" customFormat="false" ht="15" hidden="false" customHeight="false" outlineLevel="0" collapsed="false">
      <c r="A56" s="2" t="s">
        <v>1001</v>
      </c>
      <c r="B56" s="2" t="n">
        <f aca="false">COUNTIFS(Cleaned!$C$2:$C$125,1,Cleaned!$CA$2:$CA$125,0)+COUNTIFS(Cleaned!$C$2:$C$125,1,Cleaned!$CA$2:$CA$125,1)+COUNTIFS(Cleaned!$C$2:$C$125,2,Cleaned!$CA$2:$CA$125,0)+COUNTIFS(Cleaned!$C$2:$C$125,2,Cleaned!$CA$2:$CA$125,1)+COUNTIFS(Cleaned!$C$2:$C$125,3,Cleaned!$CA$2:$CA$125,0)+COUNTIFS(Cleaned!$C$2:$C$125,3,Cleaned!$CA$2:$CA$125,1)+COUNTIFS(Cleaned!$C$2:$C$125,4,Cleaned!$CA$2:$CA$125,0)+COUNTIFS(Cleaned!$C$2:$C$125,4,Cleaned!$CA$2:$CA$125,1)+COUNTIFS(Cleaned!$C$2:$C$125,5,Cleaned!$CA$2:$CA$125,0)+COUNTIFS(Cleaned!$C$2:$C$125,5,Cleaned!$CA$2:$CA$125,1)</f>
        <v>56</v>
      </c>
      <c r="C56" s="2" t="n">
        <f aca="false">COUNTIFS(Cleaned!$D$2:$D$125,1,Cleaned!$CA$2:$CA$125,0)+COUNTIFS(Cleaned!$D$2:$D$125,1,Cleaned!$CA$2:$CA$125,1)+COUNTIFS(Cleaned!$D$2:$D$125,2,Cleaned!$CA$2:$CA$125,0)+COUNTIFS(Cleaned!$D$2:$D$125,2,Cleaned!$CA$2:$CA$125,1)+COUNTIFS(Cleaned!$D$2:$D$125,3,Cleaned!$CA$2:$CA$125,0)+COUNTIFS(Cleaned!$D$2:$D$125,3,Cleaned!$CA$2:$CA$125,1)+COUNTIFS(Cleaned!$D$2:$D$125,4,Cleaned!$CA$2:$CA$125,0)+COUNTIFS(Cleaned!$D$2:$D$125,4,Cleaned!$CA$2:$CA$125,1)+COUNTIFS(Cleaned!$D$2:$D$125,5,Cleaned!$CA$2:$CA$125,0)+COUNTIFS(Cleaned!$D$2:$D$125,5,Cleaned!$CA$2:$CA$125,1)+COUNTIFS(Cleaned!$D$2:$D$125,6,Cleaned!$CA$2:$CA$125,0)+COUNTIFS(Cleaned!$D$2:$D$125,6,Cleaned!$CA$2:$CA$125,1)+COUNTIFS(Cleaned!$D$2:$D$125,7,Cleaned!$CA$2:$CA$125,0)+COUNTIFS(Cleaned!$D$2:$D$125,7,Cleaned!$CA$2:$CA$125,1)+COUNTIFS(Cleaned!$D$2:$D$125,8,Cleaned!$CA$2:$CA$125,0)+COUNTIFS(Cleaned!$D$2:$D$125,8,Cleaned!$CA$2:$CA$125,1)+COUNTIFS(Cleaned!$D$2:$D$125,9,Cleaned!$CA$2:$CA$125,0)+COUNTIFS(Cleaned!$D$2:$D$125,9,Cleaned!$CA$2:$CA$125,1)+COUNTIFS(Cleaned!$D$2:$D$125,10,Cleaned!$CA$2:$CA$125,0)+COUNTIFS(Cleaned!$D$2:$D$125,10,Cleaned!$CA$2:$CA$125,1)+COUNTIFS(Cleaned!$D$2:$D$125,11,Cleaned!$CA$2:$CA$125,0)+COUNTIFS(Cleaned!$D$2:$D$125,11,Cleaned!$CA$2:$CA$125,1)+COUNTIFS(Cleaned!$D$2:$D$125,12,Cleaned!$CA$2:$CA$125,0)+COUNTIFS(Cleaned!$D$2:$D$125,12,Cleaned!$CA$2:$CA$125,1)</f>
        <v>56</v>
      </c>
      <c r="D56" s="2" t="str">
        <f aca="false">IF(B56=C56,"OK","FAIL")</f>
        <v>OK</v>
      </c>
    </row>
    <row r="57" customFormat="false" ht="15" hidden="false" customHeight="false" outlineLevel="0" collapsed="false">
      <c r="A57" s="2" t="s">
        <v>1001</v>
      </c>
      <c r="B57" s="2" t="n">
        <f aca="false">COUNTIFS(Cleaned!$C$2:$C$125,1,Cleaned!$CB$2:$CB$125,0)+COUNTIFS(Cleaned!$C$2:$C$125,1,Cleaned!$CB$2:$CB$125,1)+COUNTIFS(Cleaned!$C$2:$C$125,2,Cleaned!$CB$2:$CB$125,0)+COUNTIFS(Cleaned!$C$2:$C$125,2,Cleaned!$CB$2:$CB$125,1)+COUNTIFS(Cleaned!$C$2:$C$125,3,Cleaned!$CB$2:$CB$125,0)+COUNTIFS(Cleaned!$C$2:$C$125,3,Cleaned!$CB$2:$CB$125,1)+COUNTIFS(Cleaned!$C$2:$C$125,4,Cleaned!$CB$2:$CB$125,0)+COUNTIFS(Cleaned!$C$2:$C$125,4,Cleaned!$CB$2:$CB$125,1)+COUNTIFS(Cleaned!$C$2:$C$125,5,Cleaned!$CB$2:$CB$125,0)+COUNTIFS(Cleaned!$C$2:$C$125,5,Cleaned!$CB$2:$CB$125,1)</f>
        <v>56</v>
      </c>
      <c r="C57" s="2" t="n">
        <f aca="false">COUNTIFS(Cleaned!$D$2:$D$125,1,Cleaned!$CB$2:$CB$125,0)+COUNTIFS(Cleaned!$D$2:$D$125,1,Cleaned!$CB$2:$CB$125,1)+COUNTIFS(Cleaned!$D$2:$D$125,2,Cleaned!$CB$2:$CB$125,0)+COUNTIFS(Cleaned!$D$2:$D$125,2,Cleaned!$CB$2:$CB$125,1)+COUNTIFS(Cleaned!$D$2:$D$125,3,Cleaned!$CB$2:$CB$125,0)+COUNTIFS(Cleaned!$D$2:$D$125,3,Cleaned!$CB$2:$CB$125,1)+COUNTIFS(Cleaned!$D$2:$D$125,4,Cleaned!$CB$2:$CB$125,0)+COUNTIFS(Cleaned!$D$2:$D$125,4,Cleaned!$CB$2:$CB$125,1)+COUNTIFS(Cleaned!$D$2:$D$125,5,Cleaned!$CB$2:$CB$125,0)+COUNTIFS(Cleaned!$D$2:$D$125,5,Cleaned!$CB$2:$CB$125,1)+COUNTIFS(Cleaned!$D$2:$D$125,6,Cleaned!$CB$2:$CB$125,0)+COUNTIFS(Cleaned!$D$2:$D$125,6,Cleaned!$CB$2:$CB$125,1)+COUNTIFS(Cleaned!$D$2:$D$125,7,Cleaned!$CB$2:$CB$125,0)+COUNTIFS(Cleaned!$D$2:$D$125,7,Cleaned!$CB$2:$CB$125,1)+COUNTIFS(Cleaned!$D$2:$D$125,8,Cleaned!$CB$2:$CB$125,0)+COUNTIFS(Cleaned!$D$2:$D$125,8,Cleaned!$CB$2:$CB$125,1)+COUNTIFS(Cleaned!$D$2:$D$125,9,Cleaned!$CB$2:$CB$125,0)+COUNTIFS(Cleaned!$D$2:$D$125,9,Cleaned!$CB$2:$CB$125,1)+COUNTIFS(Cleaned!$D$2:$D$125,10,Cleaned!$CB$2:$CB$125,0)+COUNTIFS(Cleaned!$D$2:$D$125,10,Cleaned!$CB$2:$CB$125,1)+COUNTIFS(Cleaned!$D$2:$D$125,11,Cleaned!$CB$2:$CB$125,0)+COUNTIFS(Cleaned!$D$2:$D$125,11,Cleaned!$CB$2:$CB$125,1)+COUNTIFS(Cleaned!$D$2:$D$125,12,Cleaned!$CB$2:$CB$125,0)+COUNTIFS(Cleaned!$D$2:$D$125,12,Cleaned!$CB$2:$CB$125,1)</f>
        <v>56</v>
      </c>
      <c r="D57" s="2" t="str">
        <f aca="false">IF(B57=C57,"OK","FAIL")</f>
        <v>OK</v>
      </c>
    </row>
    <row r="58" customFormat="false" ht="15" hidden="false" customHeight="false" outlineLevel="0" collapsed="false">
      <c r="A58" s="2" t="s">
        <v>1001</v>
      </c>
      <c r="B58" s="2" t="n">
        <f aca="false">COUNTIFS(Cleaned!$C$2:$C$125,1,Cleaned!$CC$2:$CC$125,0)+COUNTIFS(Cleaned!$C$2:$C$125,1,Cleaned!$CC$2:$CC$125,1)+COUNTIFS(Cleaned!$C$2:$C$125,2,Cleaned!$CC$2:$CC$125,0)+COUNTIFS(Cleaned!$C$2:$C$125,2,Cleaned!$CC$2:$CC$125,1)+COUNTIFS(Cleaned!$C$2:$C$125,3,Cleaned!$CC$2:$CC$125,0)+COUNTIFS(Cleaned!$C$2:$C$125,3,Cleaned!$CC$2:$CC$125,1)+COUNTIFS(Cleaned!$C$2:$C$125,4,Cleaned!$CC$2:$CC$125,0)+COUNTIFS(Cleaned!$C$2:$C$125,4,Cleaned!$CC$2:$CC$125,1)+COUNTIFS(Cleaned!$C$2:$C$125,5,Cleaned!$CC$2:$CC$125,0)+COUNTIFS(Cleaned!$C$2:$C$125,5,Cleaned!$CC$2:$CC$125,1)</f>
        <v>56</v>
      </c>
      <c r="C58" s="2" t="n">
        <f aca="false">COUNTIFS(Cleaned!$D$2:$D$125,1,Cleaned!$CC$2:$CC$125,0)+COUNTIFS(Cleaned!$D$2:$D$125,1,Cleaned!$CC$2:$CC$125,1)+COUNTIFS(Cleaned!$D$2:$D$125,2,Cleaned!$CC$2:$CC$125,0)+COUNTIFS(Cleaned!$D$2:$D$125,2,Cleaned!$CC$2:$CC$125,1)+COUNTIFS(Cleaned!$D$2:$D$125,3,Cleaned!$CC$2:$CC$125,0)+COUNTIFS(Cleaned!$D$2:$D$125,3,Cleaned!$CC$2:$CC$125,1)+COUNTIFS(Cleaned!$D$2:$D$125,4,Cleaned!$CC$2:$CC$125,0)+COUNTIFS(Cleaned!$D$2:$D$125,4,Cleaned!$CC$2:$CC$125,1)+COUNTIFS(Cleaned!$D$2:$D$125,5,Cleaned!$CC$2:$CC$125,0)+COUNTIFS(Cleaned!$D$2:$D$125,5,Cleaned!$CC$2:$CC$125,1)+COUNTIFS(Cleaned!$D$2:$D$125,6,Cleaned!$CC$2:$CC$125,0)+COUNTIFS(Cleaned!$D$2:$D$125,6,Cleaned!$CC$2:$CC$125,1)+COUNTIFS(Cleaned!$D$2:$D$125,7,Cleaned!$CC$2:$CC$125,0)+COUNTIFS(Cleaned!$D$2:$D$125,7,Cleaned!$CC$2:$CC$125,1)+COUNTIFS(Cleaned!$D$2:$D$125,8,Cleaned!$CC$2:$CC$125,0)+COUNTIFS(Cleaned!$D$2:$D$125,8,Cleaned!$CC$2:$CC$125,1)+COUNTIFS(Cleaned!$D$2:$D$125,9,Cleaned!$CC$2:$CC$125,0)+COUNTIFS(Cleaned!$D$2:$D$125,9,Cleaned!$CC$2:$CC$125,1)+COUNTIFS(Cleaned!$D$2:$D$125,10,Cleaned!$CC$2:$CC$125,0)+COUNTIFS(Cleaned!$D$2:$D$125,10,Cleaned!$CC$2:$CC$125,1)+COUNTIFS(Cleaned!$D$2:$D$125,11,Cleaned!$CC$2:$CC$125,0)+COUNTIFS(Cleaned!$D$2:$D$125,11,Cleaned!$CC$2:$CC$125,1)+COUNTIFS(Cleaned!$D$2:$D$125,12,Cleaned!$CC$2:$CC$125,0)+COUNTIFS(Cleaned!$D$2:$D$125,12,Cleaned!$CC$2:$CC$125,1)</f>
        <v>56</v>
      </c>
      <c r="D58" s="2" t="str">
        <f aca="false">IF(B58=C58,"OK","FAIL")</f>
        <v>OK</v>
      </c>
    </row>
    <row r="59" customFormat="false" ht="15" hidden="false" customHeight="false" outlineLevel="0" collapsed="false">
      <c r="A59" s="2" t="s">
        <v>1001</v>
      </c>
      <c r="B59" s="2" t="n">
        <f aca="false">COUNTIFS(Cleaned!$C$2:$C$125,1,Cleaned!$CD$2:$CD$125,0)+COUNTIFS(Cleaned!$C$2:$C$125,1,Cleaned!$CD$2:$CD$125,1)+COUNTIFS(Cleaned!$C$2:$C$125,2,Cleaned!$CD$2:$CD$125,0)+COUNTIFS(Cleaned!$C$2:$C$125,2,Cleaned!$CD$2:$CD$125,1)+COUNTIFS(Cleaned!$C$2:$C$125,3,Cleaned!$CD$2:$CD$125,0)+COUNTIFS(Cleaned!$C$2:$C$125,3,Cleaned!$CD$2:$CD$125,1)+COUNTIFS(Cleaned!$C$2:$C$125,4,Cleaned!$CD$2:$CD$125,0)+COUNTIFS(Cleaned!$C$2:$C$125,4,Cleaned!$CD$2:$CD$125,1)+COUNTIFS(Cleaned!$C$2:$C$125,5,Cleaned!$CD$2:$CD$125,0)+COUNTIFS(Cleaned!$C$2:$C$125,5,Cleaned!$CD$2:$CD$125,1)</f>
        <v>56</v>
      </c>
      <c r="C59" s="2" t="n">
        <f aca="false">COUNTIFS(Cleaned!$D$2:$D$125,1,Cleaned!$CD$2:$CD$125,0)+COUNTIFS(Cleaned!$D$2:$D$125,1,Cleaned!$CD$2:$CD$125,1)+COUNTIFS(Cleaned!$D$2:$D$125,2,Cleaned!$CD$2:$CD$125,0)+COUNTIFS(Cleaned!$D$2:$D$125,2,Cleaned!$CD$2:$CD$125,1)+COUNTIFS(Cleaned!$D$2:$D$125,3,Cleaned!$CD$2:$CD$125,0)+COUNTIFS(Cleaned!$D$2:$D$125,3,Cleaned!$CD$2:$CD$125,1)+COUNTIFS(Cleaned!$D$2:$D$125,4,Cleaned!$CD$2:$CD$125,0)+COUNTIFS(Cleaned!$D$2:$D$125,4,Cleaned!$CD$2:$CD$125,1)+COUNTIFS(Cleaned!$D$2:$D$125,5,Cleaned!$CD$2:$CD$125,0)+COUNTIFS(Cleaned!$D$2:$D$125,5,Cleaned!$CD$2:$CD$125,1)+COUNTIFS(Cleaned!$D$2:$D$125,6,Cleaned!$CD$2:$CD$125,0)+COUNTIFS(Cleaned!$D$2:$D$125,6,Cleaned!$CD$2:$CD$125,1)+COUNTIFS(Cleaned!$D$2:$D$125,7,Cleaned!$CD$2:$CD$125,0)+COUNTIFS(Cleaned!$D$2:$D$125,7,Cleaned!$CD$2:$CD$125,1)+COUNTIFS(Cleaned!$D$2:$D$125,8,Cleaned!$CD$2:$CD$125,0)+COUNTIFS(Cleaned!$D$2:$D$125,8,Cleaned!$CD$2:$CD$125,1)+COUNTIFS(Cleaned!$D$2:$D$125,9,Cleaned!$CD$2:$CD$125,0)+COUNTIFS(Cleaned!$D$2:$D$125,9,Cleaned!$CD$2:$CD$125,1)+COUNTIFS(Cleaned!$D$2:$D$125,10,Cleaned!$CD$2:$CD$125,0)+COUNTIFS(Cleaned!$D$2:$D$125,10,Cleaned!$CD$2:$CD$125,1)+COUNTIFS(Cleaned!$D$2:$D$125,11,Cleaned!$CD$2:$CD$125,0)+COUNTIFS(Cleaned!$D$2:$D$125,11,Cleaned!$CD$2:$CD$125,1)+COUNTIFS(Cleaned!$D$2:$D$125,12,Cleaned!$CD$2:$CD$125,0)+COUNTIFS(Cleaned!$D$2:$D$125,12,Cleaned!$CD$2:$CD$125,1)</f>
        <v>56</v>
      </c>
      <c r="D59" s="2" t="str">
        <f aca="false">IF(B59=C59,"OK","FAIL")</f>
        <v>OK</v>
      </c>
    </row>
    <row r="60" customFormat="false" ht="15" hidden="false" customHeight="false" outlineLevel="0" collapsed="false">
      <c r="A60" s="2" t="s">
        <v>1001</v>
      </c>
      <c r="B60" s="2" t="n">
        <f aca="false">COUNTIFS(Cleaned!$C$2:$C$125,1,Cleaned!$CE$2:$CE$125,0)+COUNTIFS(Cleaned!$C$2:$C$125,1,Cleaned!$CE$2:$CE$125,1)+COUNTIFS(Cleaned!$C$2:$C$125,2,Cleaned!$CE$2:$CE$125,0)+COUNTIFS(Cleaned!$C$2:$C$125,2,Cleaned!$CE$2:$CE$125,1)+COUNTIFS(Cleaned!$C$2:$C$125,3,Cleaned!$CE$2:$CE$125,0)+COUNTIFS(Cleaned!$C$2:$C$125,3,Cleaned!$CE$2:$CE$125,1)+COUNTIFS(Cleaned!$C$2:$C$125,4,Cleaned!$CE$2:$CE$125,0)+COUNTIFS(Cleaned!$C$2:$C$125,4,Cleaned!$CE$2:$CE$125,1)+COUNTIFS(Cleaned!$C$2:$C$125,5,Cleaned!$CE$2:$CE$125,0)+COUNTIFS(Cleaned!$C$2:$C$125,5,Cleaned!$CE$2:$CE$125,1)</f>
        <v>56</v>
      </c>
      <c r="C60" s="2" t="n">
        <f aca="false">COUNTIFS(Cleaned!$D$2:$D$125,1,Cleaned!$CE$2:$CE$125,0)+COUNTIFS(Cleaned!$D$2:$D$125,1,Cleaned!$CE$2:$CE$125,1)+COUNTIFS(Cleaned!$D$2:$D$125,2,Cleaned!$CE$2:$CE$125,0)+COUNTIFS(Cleaned!$D$2:$D$125,2,Cleaned!$CE$2:$CE$125,1)+COUNTIFS(Cleaned!$D$2:$D$125,3,Cleaned!$CE$2:$CE$125,0)+COUNTIFS(Cleaned!$D$2:$D$125,3,Cleaned!$CE$2:$CE$125,1)+COUNTIFS(Cleaned!$D$2:$D$125,4,Cleaned!$CE$2:$CE$125,0)+COUNTIFS(Cleaned!$D$2:$D$125,4,Cleaned!$CE$2:$CE$125,1)+COUNTIFS(Cleaned!$D$2:$D$125,5,Cleaned!$CE$2:$CE$125,0)+COUNTIFS(Cleaned!$D$2:$D$125,5,Cleaned!$CE$2:$CE$125,1)+COUNTIFS(Cleaned!$D$2:$D$125,6,Cleaned!$CE$2:$CE$125,0)+COUNTIFS(Cleaned!$D$2:$D$125,6,Cleaned!$CE$2:$CE$125,1)+COUNTIFS(Cleaned!$D$2:$D$125,7,Cleaned!$CE$2:$CE$125,0)+COUNTIFS(Cleaned!$D$2:$D$125,7,Cleaned!$CE$2:$CE$125,1)+COUNTIFS(Cleaned!$D$2:$D$125,8,Cleaned!$CE$2:$CE$125,0)+COUNTIFS(Cleaned!$D$2:$D$125,8,Cleaned!$CE$2:$CE$125,1)+COUNTIFS(Cleaned!$D$2:$D$125,9,Cleaned!$CE$2:$CE$125,0)+COUNTIFS(Cleaned!$D$2:$D$125,9,Cleaned!$CE$2:$CE$125,1)+COUNTIFS(Cleaned!$D$2:$D$125,10,Cleaned!$CE$2:$CE$125,0)+COUNTIFS(Cleaned!$D$2:$D$125,10,Cleaned!$CE$2:$CE$125,1)+COUNTIFS(Cleaned!$D$2:$D$125,11,Cleaned!$CE$2:$CE$125,0)+COUNTIFS(Cleaned!$D$2:$D$125,11,Cleaned!$CE$2:$CE$125,1)+COUNTIFS(Cleaned!$D$2:$D$125,12,Cleaned!$CE$2:$CE$125,0)+COUNTIFS(Cleaned!$D$2:$D$125,12,Cleaned!$CE$2:$CE$125,1)</f>
        <v>56</v>
      </c>
      <c r="D60" s="2" t="str">
        <f aca="false">IF(B60=C60,"OK","FAIL")</f>
        <v>OK</v>
      </c>
    </row>
    <row r="61" customFormat="false" ht="15" hidden="false" customHeight="false" outlineLevel="0" collapsed="false">
      <c r="A61" s="2" t="s">
        <v>1002</v>
      </c>
      <c r="B61" s="2" t="n">
        <f aca="false">COUNTIFS(Cleaned!$C$2:$C$125,1,Cleaned!$CG$2:$CG$125,1)+COUNTIFS(Cleaned!$C$2:$C$125,1,Cleaned!$CG$2:$CG$125,2)+COUNTIFS(Cleaned!$C$2:$C$125,1,Cleaned!$CG$2:$CG$125,3)+COUNTIFS(Cleaned!$C$2:$C$125,1,Cleaned!$CG$2:$CG$125,4)+COUNTIFS(Cleaned!$C$2:$C$125,1,Cleaned!$CG$2:$CG$125,5)+COUNTIFS(Cleaned!$C$2:$C$125,2,Cleaned!$CG$2:$CG$125,1)+COUNTIFS(Cleaned!$C$2:$C$125,2,Cleaned!$CG$2:$CG$125,2)+COUNTIFS(Cleaned!$C$2:$C$125,2,Cleaned!$CG$2:$CG$125,3)+COUNTIFS(Cleaned!$C$2:$C$125,2,Cleaned!$CG$2:$CG$125,4)+COUNTIFS(Cleaned!$C$2:$C$125,2,Cleaned!$CG$2:$CG$125,5)+COUNTIFS(Cleaned!$C$2:$C$125,3,Cleaned!$CG$2:$CG$125,1)+COUNTIFS(Cleaned!$C$2:$C$125,3,Cleaned!$CG$2:$CG$125,2)+COUNTIFS(Cleaned!$C$2:$C$125,3,Cleaned!$CG$2:$CG$125,3)+COUNTIFS(Cleaned!$C$2:$C$125,3,Cleaned!$CG$2:$CG$125,4)+COUNTIFS(Cleaned!$C$2:$C$125,3,Cleaned!$CG$2:$CG$125,5)+COUNTIFS(Cleaned!$C$2:$C$125,4,Cleaned!$CG$2:$CG$125,1)+COUNTIFS(Cleaned!$C$2:$C$125,4,Cleaned!$CG$2:$CG$125,2)+COUNTIFS(Cleaned!$C$2:$C$125,4,Cleaned!$CG$2:$CG$125,3)+COUNTIFS(Cleaned!$C$2:$C$125,4,Cleaned!$CG$2:$CG$125,4)+COUNTIFS(Cleaned!$C$2:$C$125,4,Cleaned!$CG$2:$CG$125,5)+COUNTIFS(Cleaned!$C$2:$C$125,5,Cleaned!$CG$2:$CG$125,1)+COUNTIFS(Cleaned!$C$2:$C$125,5,Cleaned!$CG$2:$CG$125,2)+COUNTIFS(Cleaned!$C$2:$C$125,5,Cleaned!$CG$2:$CG$125,3)+COUNTIFS(Cleaned!$C$2:$C$125,5,Cleaned!$CG$2:$CG$125,4)+COUNTIFS(Cleaned!$C$2:$C$125,5,Cleaned!$CG$2:$CG$125,5)</f>
        <v>56</v>
      </c>
      <c r="C61" s="2" t="n">
        <f aca="false">COUNTIFS(Cleaned!$D$2:$D$125,1,Cleaned!$CG$2:$CG$125,1)+COUNTIFS(Cleaned!$D$2:$D$125,1,Cleaned!$CG$2:$CG$125,2)+COUNTIFS(Cleaned!$D$2:$D$125,1,Cleaned!$CG$2:$CG$125,3)+COUNTIFS(Cleaned!$D$2:$D$125,1,Cleaned!$CG$2:$CG$125,4)+COUNTIFS(Cleaned!$D$2:$D$125,1,Cleaned!$CG$2:$CG$125,5)+COUNTIFS(Cleaned!$D$2:$D$125,2,Cleaned!$CG$2:$CG$125,1)+COUNTIFS(Cleaned!$D$2:$D$125,2,Cleaned!$CG$2:$CG$125,2)+COUNTIFS(Cleaned!$D$2:$D$125,2,Cleaned!$CG$2:$CG$125,3)+COUNTIFS(Cleaned!$D$2:$D$125,2,Cleaned!$CG$2:$CG$125,4)+COUNTIFS(Cleaned!$D$2:$D$125,2,Cleaned!$CG$2:$CG$125,5)+COUNTIFS(Cleaned!$D$2:$D$125,3,Cleaned!$CG$2:$CG$125,1)+COUNTIFS(Cleaned!$D$2:$D$125,3,Cleaned!$CG$2:$CG$125,2)+COUNTIFS(Cleaned!$D$2:$D$125,3,Cleaned!$CG$2:$CG$125,3)+COUNTIFS(Cleaned!$D$2:$D$125,3,Cleaned!$CG$2:$CG$125,4)+COUNTIFS(Cleaned!$D$2:$D$125,3,Cleaned!$CG$2:$CG$125,5)+COUNTIFS(Cleaned!$D$2:$D$125,4,Cleaned!$CG$2:$CG$125,1)+COUNTIFS(Cleaned!$D$2:$D$125,4,Cleaned!$CG$2:$CG$125,2)+COUNTIFS(Cleaned!$D$2:$D$125,4,Cleaned!$CG$2:$CG$125,3)+COUNTIFS(Cleaned!$D$2:$D$125,4,Cleaned!$CG$2:$CG$125,4)+COUNTIFS(Cleaned!$D$2:$D$125,4,Cleaned!$CG$2:$CG$125,5)+COUNTIFS(Cleaned!$D$2:$D$125,5,Cleaned!$CG$2:$CG$125,1)+COUNTIFS(Cleaned!$D$2:$D$125,5,Cleaned!$CG$2:$CG$125,2)+COUNTIFS(Cleaned!$D$2:$D$125,5,Cleaned!$CG$2:$CG$125,3)+COUNTIFS(Cleaned!$D$2:$D$125,5,Cleaned!$CG$2:$CG$125,4)+COUNTIFS(Cleaned!$D$2:$D$125,5,Cleaned!$CG$2:$CG$125,5)+COUNTIFS(Cleaned!$D$2:$D$125,6,Cleaned!$CG$2:$CG$125,1)+COUNTIFS(Cleaned!$D$2:$D$125,6,Cleaned!$CG$2:$CG$125,2)+COUNTIFS(Cleaned!$D$2:$D$125,6,Cleaned!$CG$2:$CG$125,3)+COUNTIFS(Cleaned!$D$2:$D$125,6,Cleaned!$CG$2:$CG$125,4)+COUNTIFS(Cleaned!$D$2:$D$125,6,Cleaned!$CG$2:$CG$125,5)+COUNTIFS(Cleaned!$D$2:$D$125,7,Cleaned!$CG$2:$CG$125,1)+COUNTIFS(Cleaned!$D$2:$D$125,7,Cleaned!$CG$2:$CG$125,2)+COUNTIFS(Cleaned!$D$2:$D$125,7,Cleaned!$CG$2:$CG$125,3)+COUNTIFS(Cleaned!$D$2:$D$125,7,Cleaned!$CG$2:$CG$125,4)+COUNTIFS(Cleaned!$D$2:$D$125,7,Cleaned!$CG$2:$CG$125,5)+COUNTIFS(Cleaned!$D$2:$D$125,8,Cleaned!$CG$2:$CG$125,1)+COUNTIFS(Cleaned!$D$2:$D$125,8,Cleaned!$CG$2:$CG$125,2)+COUNTIFS(Cleaned!$D$2:$D$125,8,Cleaned!$CG$2:$CG$125,3)+COUNTIFS(Cleaned!$D$2:$D$125,8,Cleaned!$CG$2:$CG$125,4)+COUNTIFS(Cleaned!$D$2:$D$125,8,Cleaned!$CG$2:$CG$125,5)+COUNTIFS(Cleaned!$D$2:$D$125,9,Cleaned!$CG$2:$CG$125,1)+COUNTIFS(Cleaned!$D$2:$D$125,9,Cleaned!$CG$2:$CG$125,2)+COUNTIFS(Cleaned!$D$2:$D$125,9,Cleaned!$CG$2:$CG$125,3)+COUNTIFS(Cleaned!$D$2:$D$125,9,Cleaned!$CG$2:$CG$125,4)+COUNTIFS(Cleaned!$D$2:$D$125,9,Cleaned!$CG$2:$CG$125,5)+COUNTIFS(Cleaned!$D$2:$D$125,10,Cleaned!$CG$2:$CG$125,1)+COUNTIFS(Cleaned!$D$2:$D$125,10,Cleaned!$CG$2:$CG$125,2)+COUNTIFS(Cleaned!$D$2:$D$125,10,Cleaned!$CG$2:$CG$125,3)+COUNTIFS(Cleaned!$D$2:$D$125,10,Cleaned!$CG$2:$CG$125,4)+COUNTIFS(Cleaned!$D$2:$D$125,10,Cleaned!$CG$2:$CG$125,5)+COUNTIFS(Cleaned!$D$2:$D$125,11,Cleaned!$CG$2:$CG$125,1)+COUNTIFS(Cleaned!$D$2:$D$125,11,Cleaned!$CG$2:$CG$125,2)+COUNTIFS(Cleaned!$D$2:$D$125,11,Cleaned!$CG$2:$CG$125,3)+COUNTIFS(Cleaned!$D$2:$D$125,11,Cleaned!$CG$2:$CG$125,4)+COUNTIFS(Cleaned!$D$2:$D$125,11,Cleaned!$CG$2:$CG$125,5)+COUNTIFS(Cleaned!$D$2:$D$125,12,Cleaned!$CG$2:$CG$125,1)+COUNTIFS(Cleaned!$D$2:$D$125,12,Cleaned!$CG$2:$CG$125,2)+COUNTIFS(Cleaned!$D$2:$D$125,12,Cleaned!$CG$2:$CG$125,3)+COUNTIFS(Cleaned!$D$2:$D$125,12,Cleaned!$CG$2:$CG$125,4)+COUNTIFS(Cleaned!$D$2:$D$125,12,Cleaned!$CG$2:$CG$125,5)</f>
        <v>56</v>
      </c>
      <c r="D61" s="2" t="str">
        <f aca="false">IF(B61=C61,"OK","FAIL")</f>
        <v>OK</v>
      </c>
    </row>
    <row r="62" customFormat="false" ht="15" hidden="false" customHeight="false" outlineLevel="0" collapsed="false">
      <c r="A62" s="2" t="s">
        <v>1003</v>
      </c>
      <c r="B62" s="2" t="n">
        <f aca="false">COUNTIFS(Cleaned!$C$2:$C$125,1,Cleaned!$CJ$2:$CJ$125,1)+COUNTIFS(Cleaned!$C$2:$C$125,1,Cleaned!$CJ$2:$CJ$125,2)+COUNTIFS(Cleaned!$C$2:$C$125,2,Cleaned!$CJ$2:$CJ$125,1)+COUNTIFS(Cleaned!$C$2:$C$125,2,Cleaned!$CJ$2:$CJ$125,2)+COUNTIFS(Cleaned!$C$2:$C$125,3,Cleaned!$CJ$2:$CJ$125,1)+COUNTIFS(Cleaned!$C$2:$C$125,3,Cleaned!$CJ$2:$CJ$125,2)+COUNTIFS(Cleaned!$C$2:$C$125,4,Cleaned!$CJ$2:$CJ$125,1)+COUNTIFS(Cleaned!$C$2:$C$125,4,Cleaned!$CJ$2:$CJ$125,2)+COUNTIFS(Cleaned!$C$2:$C$125,5,Cleaned!$CJ$2:$CJ$125,1)+COUNTIFS(Cleaned!$C$2:$C$125,5,Cleaned!$CJ$2:$CJ$125,2)</f>
        <v>67</v>
      </c>
      <c r="C62" s="2" t="n">
        <f aca="false">COUNTIFS(Cleaned!$D$2:$D$125,1,Cleaned!$CJ$2:$CJ$125,1)+COUNTIFS(Cleaned!$D$2:$D$125,1,Cleaned!$CJ$2:$CJ$125,2)+COUNTIFS(Cleaned!$D$2:$D$125,2,Cleaned!$CJ$2:$CJ$125,1)+COUNTIFS(Cleaned!$D$2:$D$125,2,Cleaned!$CJ$2:$CJ$125,2)+COUNTIFS(Cleaned!$D$2:$D$125,3,Cleaned!$CJ$2:$CJ$125,1)+COUNTIFS(Cleaned!$D$2:$D$125,3,Cleaned!$CJ$2:$CJ$125,2)+COUNTIFS(Cleaned!$D$2:$D$125,4,Cleaned!$CJ$2:$CJ$125,1)+COUNTIFS(Cleaned!$D$2:$D$125,4,Cleaned!$CJ$2:$CJ$125,2)+COUNTIFS(Cleaned!$D$2:$D$125,5,Cleaned!$CJ$2:$CJ$125,1)+COUNTIFS(Cleaned!$D$2:$D$125,5,Cleaned!$CJ$2:$CJ$125,2)+COUNTIFS(Cleaned!$D$2:$D$125,6,Cleaned!$CJ$2:$CJ$125,1)+COUNTIFS(Cleaned!$D$2:$D$125,6,Cleaned!$CJ$2:$CJ$125,2)+COUNTIFS(Cleaned!$D$2:$D$125,7,Cleaned!$CJ$2:$CJ$125,1)+COUNTIFS(Cleaned!$D$2:$D$125,7,Cleaned!$CJ$2:$CJ$125,2)+COUNTIFS(Cleaned!$D$2:$D$125,8,Cleaned!$CJ$2:$CJ$125,1)+COUNTIFS(Cleaned!$D$2:$D$125,8,Cleaned!$CJ$2:$CJ$125,2)+COUNTIFS(Cleaned!$D$2:$D$125,9,Cleaned!$CJ$2:$CJ$125,1)+COUNTIFS(Cleaned!$D$2:$D$125,9,Cleaned!$CJ$2:$CJ$125,2)+COUNTIFS(Cleaned!$D$2:$D$125,10,Cleaned!$CJ$2:$CJ$125,1)+COUNTIFS(Cleaned!$D$2:$D$125,10,Cleaned!$CJ$2:$CJ$125,2)+COUNTIFS(Cleaned!$D$2:$D$125,11,Cleaned!$CJ$2:$CJ$125,1)+COUNTIFS(Cleaned!$D$2:$D$125,11,Cleaned!$CJ$2:$CJ$125,2)+COUNTIFS(Cleaned!$D$2:$D$125,12,Cleaned!$CJ$2:$CJ$125,1)+COUNTIFS(Cleaned!$D$2:$D$125,12,Cleaned!$CJ$2:$CJ$125,2)</f>
        <v>67</v>
      </c>
      <c r="D62" s="2" t="str">
        <f aca="false">IF(B62=C62,"OK","FAIL")</f>
        <v>OK</v>
      </c>
    </row>
    <row r="63" customFormat="false" ht="15" hidden="false" customHeight="false" outlineLevel="0" collapsed="false">
      <c r="A63" s="2" t="s">
        <v>1000</v>
      </c>
      <c r="B63" s="2" t="n">
        <f aca="false">COUNTIFS(Cleaned!$C$2:$C$125,1,Cleaned!$CL$2:$CL$125,1)+COUNTIFS(Cleaned!$C$2:$C$125,2,Cleaned!$CL$2:$CL$125,1)+COUNTIFS(Cleaned!$C$2:$C$125,3,Cleaned!$CL$2:$CL$125,1)+COUNTIFS(Cleaned!$C$2:$C$125,4,Cleaned!$CL$2:$CL$125,1)+COUNTIFS(Cleaned!$C$2:$C$125,5,Cleaned!$CL$2:$CL$125,1)</f>
        <v>52</v>
      </c>
      <c r="C63" s="2" t="n">
        <f aca="false">COUNTIFS(Cleaned!$D$2:$D$125,1,Cleaned!$CL$2:$CL$125,1)+COUNTIFS(Cleaned!$D$2:$D$125,2,Cleaned!$CL$2:$CL$125,1)+COUNTIFS(Cleaned!$D$2:$D$125,3,Cleaned!$CL$2:$CL$125,1)+COUNTIFS(Cleaned!$D$2:$D$125,4,Cleaned!$CL$2:$CL$125,1)+COUNTIFS(Cleaned!$D$2:$D$125,5,Cleaned!$CL$2:$CL$125,1)+COUNTIFS(Cleaned!$D$2:$D$125,6,Cleaned!$CL$2:$CL$125,1)+COUNTIFS(Cleaned!$D$2:$D$125,7,Cleaned!$CL$2:$CL$125,1)+COUNTIFS(Cleaned!$D$2:$D$125,8,Cleaned!$CL$2:$CL$125,1)+COUNTIFS(Cleaned!$D$2:$D$125,9,Cleaned!$CL$2:$CL$125,1)+COUNTIFS(Cleaned!$D$2:$D$125,10,Cleaned!$CL$2:$CL$125,1)+COUNTIFS(Cleaned!$D$2:$D$125,11,Cleaned!$CL$2:$CL$125,1)+COUNTIFS(Cleaned!$D$2:$D$125,12,Cleaned!$CL$2:$CL$125,1)</f>
        <v>52</v>
      </c>
      <c r="D63" s="2" t="str">
        <f aca="false">IF(B63=C63,"OK","FAIL")</f>
        <v>OK</v>
      </c>
    </row>
    <row r="64" customFormat="false" ht="15" hidden="false" customHeight="false" outlineLevel="0" collapsed="false">
      <c r="A64" s="2" t="s">
        <v>1004</v>
      </c>
      <c r="B64" s="2" t="n">
        <f aca="false">COUNTIFS(Cleaned!$C$2:$C$125,1,Cleaned!$CN$2:$CN$125,0)+COUNTIFS(Cleaned!$C$2:$C$125,1,Cleaned!$CN$2:$CN$125,1)+COUNTIFS(Cleaned!$C$2:$C$125,2,Cleaned!$CN$2:$CN$125,0)+COUNTIFS(Cleaned!$C$2:$C$125,2,Cleaned!$CN$2:$CN$125,1)+COUNTIFS(Cleaned!$C$2:$C$125,3,Cleaned!$CN$2:$CN$125,0)+COUNTIFS(Cleaned!$C$2:$C$125,3,Cleaned!$CN$2:$CN$125,1)+COUNTIFS(Cleaned!$C$2:$C$125,4,Cleaned!$CN$2:$CN$125,0)+COUNTIFS(Cleaned!$C$2:$C$125,4,Cleaned!$CN$2:$CN$125,1)+COUNTIFS(Cleaned!$C$2:$C$125,5,Cleaned!$CN$2:$CN$125,0)+COUNTIFS(Cleaned!$C$2:$C$125,5,Cleaned!$CN$2:$CN$125,1)</f>
        <v>52</v>
      </c>
      <c r="C64" s="2" t="n">
        <f aca="false">COUNTIFS(Cleaned!$D$2:$D$125,1,Cleaned!$CN$2:$CN$125,0)+COUNTIFS(Cleaned!$D$2:$D$125,1,Cleaned!$CN$2:$CN$125,1)+COUNTIFS(Cleaned!$D$2:$D$125,2,Cleaned!$CN$2:$CN$125,0)+COUNTIFS(Cleaned!$D$2:$D$125,2,Cleaned!$CN$2:$CN$125,1)+COUNTIFS(Cleaned!$D$2:$D$125,3,Cleaned!$CN$2:$CN$125,0)+COUNTIFS(Cleaned!$D$2:$D$125,3,Cleaned!$CN$2:$CN$125,1)+COUNTIFS(Cleaned!$D$2:$D$125,4,Cleaned!$CN$2:$CN$125,0)+COUNTIFS(Cleaned!$D$2:$D$125,4,Cleaned!$CN$2:$CN$125,1)+COUNTIFS(Cleaned!$D$2:$D$125,5,Cleaned!$CN$2:$CN$125,0)+COUNTIFS(Cleaned!$D$2:$D$125,5,Cleaned!$CN$2:$CN$125,1)+COUNTIFS(Cleaned!$D$2:$D$125,6,Cleaned!$CN$2:$CN$125,0)+COUNTIFS(Cleaned!$D$2:$D$125,6,Cleaned!$CN$2:$CN$125,1)+COUNTIFS(Cleaned!$D$2:$D$125,7,Cleaned!$CN$2:$CN$125,0)+COUNTIFS(Cleaned!$D$2:$D$125,7,Cleaned!$CN$2:$CN$125,1)+COUNTIFS(Cleaned!$D$2:$D$125,8,Cleaned!$CN$2:$CN$125,0)+COUNTIFS(Cleaned!$D$2:$D$125,8,Cleaned!$CN$2:$CN$125,1)+COUNTIFS(Cleaned!$D$2:$D$125,9,Cleaned!$CN$2:$CN$125,0)+COUNTIFS(Cleaned!$D$2:$D$125,9,Cleaned!$CN$2:$CN$125,1)+COUNTIFS(Cleaned!$D$2:$D$125,10,Cleaned!$CN$2:$CN$125,0)+COUNTIFS(Cleaned!$D$2:$D$125,10,Cleaned!$CN$2:$CN$125,1)+COUNTIFS(Cleaned!$D$2:$D$125,11,Cleaned!$CN$2:$CN$125,0)+COUNTIFS(Cleaned!$D$2:$D$125,11,Cleaned!$CN$2:$CN$125,1)+COUNTIFS(Cleaned!$D$2:$D$125,12,Cleaned!$CN$2:$CN$125,0)+COUNTIFS(Cleaned!$D$2:$D$125,12,Cleaned!$CN$2:$CN$125,1)</f>
        <v>52</v>
      </c>
      <c r="D64" s="2" t="str">
        <f aca="false">IF(B64=C64,"OK","FAIL")</f>
        <v>OK</v>
      </c>
    </row>
    <row r="65" customFormat="false" ht="15" hidden="false" customHeight="false" outlineLevel="0" collapsed="false">
      <c r="A65" s="2" t="s">
        <v>1004</v>
      </c>
      <c r="B65" s="2" t="n">
        <f aca="false">COUNTIFS(Cleaned!$C$2:$C$125,1,Cleaned!$CO$2:$CO$125,0)+COUNTIFS(Cleaned!$C$2:$C$125,1,Cleaned!$CO$2:$CO$125,1)+COUNTIFS(Cleaned!$C$2:$C$125,2,Cleaned!$CO$2:$CO$125,0)+COUNTIFS(Cleaned!$C$2:$C$125,2,Cleaned!$CO$2:$CO$125,1)+COUNTIFS(Cleaned!$C$2:$C$125,3,Cleaned!$CO$2:$CO$125,0)+COUNTIFS(Cleaned!$C$2:$C$125,3,Cleaned!$CO$2:$CO$125,1)+COUNTIFS(Cleaned!$C$2:$C$125,4,Cleaned!$CO$2:$CO$125,0)+COUNTIFS(Cleaned!$C$2:$C$125,4,Cleaned!$CO$2:$CO$125,1)+COUNTIFS(Cleaned!$C$2:$C$125,5,Cleaned!$CO$2:$CO$125,0)+COUNTIFS(Cleaned!$C$2:$C$125,5,Cleaned!$CO$2:$CO$125,1)</f>
        <v>52</v>
      </c>
      <c r="C65" s="2" t="n">
        <f aca="false">COUNTIFS(Cleaned!$D$2:$D$125,1,Cleaned!$CO$2:$CO$125,0)+COUNTIFS(Cleaned!$D$2:$D$125,1,Cleaned!$CO$2:$CO$125,1)+COUNTIFS(Cleaned!$D$2:$D$125,2,Cleaned!$CO$2:$CO$125,0)+COUNTIFS(Cleaned!$D$2:$D$125,2,Cleaned!$CO$2:$CO$125,1)+COUNTIFS(Cleaned!$D$2:$D$125,3,Cleaned!$CO$2:$CO$125,0)+COUNTIFS(Cleaned!$D$2:$D$125,3,Cleaned!$CO$2:$CO$125,1)+COUNTIFS(Cleaned!$D$2:$D$125,4,Cleaned!$CO$2:$CO$125,0)+COUNTIFS(Cleaned!$D$2:$D$125,4,Cleaned!$CO$2:$CO$125,1)+COUNTIFS(Cleaned!$D$2:$D$125,5,Cleaned!$CO$2:$CO$125,0)+COUNTIFS(Cleaned!$D$2:$D$125,5,Cleaned!$CO$2:$CO$125,1)+COUNTIFS(Cleaned!$D$2:$D$125,6,Cleaned!$CO$2:$CO$125,0)+COUNTIFS(Cleaned!$D$2:$D$125,6,Cleaned!$CO$2:$CO$125,1)+COUNTIFS(Cleaned!$D$2:$D$125,7,Cleaned!$CO$2:$CO$125,0)+COUNTIFS(Cleaned!$D$2:$D$125,7,Cleaned!$CO$2:$CO$125,1)+COUNTIFS(Cleaned!$D$2:$D$125,8,Cleaned!$CO$2:$CO$125,0)+COUNTIFS(Cleaned!$D$2:$D$125,8,Cleaned!$CO$2:$CO$125,1)+COUNTIFS(Cleaned!$D$2:$D$125,9,Cleaned!$CO$2:$CO$125,0)+COUNTIFS(Cleaned!$D$2:$D$125,9,Cleaned!$CO$2:$CO$125,1)+COUNTIFS(Cleaned!$D$2:$D$125,10,Cleaned!$CO$2:$CO$125,0)+COUNTIFS(Cleaned!$D$2:$D$125,10,Cleaned!$CO$2:$CO$125,1)+COUNTIFS(Cleaned!$D$2:$D$125,11,Cleaned!$CO$2:$CO$125,0)+COUNTIFS(Cleaned!$D$2:$D$125,11,Cleaned!$CO$2:$CO$125,1)+COUNTIFS(Cleaned!$D$2:$D$125,12,Cleaned!$CO$2:$CO$125,0)+COUNTIFS(Cleaned!$D$2:$D$125,12,Cleaned!$CO$2:$CO$125,1)</f>
        <v>52</v>
      </c>
      <c r="D65" s="2" t="str">
        <f aca="false">IF(B65=C65,"OK","FAIL")</f>
        <v>OK</v>
      </c>
    </row>
    <row r="66" customFormat="false" ht="15" hidden="false" customHeight="false" outlineLevel="0" collapsed="false">
      <c r="A66" s="2" t="s">
        <v>1004</v>
      </c>
      <c r="B66" s="2" t="n">
        <f aca="false">COUNTIFS(Cleaned!$C$2:$C$125,1,Cleaned!$CP$2:$CP$125,0)+COUNTIFS(Cleaned!$C$2:$C$125,1,Cleaned!$CP$2:$CP$125,1)+COUNTIFS(Cleaned!$C$2:$C$125,2,Cleaned!$CP$2:$CP$125,0)+COUNTIFS(Cleaned!$C$2:$C$125,2,Cleaned!$CP$2:$CP$125,1)+COUNTIFS(Cleaned!$C$2:$C$125,3,Cleaned!$CP$2:$CP$125,0)+COUNTIFS(Cleaned!$C$2:$C$125,3,Cleaned!$CP$2:$CP$125,1)+COUNTIFS(Cleaned!$C$2:$C$125,4,Cleaned!$CP$2:$CP$125,0)+COUNTIFS(Cleaned!$C$2:$C$125,4,Cleaned!$CP$2:$CP$125,1)+COUNTIFS(Cleaned!$C$2:$C$125,5,Cleaned!$CP$2:$CP$125,0)+COUNTIFS(Cleaned!$C$2:$C$125,5,Cleaned!$CP$2:$CP$125,1)</f>
        <v>52</v>
      </c>
      <c r="C66" s="2" t="n">
        <f aca="false">COUNTIFS(Cleaned!$D$2:$D$125,1,Cleaned!$CP$2:$CP$125,0)+COUNTIFS(Cleaned!$D$2:$D$125,1,Cleaned!$CP$2:$CP$125,1)+COUNTIFS(Cleaned!$D$2:$D$125,2,Cleaned!$CP$2:$CP$125,0)+COUNTIFS(Cleaned!$D$2:$D$125,2,Cleaned!$CP$2:$CP$125,1)+COUNTIFS(Cleaned!$D$2:$D$125,3,Cleaned!$CP$2:$CP$125,0)+COUNTIFS(Cleaned!$D$2:$D$125,3,Cleaned!$CP$2:$CP$125,1)+COUNTIFS(Cleaned!$D$2:$D$125,4,Cleaned!$CP$2:$CP$125,0)+COUNTIFS(Cleaned!$D$2:$D$125,4,Cleaned!$CP$2:$CP$125,1)+COUNTIFS(Cleaned!$D$2:$D$125,5,Cleaned!$CP$2:$CP$125,0)+COUNTIFS(Cleaned!$D$2:$D$125,5,Cleaned!$CP$2:$CP$125,1)+COUNTIFS(Cleaned!$D$2:$D$125,6,Cleaned!$CP$2:$CP$125,0)+COUNTIFS(Cleaned!$D$2:$D$125,6,Cleaned!$CP$2:$CP$125,1)+COUNTIFS(Cleaned!$D$2:$D$125,7,Cleaned!$CP$2:$CP$125,0)+COUNTIFS(Cleaned!$D$2:$D$125,7,Cleaned!$CP$2:$CP$125,1)+COUNTIFS(Cleaned!$D$2:$D$125,8,Cleaned!$CP$2:$CP$125,0)+COUNTIFS(Cleaned!$D$2:$D$125,8,Cleaned!$CP$2:$CP$125,1)+COUNTIFS(Cleaned!$D$2:$D$125,9,Cleaned!$CP$2:$CP$125,0)+COUNTIFS(Cleaned!$D$2:$D$125,9,Cleaned!$CP$2:$CP$125,1)+COUNTIFS(Cleaned!$D$2:$D$125,10,Cleaned!$CP$2:$CP$125,0)+COUNTIFS(Cleaned!$D$2:$D$125,10,Cleaned!$CP$2:$CP$125,1)+COUNTIFS(Cleaned!$D$2:$D$125,11,Cleaned!$CP$2:$CP$125,0)+COUNTIFS(Cleaned!$D$2:$D$125,11,Cleaned!$CP$2:$CP$125,1)+COUNTIFS(Cleaned!$D$2:$D$125,12,Cleaned!$CP$2:$CP$125,0)+COUNTIFS(Cleaned!$D$2:$D$125,12,Cleaned!$CP$2:$CP$125,1)</f>
        <v>52</v>
      </c>
      <c r="D66" s="2" t="str">
        <f aca="false">IF(B66=C66,"OK","FAIL")</f>
        <v>OK</v>
      </c>
    </row>
    <row r="67" customFormat="false" ht="15" hidden="false" customHeight="false" outlineLevel="0" collapsed="false">
      <c r="A67" s="2" t="s">
        <v>1004</v>
      </c>
      <c r="B67" s="2" t="n">
        <f aca="false">COUNTIFS(Cleaned!$C$2:$C$125,1,Cleaned!$CQ$2:$CQ$125,0)+COUNTIFS(Cleaned!$C$2:$C$125,1,Cleaned!$CQ$2:$CQ$125,1)+COUNTIFS(Cleaned!$C$2:$C$125,2,Cleaned!$CQ$2:$CQ$125,0)+COUNTIFS(Cleaned!$C$2:$C$125,2,Cleaned!$CQ$2:$CQ$125,1)+COUNTIFS(Cleaned!$C$2:$C$125,3,Cleaned!$CQ$2:$CQ$125,0)+COUNTIFS(Cleaned!$C$2:$C$125,3,Cleaned!$CQ$2:$CQ$125,1)+COUNTIFS(Cleaned!$C$2:$C$125,4,Cleaned!$CQ$2:$CQ$125,0)+COUNTIFS(Cleaned!$C$2:$C$125,4,Cleaned!$CQ$2:$CQ$125,1)+COUNTIFS(Cleaned!$C$2:$C$125,5,Cleaned!$CQ$2:$CQ$125,0)+COUNTIFS(Cleaned!$C$2:$C$125,5,Cleaned!$CQ$2:$CQ$125,1)</f>
        <v>52</v>
      </c>
      <c r="C67" s="2" t="n">
        <f aca="false">COUNTIFS(Cleaned!$D$2:$D$125,1,Cleaned!$CQ$2:$CQ$125,0)+COUNTIFS(Cleaned!$D$2:$D$125,1,Cleaned!$CQ$2:$CQ$125,1)+COUNTIFS(Cleaned!$D$2:$D$125,2,Cleaned!$CQ$2:$CQ$125,0)+COUNTIFS(Cleaned!$D$2:$D$125,2,Cleaned!$CQ$2:$CQ$125,1)+COUNTIFS(Cleaned!$D$2:$D$125,3,Cleaned!$CQ$2:$CQ$125,0)+COUNTIFS(Cleaned!$D$2:$D$125,3,Cleaned!$CQ$2:$CQ$125,1)+COUNTIFS(Cleaned!$D$2:$D$125,4,Cleaned!$CQ$2:$CQ$125,0)+COUNTIFS(Cleaned!$D$2:$D$125,4,Cleaned!$CQ$2:$CQ$125,1)+COUNTIFS(Cleaned!$D$2:$D$125,5,Cleaned!$CQ$2:$CQ$125,0)+COUNTIFS(Cleaned!$D$2:$D$125,5,Cleaned!$CQ$2:$CQ$125,1)+COUNTIFS(Cleaned!$D$2:$D$125,6,Cleaned!$CQ$2:$CQ$125,0)+COUNTIFS(Cleaned!$D$2:$D$125,6,Cleaned!$CQ$2:$CQ$125,1)+COUNTIFS(Cleaned!$D$2:$D$125,7,Cleaned!$CQ$2:$CQ$125,0)+COUNTIFS(Cleaned!$D$2:$D$125,7,Cleaned!$CQ$2:$CQ$125,1)+COUNTIFS(Cleaned!$D$2:$D$125,8,Cleaned!$CQ$2:$CQ$125,0)+COUNTIFS(Cleaned!$D$2:$D$125,8,Cleaned!$CQ$2:$CQ$125,1)+COUNTIFS(Cleaned!$D$2:$D$125,9,Cleaned!$CQ$2:$CQ$125,0)+COUNTIFS(Cleaned!$D$2:$D$125,9,Cleaned!$CQ$2:$CQ$125,1)+COUNTIFS(Cleaned!$D$2:$D$125,10,Cleaned!$CQ$2:$CQ$125,0)+COUNTIFS(Cleaned!$D$2:$D$125,10,Cleaned!$CQ$2:$CQ$125,1)+COUNTIFS(Cleaned!$D$2:$D$125,11,Cleaned!$CQ$2:$CQ$125,0)+COUNTIFS(Cleaned!$D$2:$D$125,11,Cleaned!$CQ$2:$CQ$125,1)+COUNTIFS(Cleaned!$D$2:$D$125,12,Cleaned!$CQ$2:$CQ$125,0)+COUNTIFS(Cleaned!$D$2:$D$125,12,Cleaned!$CQ$2:$CQ$125,1)</f>
        <v>52</v>
      </c>
      <c r="D67" s="2" t="str">
        <f aca="false">IF(B67=C67,"OK","FAIL")</f>
        <v>OK</v>
      </c>
    </row>
    <row r="68" customFormat="false" ht="15" hidden="false" customHeight="false" outlineLevel="0" collapsed="false">
      <c r="A68" s="2" t="s">
        <v>1004</v>
      </c>
      <c r="B68" s="2" t="n">
        <f aca="false">COUNTIFS(Cleaned!$C$2:$C$125,1,Cleaned!$CR$2:$CR$125,0)+COUNTIFS(Cleaned!$C$2:$C$125,1,Cleaned!$CR$2:$CR$125,1)+COUNTIFS(Cleaned!$C$2:$C$125,2,Cleaned!$CR$2:$CR$125,0)+COUNTIFS(Cleaned!$C$2:$C$125,2,Cleaned!$CR$2:$CR$125,1)+COUNTIFS(Cleaned!$C$2:$C$125,3,Cleaned!$CR$2:$CR$125,0)+COUNTIFS(Cleaned!$C$2:$C$125,3,Cleaned!$CR$2:$CR$125,1)+COUNTIFS(Cleaned!$C$2:$C$125,4,Cleaned!$CR$2:$CR$125,0)+COUNTIFS(Cleaned!$C$2:$C$125,4,Cleaned!$CR$2:$CR$125,1)+COUNTIFS(Cleaned!$C$2:$C$125,5,Cleaned!$CR$2:$CR$125,0)+COUNTIFS(Cleaned!$C$2:$C$125,5,Cleaned!$CR$2:$CR$125,1)</f>
        <v>52</v>
      </c>
      <c r="C68" s="2" t="n">
        <f aca="false">COUNTIFS(Cleaned!$D$2:$D$125,1,Cleaned!$CR$2:$CR$125,0)+COUNTIFS(Cleaned!$D$2:$D$125,1,Cleaned!$CR$2:$CR$125,1)+COUNTIFS(Cleaned!$D$2:$D$125,2,Cleaned!$CR$2:$CR$125,0)+COUNTIFS(Cleaned!$D$2:$D$125,2,Cleaned!$CR$2:$CR$125,1)+COUNTIFS(Cleaned!$D$2:$D$125,3,Cleaned!$CR$2:$CR$125,0)+COUNTIFS(Cleaned!$D$2:$D$125,3,Cleaned!$CR$2:$CR$125,1)+COUNTIFS(Cleaned!$D$2:$D$125,4,Cleaned!$CR$2:$CR$125,0)+COUNTIFS(Cleaned!$D$2:$D$125,4,Cleaned!$CR$2:$CR$125,1)+COUNTIFS(Cleaned!$D$2:$D$125,5,Cleaned!$CR$2:$CR$125,0)+COUNTIFS(Cleaned!$D$2:$D$125,5,Cleaned!$CR$2:$CR$125,1)+COUNTIFS(Cleaned!$D$2:$D$125,6,Cleaned!$CR$2:$CR$125,0)+COUNTIFS(Cleaned!$D$2:$D$125,6,Cleaned!$CR$2:$CR$125,1)+COUNTIFS(Cleaned!$D$2:$D$125,7,Cleaned!$CR$2:$CR$125,0)+COUNTIFS(Cleaned!$D$2:$D$125,7,Cleaned!$CR$2:$CR$125,1)+COUNTIFS(Cleaned!$D$2:$D$125,8,Cleaned!$CR$2:$CR$125,0)+COUNTIFS(Cleaned!$D$2:$D$125,8,Cleaned!$CR$2:$CR$125,1)+COUNTIFS(Cleaned!$D$2:$D$125,9,Cleaned!$CR$2:$CR$125,0)+COUNTIFS(Cleaned!$D$2:$D$125,9,Cleaned!$CR$2:$CR$125,1)+COUNTIFS(Cleaned!$D$2:$D$125,10,Cleaned!$CR$2:$CR$125,0)+COUNTIFS(Cleaned!$D$2:$D$125,10,Cleaned!$CR$2:$CR$125,1)+COUNTIFS(Cleaned!$D$2:$D$125,11,Cleaned!$CR$2:$CR$125,0)+COUNTIFS(Cleaned!$D$2:$D$125,11,Cleaned!$CR$2:$CR$125,1)+COUNTIFS(Cleaned!$D$2:$D$125,12,Cleaned!$CR$2:$CR$125,0)+COUNTIFS(Cleaned!$D$2:$D$125,12,Cleaned!$CR$2:$CR$125,1)</f>
        <v>52</v>
      </c>
      <c r="D68" s="2" t="str">
        <f aca="false">IF(B68=C68,"OK","FAIL")</f>
        <v>OK</v>
      </c>
    </row>
    <row r="69" customFormat="false" ht="15" hidden="false" customHeight="false" outlineLevel="0" collapsed="false">
      <c r="A69" s="2" t="s">
        <v>1004</v>
      </c>
      <c r="B69" s="2" t="n">
        <f aca="false">COUNTIFS(Cleaned!$C$2:$C$125,1,Cleaned!$CS$2:$CS$125,0)+COUNTIFS(Cleaned!$C$2:$C$125,1,Cleaned!$CS$2:$CS$125,1)+COUNTIFS(Cleaned!$C$2:$C$125,2,Cleaned!$CS$2:$CS$125,0)+COUNTIFS(Cleaned!$C$2:$C$125,2,Cleaned!$CS$2:$CS$125,1)+COUNTIFS(Cleaned!$C$2:$C$125,3,Cleaned!$CS$2:$CS$125,0)+COUNTIFS(Cleaned!$C$2:$C$125,3,Cleaned!$CS$2:$CS$125,1)+COUNTIFS(Cleaned!$C$2:$C$125,4,Cleaned!$CS$2:$CS$125,0)+COUNTIFS(Cleaned!$C$2:$C$125,4,Cleaned!$CS$2:$CS$125,1)+COUNTIFS(Cleaned!$C$2:$C$125,5,Cleaned!$CS$2:$CS$125,0)+COUNTIFS(Cleaned!$C$2:$C$125,5,Cleaned!$CS$2:$CS$125,1)</f>
        <v>52</v>
      </c>
      <c r="C69" s="2" t="n">
        <f aca="false">COUNTIFS(Cleaned!$D$2:$D$125,1,Cleaned!$CS$2:$CS$125,0)+COUNTIFS(Cleaned!$D$2:$D$125,1,Cleaned!$CS$2:$CS$125,1)+COUNTIFS(Cleaned!$D$2:$D$125,2,Cleaned!$CS$2:$CS$125,0)+COUNTIFS(Cleaned!$D$2:$D$125,2,Cleaned!$CS$2:$CS$125,1)+COUNTIFS(Cleaned!$D$2:$D$125,3,Cleaned!$CS$2:$CS$125,0)+COUNTIFS(Cleaned!$D$2:$D$125,3,Cleaned!$CS$2:$CS$125,1)+COUNTIFS(Cleaned!$D$2:$D$125,4,Cleaned!$CS$2:$CS$125,0)+COUNTIFS(Cleaned!$D$2:$D$125,4,Cleaned!$CS$2:$CS$125,1)+COUNTIFS(Cleaned!$D$2:$D$125,5,Cleaned!$CS$2:$CS$125,0)+COUNTIFS(Cleaned!$D$2:$D$125,5,Cleaned!$CS$2:$CS$125,1)+COUNTIFS(Cleaned!$D$2:$D$125,6,Cleaned!$CS$2:$CS$125,0)+COUNTIFS(Cleaned!$D$2:$D$125,6,Cleaned!$CS$2:$CS$125,1)+COUNTIFS(Cleaned!$D$2:$D$125,7,Cleaned!$CS$2:$CS$125,0)+COUNTIFS(Cleaned!$D$2:$D$125,7,Cleaned!$CS$2:$CS$125,1)+COUNTIFS(Cleaned!$D$2:$D$125,8,Cleaned!$CS$2:$CS$125,0)+COUNTIFS(Cleaned!$D$2:$D$125,8,Cleaned!$CS$2:$CS$125,1)+COUNTIFS(Cleaned!$D$2:$D$125,9,Cleaned!$CS$2:$CS$125,0)+COUNTIFS(Cleaned!$D$2:$D$125,9,Cleaned!$CS$2:$CS$125,1)+COUNTIFS(Cleaned!$D$2:$D$125,10,Cleaned!$CS$2:$CS$125,0)+COUNTIFS(Cleaned!$D$2:$D$125,10,Cleaned!$CS$2:$CS$125,1)+COUNTIFS(Cleaned!$D$2:$D$125,11,Cleaned!$CS$2:$CS$125,0)+COUNTIFS(Cleaned!$D$2:$D$125,11,Cleaned!$CS$2:$CS$125,1)+COUNTIFS(Cleaned!$D$2:$D$125,12,Cleaned!$CS$2:$CS$125,0)+COUNTIFS(Cleaned!$D$2:$D$125,12,Cleaned!$CS$2:$CS$125,1)</f>
        <v>52</v>
      </c>
      <c r="D69" s="2" t="str">
        <f aca="false">IF(B69=C69,"OK","FAIL")</f>
        <v>OK</v>
      </c>
    </row>
    <row r="70" customFormat="false" ht="15" hidden="false" customHeight="false" outlineLevel="0" collapsed="false">
      <c r="A70" s="2" t="s">
        <v>1002</v>
      </c>
      <c r="B70" s="2" t="n">
        <f aca="false">COUNTIFS(Cleaned!$C$2:$C$125,1,Cleaned!$CU$2:$CU$125,1)+COUNTIFS(Cleaned!$C$2:$C$125,1,Cleaned!$CU$2:$CU$125,2)+COUNTIFS(Cleaned!$C$2:$C$125,1,Cleaned!$CU$2:$CU$125,3)+COUNTIFS(Cleaned!$C$2:$C$125,1,Cleaned!$CU$2:$CU$125,4)+COUNTIFS(Cleaned!$C$2:$C$125,2,Cleaned!$CU$2:$CU$125,1)+COUNTIFS(Cleaned!$C$2:$C$125,2,Cleaned!$CU$2:$CU$125,2)+COUNTIFS(Cleaned!$C$2:$C$125,2,Cleaned!$CU$2:$CU$125,3)+COUNTIFS(Cleaned!$C$2:$C$125,2,Cleaned!$CU$2:$CU$125,4)+COUNTIFS(Cleaned!$C$2:$C$125,3,Cleaned!$CU$2:$CU$125,1)+COUNTIFS(Cleaned!$C$2:$C$125,3,Cleaned!$CU$2:$CU$125,2)+COUNTIFS(Cleaned!$C$2:$C$125,3,Cleaned!$CU$2:$CU$125,3)+COUNTIFS(Cleaned!$C$2:$C$125,3,Cleaned!$CU$2:$CU$125,4)+COUNTIFS(Cleaned!$C$2:$C$125,4,Cleaned!$CU$2:$CU$125,1)+COUNTIFS(Cleaned!$C$2:$C$125,4,Cleaned!$CU$2:$CU$125,2)+COUNTIFS(Cleaned!$C$2:$C$125,4,Cleaned!$CU$2:$CU$125,3)+COUNTIFS(Cleaned!$C$2:$C$125,4,Cleaned!$CU$2:$CU$125,4)+COUNTIFS(Cleaned!$C$2:$C$125,5,Cleaned!$CU$2:$CU$125,1)+COUNTIFS(Cleaned!$C$2:$C$125,5,Cleaned!$CU$2:$CU$125,2)+COUNTIFS(Cleaned!$C$2:$C$125,5,Cleaned!$CU$2:$CU$125,3)+COUNTIFS(Cleaned!$C$2:$C$125,5,Cleaned!$CU$2:$CU$125,4)</f>
        <v>53</v>
      </c>
      <c r="C70" s="2" t="n">
        <f aca="false">COUNTIFS(Cleaned!$D$2:$D$125,1,Cleaned!$CU$2:$CU$125,1)+COUNTIFS(Cleaned!$D$2:$D$125,1,Cleaned!$CU$2:$CU$125,2)+COUNTIFS(Cleaned!$D$2:$D$125,1,Cleaned!$CU$2:$CU$125,3)+COUNTIFS(Cleaned!$D$2:$D$125,1,Cleaned!$CU$2:$CU$125,4)+COUNTIFS(Cleaned!$D$2:$D$125,2,Cleaned!$CU$2:$CU$125,1)+COUNTIFS(Cleaned!$D$2:$D$125,2,Cleaned!$CU$2:$CU$125,2)+COUNTIFS(Cleaned!$D$2:$D$125,2,Cleaned!$CU$2:$CU$125,3)+COUNTIFS(Cleaned!$D$2:$D$125,2,Cleaned!$CU$2:$CU$125,4)+COUNTIFS(Cleaned!$D$2:$D$125,3,Cleaned!$CU$2:$CU$125,1)+COUNTIFS(Cleaned!$D$2:$D$125,3,Cleaned!$CU$2:$CU$125,2)+COUNTIFS(Cleaned!$D$2:$D$125,3,Cleaned!$CU$2:$CU$125,3)+COUNTIFS(Cleaned!$D$2:$D$125,3,Cleaned!$CU$2:$CU$125,4)+COUNTIFS(Cleaned!$D$2:$D$125,4,Cleaned!$CU$2:$CU$125,1)+COUNTIFS(Cleaned!$D$2:$D$125,4,Cleaned!$CU$2:$CU$125,2)+COUNTIFS(Cleaned!$D$2:$D$125,4,Cleaned!$CU$2:$CU$125,3)+COUNTIFS(Cleaned!$D$2:$D$125,4,Cleaned!$CU$2:$CU$125,4)+COUNTIFS(Cleaned!$D$2:$D$125,5,Cleaned!$CU$2:$CU$125,1)+COUNTIFS(Cleaned!$D$2:$D$125,5,Cleaned!$CU$2:$CU$125,2)+COUNTIFS(Cleaned!$D$2:$D$125,5,Cleaned!$CU$2:$CU$125,3)+COUNTIFS(Cleaned!$D$2:$D$125,5,Cleaned!$CU$2:$CU$125,4)+COUNTIFS(Cleaned!$D$2:$D$125,6,Cleaned!$CU$2:$CU$125,1)+COUNTIFS(Cleaned!$D$2:$D$125,6,Cleaned!$CU$2:$CU$125,2)+COUNTIFS(Cleaned!$D$2:$D$125,6,Cleaned!$CU$2:$CU$125,3)+COUNTIFS(Cleaned!$D$2:$D$125,6,Cleaned!$CU$2:$CU$125,4)+COUNTIFS(Cleaned!$D$2:$D$125,7,Cleaned!$CU$2:$CU$125,1)+COUNTIFS(Cleaned!$D$2:$D$125,7,Cleaned!$CU$2:$CU$125,2)+COUNTIFS(Cleaned!$D$2:$D$125,7,Cleaned!$CU$2:$CU$125,3)+COUNTIFS(Cleaned!$D$2:$D$125,7,Cleaned!$CU$2:$CU$125,4)+COUNTIFS(Cleaned!$D$2:$D$125,8,Cleaned!$CU$2:$CU$125,1)+COUNTIFS(Cleaned!$D$2:$D$125,8,Cleaned!$CU$2:$CU$125,2)+COUNTIFS(Cleaned!$D$2:$D$125,8,Cleaned!$CU$2:$CU$125,3)+COUNTIFS(Cleaned!$D$2:$D$125,8,Cleaned!$CU$2:$CU$125,4)+COUNTIFS(Cleaned!$D$2:$D$125,9,Cleaned!$CU$2:$CU$125,1)+COUNTIFS(Cleaned!$D$2:$D$125,9,Cleaned!$CU$2:$CU$125,2)+COUNTIFS(Cleaned!$D$2:$D$125,9,Cleaned!$CU$2:$CU$125,3)+COUNTIFS(Cleaned!$D$2:$D$125,9,Cleaned!$CU$2:$CU$125,4)+COUNTIFS(Cleaned!$D$2:$D$125,10,Cleaned!$CU$2:$CU$125,1)+COUNTIFS(Cleaned!$D$2:$D$125,10,Cleaned!$CU$2:$CU$125,2)+COUNTIFS(Cleaned!$D$2:$D$125,10,Cleaned!$CU$2:$CU$125,3)+COUNTIFS(Cleaned!$D$2:$D$125,10,Cleaned!$CU$2:$CU$125,4)+COUNTIFS(Cleaned!$D$2:$D$125,11,Cleaned!$CU$2:$CU$125,1)+COUNTIFS(Cleaned!$D$2:$D$125,11,Cleaned!$CU$2:$CU$125,2)+COUNTIFS(Cleaned!$D$2:$D$125,11,Cleaned!$CU$2:$CU$125,3)+COUNTIFS(Cleaned!$D$2:$D$125,11,Cleaned!$CU$2:$CU$125,4)+COUNTIFS(Cleaned!$D$2:$D$125,12,Cleaned!$CU$2:$CU$125,1)+COUNTIFS(Cleaned!$D$2:$D$125,12,Cleaned!$CU$2:$CU$125,2)+COUNTIFS(Cleaned!$D$2:$D$125,12,Cleaned!$CU$2:$CU$125,3)+COUNTIFS(Cleaned!$D$2:$D$125,12,Cleaned!$CU$2:$CU$125,4)</f>
        <v>53</v>
      </c>
      <c r="D70" s="2" t="str">
        <f aca="false">IF(B70=C70,"OK","FAIL")</f>
        <v>OK</v>
      </c>
    </row>
    <row r="71" customFormat="false" ht="15" hidden="false" customHeight="false" outlineLevel="0" collapsed="false">
      <c r="A71" s="2" t="s">
        <v>1005</v>
      </c>
      <c r="B71" s="2" t="n">
        <f aca="false">COUNTIFS(Cleaned!$C$2:$C$125,1,Cleaned!$CX$2:$CX$125,1)+COUNTIFS(Cleaned!$C$2:$C$125,1,Cleaned!$CX$2:$CX$125,2)+COUNTIFS(Cleaned!$C$2:$C$125,2,Cleaned!$CX$2:$CX$125,1)+COUNTIFS(Cleaned!$C$2:$C$125,2,Cleaned!$CX$2:$CX$125,2)+COUNTIFS(Cleaned!$C$2:$C$125,3,Cleaned!$CX$2:$CX$125,1)+COUNTIFS(Cleaned!$C$2:$C$125,3,Cleaned!$CX$2:$CX$125,2)+COUNTIFS(Cleaned!$C$2:$C$125,4,Cleaned!$CX$2:$CX$125,1)+COUNTIFS(Cleaned!$C$2:$C$125,4,Cleaned!$CX$2:$CX$125,2)+COUNTIFS(Cleaned!$C$2:$C$125,5,Cleaned!$CX$2:$CX$125,1)+COUNTIFS(Cleaned!$C$2:$C$125,5,Cleaned!$CX$2:$CX$125,2)</f>
        <v>67</v>
      </c>
      <c r="C71" s="2" t="n">
        <f aca="false">COUNTIFS(Cleaned!$D$2:$D$125,1,Cleaned!$CX$2:$CX$125,1)+COUNTIFS(Cleaned!$D$2:$D$125,1,Cleaned!$CX$2:$CX$125,2)+COUNTIFS(Cleaned!$D$2:$D$125,2,Cleaned!$CX$2:$CX$125,1)+COUNTIFS(Cleaned!$D$2:$D$125,2,Cleaned!$CX$2:$CX$125,2)+COUNTIFS(Cleaned!$D$2:$D$125,3,Cleaned!$CX$2:$CX$125,1)+COUNTIFS(Cleaned!$D$2:$D$125,3,Cleaned!$CX$2:$CX$125,2)+COUNTIFS(Cleaned!$D$2:$D$125,4,Cleaned!$CX$2:$CX$125,1)+COUNTIFS(Cleaned!$D$2:$D$125,4,Cleaned!$CX$2:$CX$125,2)+COUNTIFS(Cleaned!$D$2:$D$125,5,Cleaned!$CX$2:$CX$125,1)+COUNTIFS(Cleaned!$D$2:$D$125,5,Cleaned!$CX$2:$CX$125,2)+COUNTIFS(Cleaned!$D$2:$D$125,6,Cleaned!$CX$2:$CX$125,1)+COUNTIFS(Cleaned!$D$2:$D$125,6,Cleaned!$CX$2:$CX$125,2)+COUNTIFS(Cleaned!$D$2:$D$125,7,Cleaned!$CX$2:$CX$125,1)+COUNTIFS(Cleaned!$D$2:$D$125,7,Cleaned!$CX$2:$CX$125,2)+COUNTIFS(Cleaned!$D$2:$D$125,8,Cleaned!$CX$2:$CX$125,1)+COUNTIFS(Cleaned!$D$2:$D$125,8,Cleaned!$CX$2:$CX$125,2)+COUNTIFS(Cleaned!$D$2:$D$125,9,Cleaned!$CX$2:$CX$125,1)+COUNTIFS(Cleaned!$D$2:$D$125,9,Cleaned!$CX$2:$CX$125,2)+COUNTIFS(Cleaned!$D$2:$D$125,10,Cleaned!$CX$2:$CX$125,1)+COUNTIFS(Cleaned!$D$2:$D$125,10,Cleaned!$CX$2:$CX$125,2)+COUNTIFS(Cleaned!$D$2:$D$125,11,Cleaned!$CX$2:$CX$125,1)+COUNTIFS(Cleaned!$D$2:$D$125,11,Cleaned!$CX$2:$CX$125,2)+COUNTIFS(Cleaned!$D$2:$D$125,12,Cleaned!$CX$2:$CX$125,1)+COUNTIFS(Cleaned!$D$2:$D$125,12,Cleaned!$CX$2:$CX$125,2)</f>
        <v>67</v>
      </c>
      <c r="D71" s="2" t="str">
        <f aca="false">IF(B71=C71,"OK","FAIL")</f>
        <v>OK</v>
      </c>
    </row>
    <row r="72" customFormat="false" ht="15" hidden="false" customHeight="false" outlineLevel="0" collapsed="false">
      <c r="A72" s="2" t="s">
        <v>1006</v>
      </c>
      <c r="B72" s="2" t="n">
        <f aca="false">COUNTIFS(Cleaned!$C$2:$C$125,1,Cleaned!$CY$2:$CY$125,1)+COUNTIFS(Cleaned!$C$2:$C$125,1,Cleaned!$CY$2:$CY$125,2)+COUNTIFS(Cleaned!$C$2:$C$125,1,Cleaned!$CY$2:$CY$125,3)+COUNTIFS(Cleaned!$C$2:$C$125,1,Cleaned!$CY$2:$CY$125,4)+COUNTIFS(Cleaned!$C$2:$C$125,1,Cleaned!$CY$2:$CY$125,5)+COUNTIFS(Cleaned!$C$2:$C$125,1,Cleaned!$CY$2:$CY$125,6)+COUNTIFS(Cleaned!$C$2:$C$125,1,Cleaned!$CY$2:$CY$125,7)+COUNTIFS(Cleaned!$C$2:$C$125,1,Cleaned!$CY$2:$CY$125,8)+COUNTIFS(Cleaned!$C$2:$C$125,1,Cleaned!$CY$2:$CY$125,9)+COUNTIFS(Cleaned!$C$2:$C$125,1,Cleaned!$CY$2:$CY$125,10)+COUNTIFS(Cleaned!$C$2:$C$125,2,Cleaned!$CY$2:$CY$125,1)+COUNTIFS(Cleaned!$C$2:$C$125,2,Cleaned!$CY$2:$CY$125,2)+COUNTIFS(Cleaned!$C$2:$C$125,2,Cleaned!$CY$2:$CY$125,3)+COUNTIFS(Cleaned!$C$2:$C$125,2,Cleaned!$CY$2:$CY$125,4)+COUNTIFS(Cleaned!$C$2:$C$125,2,Cleaned!$CY$2:$CY$125,5)+COUNTIFS(Cleaned!$C$2:$C$125,2,Cleaned!$CY$2:$CY$125,6)+COUNTIFS(Cleaned!$C$2:$C$125,2,Cleaned!$CY$2:$CY$125,7)+COUNTIFS(Cleaned!$C$2:$C$125,2,Cleaned!$CY$2:$CY$125,8)+COUNTIFS(Cleaned!$C$2:$C$125,2,Cleaned!$CY$2:$CY$125,9)+COUNTIFS(Cleaned!$C$2:$C$125,2,Cleaned!$CY$2:$CY$125,10)+COUNTIFS(Cleaned!$C$2:$C$125,3,Cleaned!$CY$2:$CY$125,1)+COUNTIFS(Cleaned!$C$2:$C$125,3,Cleaned!$CY$2:$CY$125,2)+COUNTIFS(Cleaned!$C$2:$C$125,3,Cleaned!$CY$2:$CY$125,3)+COUNTIFS(Cleaned!$C$2:$C$125,3,Cleaned!$CY$2:$CY$125,4)+COUNTIFS(Cleaned!$C$2:$C$125,3,Cleaned!$CY$2:$CY$125,5)+COUNTIFS(Cleaned!$C$2:$C$125,3,Cleaned!$CY$2:$CY$125,6)+COUNTIFS(Cleaned!$C$2:$C$125,3,Cleaned!$CY$2:$CY$125,7)+COUNTIFS(Cleaned!$C$2:$C$125,3,Cleaned!$CY$2:$CY$125,8)+COUNTIFS(Cleaned!$C$2:$C$125,3,Cleaned!$CY$2:$CY$125,9)+COUNTIFS(Cleaned!$C$2:$C$125,3,Cleaned!$CY$2:$CY$125,10)+COUNTIFS(Cleaned!$C$2:$C$125,4,Cleaned!$CY$2:$CY$125,1)+COUNTIFS(Cleaned!$C$2:$C$125,4,Cleaned!$CY$2:$CY$125,2)+COUNTIFS(Cleaned!$C$2:$C$125,4,Cleaned!$CY$2:$CY$125,3)+COUNTIFS(Cleaned!$C$2:$C$125,4,Cleaned!$CY$2:$CY$125,4)+COUNTIFS(Cleaned!$C$2:$C$125,4,Cleaned!$CY$2:$CY$125,5)+COUNTIFS(Cleaned!$C$2:$C$125,4,Cleaned!$CY$2:$CY$125,6)+COUNTIFS(Cleaned!$C$2:$C$125,4,Cleaned!$CY$2:$CY$125,7)+COUNTIFS(Cleaned!$C$2:$C$125,4,Cleaned!$CY$2:$CY$125,8)+COUNTIFS(Cleaned!$C$2:$C$125,4,Cleaned!$CY$2:$CY$125,9)+COUNTIFS(Cleaned!$C$2:$C$125,4,Cleaned!$CY$2:$CY$125,10)+COUNTIFS(Cleaned!$C$2:$C$125,5,Cleaned!$CY$2:$CY$125,1)+COUNTIFS(Cleaned!$C$2:$C$125,5,Cleaned!$CY$2:$CY$125,2)+COUNTIFS(Cleaned!$C$2:$C$125,5,Cleaned!$CY$2:$CY$125,3)+COUNTIFS(Cleaned!$C$2:$C$125,5,Cleaned!$CY$2:$CY$125,4)+COUNTIFS(Cleaned!$C$2:$C$125,5,Cleaned!$CY$2:$CY$125,5)+COUNTIFS(Cleaned!$C$2:$C$125,5,Cleaned!$CY$2:$CY$125,6)+COUNTIFS(Cleaned!$C$2:$C$125,5,Cleaned!$CY$2:$CY$125,7)+COUNTIFS(Cleaned!$C$2:$C$125,5,Cleaned!$CY$2:$CY$125,8)+COUNTIFS(Cleaned!$C$2:$C$125,5,Cleaned!$CY$2:$CY$125,9)+COUNTIFS(Cleaned!$C$2:$C$125,5,Cleaned!$CY$2:$CY$125,10)</f>
        <v>31</v>
      </c>
      <c r="C72" s="2" t="n">
        <f aca="false">COUNTIFS(Cleaned!$D$2:$D$125,1,Cleaned!$CY$2:$CY$125,1)+COUNTIFS(Cleaned!$D$2:$D$125,1,Cleaned!$CY$2:$CY$125,2)+COUNTIFS(Cleaned!$D$2:$D$125,1,Cleaned!$CY$2:$CY$125,3)+COUNTIFS(Cleaned!$D$2:$D$125,1,Cleaned!$CY$2:$CY$125,4)+COUNTIFS(Cleaned!$D$2:$D$125,1,Cleaned!$CY$2:$CY$125,5)+COUNTIFS(Cleaned!$D$2:$D$125,1,Cleaned!$CY$2:$CY$125,6)+COUNTIFS(Cleaned!$D$2:$D$125,1,Cleaned!$CY$2:$CY$125,7)+COUNTIFS(Cleaned!$D$2:$D$125,1,Cleaned!$CY$2:$CY$125,8)+COUNTIFS(Cleaned!$D$2:$D$125,1,Cleaned!$CY$2:$CY$125,9)+COUNTIFS(Cleaned!$D$2:$D$125,1,Cleaned!$CY$2:$CY$125,10)+COUNTIFS(Cleaned!$D$2:$D$125,2,Cleaned!$CY$2:$CY$125,1)+COUNTIFS(Cleaned!$D$2:$D$125,2,Cleaned!$CY$2:$CY$125,2)+COUNTIFS(Cleaned!$D$2:$D$125,2,Cleaned!$CY$2:$CY$125,3)+COUNTIFS(Cleaned!$D$2:$D$125,2,Cleaned!$CY$2:$CY$125,4)+COUNTIFS(Cleaned!$D$2:$D$125,2,Cleaned!$CY$2:$CY$125,5)+COUNTIFS(Cleaned!$D$2:$D$125,2,Cleaned!$CY$2:$CY$125,6)+COUNTIFS(Cleaned!$D$2:$D$125,2,Cleaned!$CY$2:$CY$125,7)+COUNTIFS(Cleaned!$D$2:$D$125,2,Cleaned!$CY$2:$CY$125,8)+COUNTIFS(Cleaned!$D$2:$D$125,2,Cleaned!$CY$2:$CY$125,9)+COUNTIFS(Cleaned!$D$2:$D$125,2,Cleaned!$CY$2:$CY$125,10)+COUNTIFS(Cleaned!$D$2:$D$125,3,Cleaned!$CY$2:$CY$125,1)+COUNTIFS(Cleaned!$D$2:$D$125,3,Cleaned!$CY$2:$CY$125,2)+COUNTIFS(Cleaned!$D$2:$D$125,3,Cleaned!$CY$2:$CY$125,3)+COUNTIFS(Cleaned!$D$2:$D$125,3,Cleaned!$CY$2:$CY$125,4)+COUNTIFS(Cleaned!$D$2:$D$125,3,Cleaned!$CY$2:$CY$125,5)+COUNTIFS(Cleaned!$D$2:$D$125,3,Cleaned!$CY$2:$CY$125,6)+COUNTIFS(Cleaned!$D$2:$D$125,3,Cleaned!$CY$2:$CY$125,7)+COUNTIFS(Cleaned!$D$2:$D$125,3,Cleaned!$CY$2:$CY$125,8)+COUNTIFS(Cleaned!$D$2:$D$125,3,Cleaned!$CY$2:$CY$125,9)+COUNTIFS(Cleaned!$D$2:$D$125,3,Cleaned!$CY$2:$CY$125,10)+COUNTIFS(Cleaned!$D$2:$D$125,4,Cleaned!$CY$2:$CY$125,1)+COUNTIFS(Cleaned!$D$2:$D$125,4,Cleaned!$CY$2:$CY$125,2)+COUNTIFS(Cleaned!$D$2:$D$125,4,Cleaned!$CY$2:$CY$125,3)+COUNTIFS(Cleaned!$D$2:$D$125,4,Cleaned!$CY$2:$CY$125,4)+COUNTIFS(Cleaned!$D$2:$D$125,4,Cleaned!$CY$2:$CY$125,5)+COUNTIFS(Cleaned!$D$2:$D$125,4,Cleaned!$CY$2:$CY$125,6)+COUNTIFS(Cleaned!$D$2:$D$125,4,Cleaned!$CY$2:$CY$125,7)+COUNTIFS(Cleaned!$D$2:$D$125,4,Cleaned!$CY$2:$CY$125,8)+COUNTIFS(Cleaned!$D$2:$D$125,4,Cleaned!$CY$2:$CY$125,9)+COUNTIFS(Cleaned!$D$2:$D$125,4,Cleaned!$CY$2:$CY$125,10)+COUNTIFS(Cleaned!$D$2:$D$125,5,Cleaned!$CY$2:$CY$125,1)+COUNTIFS(Cleaned!$D$2:$D$125,5,Cleaned!$CY$2:$CY$125,2)+COUNTIFS(Cleaned!$D$2:$D$125,5,Cleaned!$CY$2:$CY$125,3)+COUNTIFS(Cleaned!$D$2:$D$125,5,Cleaned!$CY$2:$CY$125,4)+COUNTIFS(Cleaned!$D$2:$D$125,5,Cleaned!$CY$2:$CY$125,5)+COUNTIFS(Cleaned!$D$2:$D$125,5,Cleaned!$CY$2:$CY$125,6)+COUNTIFS(Cleaned!$D$2:$D$125,5,Cleaned!$CY$2:$CY$125,7)+COUNTIFS(Cleaned!$D$2:$D$125,5,Cleaned!$CY$2:$CY$125,8)+COUNTIFS(Cleaned!$D$2:$D$125,5,Cleaned!$CY$2:$CY$125,9)+COUNTIFS(Cleaned!$D$2:$D$125,5,Cleaned!$CY$2:$CY$125,10)+COUNTIFS(Cleaned!$D$2:$D$125,6,Cleaned!$CY$2:$CY$125,1)+COUNTIFS(Cleaned!$D$2:$D$125,6,Cleaned!$CY$2:$CY$125,2)+COUNTIFS(Cleaned!$D$2:$D$125,6,Cleaned!$CY$2:$CY$125,3)+COUNTIFS(Cleaned!$D$2:$D$125,6,Cleaned!$CY$2:$CY$125,4)+COUNTIFS(Cleaned!$D$2:$D$125,6,Cleaned!$CY$2:$CY$125,5)+COUNTIFS(Cleaned!$D$2:$D$125,6,Cleaned!$CY$2:$CY$125,6)+COUNTIFS(Cleaned!$D$2:$D$125,6,Cleaned!$CY$2:$CY$125,7)+COUNTIFS(Cleaned!$D$2:$D$125,6,Cleaned!$CY$2:$CY$125,8)+COUNTIFS(Cleaned!$D$2:$D$125,6,Cleaned!$CY$2:$CY$125,9)+COUNTIFS(Cleaned!$D$2:$D$125,6,Cleaned!$CY$2:$CY$125,10)+COUNTIFS(Cleaned!$D$2:$D$125,7,Cleaned!$CY$2:$CY$125,1)+COUNTIFS(Cleaned!$D$2:$D$125,7,Cleaned!$CY$2:$CY$125,2)+COUNTIFS(Cleaned!$D$2:$D$125,7,Cleaned!$CY$2:$CY$125,3)+COUNTIFS(Cleaned!$D$2:$D$125,7,Cleaned!$CY$2:$CY$125,4)+COUNTIFS(Cleaned!$D$2:$D$125,7,Cleaned!$CY$2:$CY$125,5)+COUNTIFS(Cleaned!$D$2:$D$125,7,Cleaned!$CY$2:$CY$125,6)+COUNTIFS(Cleaned!$D$2:$D$125,7,Cleaned!$CY$2:$CY$125,7)+COUNTIFS(Cleaned!$D$2:$D$125,7,Cleaned!$CY$2:$CY$125,8)+COUNTIFS(Cleaned!$D$2:$D$125,7,Cleaned!$CY$2:$CY$125,9)+COUNTIFS(Cleaned!$D$2:$D$125,7,Cleaned!$CY$2:$CY$125,10)+COUNTIFS(Cleaned!$D$2:$D$125,8,Cleaned!$CY$2:$CY$125,1)+COUNTIFS(Cleaned!$D$2:$D$125,8,Cleaned!$CY$2:$CY$125,2)+COUNTIFS(Cleaned!$D$2:$D$125,8,Cleaned!$CY$2:$CY$125,3)+COUNTIFS(Cleaned!$D$2:$D$125,8,Cleaned!$CY$2:$CY$125,4)+COUNTIFS(Cleaned!$D$2:$D$125,8,Cleaned!$CY$2:$CY$125,5)+COUNTIFS(Cleaned!$D$2:$D$125,8,Cleaned!$CY$2:$CY$125,6)+COUNTIFS(Cleaned!$D$2:$D$125,8,Cleaned!$CY$2:$CY$125,7)+COUNTIFS(Cleaned!$D$2:$D$125,8,Cleaned!$CY$2:$CY$125,8)+COUNTIFS(Cleaned!$D$2:$D$125,8,Cleaned!$CY$2:$CY$125,9)+COUNTIFS(Cleaned!$D$2:$D$125,8,Cleaned!$CY$2:$CY$125,10)+COUNTIFS(Cleaned!$D$2:$D$125,9,Cleaned!$CY$2:$CY$125,1)+COUNTIFS(Cleaned!$D$2:$D$125,9,Cleaned!$CY$2:$CY$125,2)+COUNTIFS(Cleaned!$D$2:$D$125,9,Cleaned!$CY$2:$CY$125,3)+COUNTIFS(Cleaned!$D$2:$D$125,9,Cleaned!$CY$2:$CY$125,4)+COUNTIFS(Cleaned!$D$2:$D$125,9,Cleaned!$CY$2:$CY$125,5)+COUNTIFS(Cleaned!$D$2:$D$125,9,Cleaned!$CY$2:$CY$125,6)+COUNTIFS(Cleaned!$D$2:$D$125,9,Cleaned!$CY$2:$CY$125,7)+COUNTIFS(Cleaned!$D$2:$D$125,9,Cleaned!$CY$2:$CY$125,8)+COUNTIFS(Cleaned!$D$2:$D$125,9,Cleaned!$CY$2:$CY$125,9)+COUNTIFS(Cleaned!$D$2:$D$125,9,Cleaned!$CY$2:$CY$125,10)+COUNTIFS(Cleaned!$D$2:$D$125,10,Cleaned!$CY$2:$CY$125,1)+COUNTIFS(Cleaned!$D$2:$D$125,10,Cleaned!$CY$2:$CY$125,2)+COUNTIFS(Cleaned!$D$2:$D$125,10,Cleaned!$CY$2:$CY$125,3)+COUNTIFS(Cleaned!$D$2:$D$125,10,Cleaned!$CY$2:$CY$125,4)+COUNTIFS(Cleaned!$D$2:$D$125,10,Cleaned!$CY$2:$CY$125,5)+COUNTIFS(Cleaned!$D$2:$D$125,10,Cleaned!$CY$2:$CY$125,6)+COUNTIFS(Cleaned!$D$2:$D$125,10,Cleaned!$CY$2:$CY$125,7)+COUNTIFS(Cleaned!$D$2:$D$125,10,Cleaned!$CY$2:$CY$125,8)+COUNTIFS(Cleaned!$D$2:$D$125,10,Cleaned!$CY$2:$CY$125,9)+COUNTIFS(Cleaned!$D$2:$D$125,10,Cleaned!$CY$2:$CY$125,10)+COUNTIFS(Cleaned!$D$2:$D$125,11,Cleaned!$CY$2:$CY$125,1)+COUNTIFS(Cleaned!$D$2:$D$125,11,Cleaned!$CY$2:$CY$125,2)+COUNTIFS(Cleaned!$D$2:$D$125,11,Cleaned!$CY$2:$CY$125,3)+COUNTIFS(Cleaned!$D$2:$D$125,11,Cleaned!$CY$2:$CY$125,4)+COUNTIFS(Cleaned!$D$2:$D$125,11,Cleaned!$CY$2:$CY$125,5)+COUNTIFS(Cleaned!$D$2:$D$125,11,Cleaned!$CY$2:$CY$125,6)+COUNTIFS(Cleaned!$D$2:$D$125,11,Cleaned!$CY$2:$CY$125,7)+COUNTIFS(Cleaned!$D$2:$D$125,11,Cleaned!$CY$2:$CY$125,8)+COUNTIFS(Cleaned!$D$2:$D$125,11,Cleaned!$CY$2:$CY$125,9)+COUNTIFS(Cleaned!$D$2:$D$125,11,Cleaned!$CY$2:$CY$125,10)+COUNTIFS(Cleaned!$D$2:$D$125,12,Cleaned!$CY$2:$CY$125,1)+COUNTIFS(Cleaned!$D$2:$D$125,12,Cleaned!$CY$2:$CY$125,2)+COUNTIFS(Cleaned!$D$2:$D$125,12,Cleaned!$CY$2:$CY$125,3)+COUNTIFS(Cleaned!$D$2:$D$125,12,Cleaned!$CY$2:$CY$125,4)+COUNTIFS(Cleaned!$D$2:$D$125,12,Cleaned!$CY$2:$CY$125,5)+COUNTIFS(Cleaned!$D$2:$D$125,12,Cleaned!$CY$2:$CY$125,6)+COUNTIFS(Cleaned!$D$2:$D$125,12,Cleaned!$CY$2:$CY$125,7)+COUNTIFS(Cleaned!$D$2:$D$125,12,Cleaned!$CY$2:$CY$125,8)+COUNTIFS(Cleaned!$D$2:$D$125,12,Cleaned!$CY$2:$CY$125,9)+COUNTIFS(Cleaned!$D$2:$D$125,12,Cleaned!$CY$2:$CY$125,10)</f>
        <v>31</v>
      </c>
      <c r="D72" s="2" t="str">
        <f aca="false">IF(B72=C72,"OK","FAIL")</f>
        <v>OK</v>
      </c>
    </row>
    <row r="73" customFormat="false" ht="15" hidden="false" customHeight="false" outlineLevel="0" collapsed="false">
      <c r="A73" s="2" t="s">
        <v>1000</v>
      </c>
      <c r="B73" s="2" t="n">
        <f aca="false">COUNTIFS(Cleaned!$C$2:$C$125,1,Cleaned!$CZ$2:$CZ$125,1)+COUNTIFS(Cleaned!$C$2:$C$125,2,Cleaned!$CZ$2:$CZ$125,1)+COUNTIFS(Cleaned!$C$2:$C$125,3,Cleaned!$CZ$2:$CZ$125,1)+COUNTIFS(Cleaned!$C$2:$C$125,4,Cleaned!$CZ$2:$CZ$125,1)+COUNTIFS(Cleaned!$C$2:$C$125,5,Cleaned!$CZ$2:$CZ$125,1)</f>
        <v>30</v>
      </c>
      <c r="C73" s="2" t="n">
        <f aca="false">COUNTIFS(Cleaned!$D$2:$D$125,1,Cleaned!$CZ$2:$CZ$125,1)+COUNTIFS(Cleaned!$D$2:$D$125,2,Cleaned!$CZ$2:$CZ$125,1)+COUNTIFS(Cleaned!$D$2:$D$125,3,Cleaned!$CZ$2:$CZ$125,1)+COUNTIFS(Cleaned!$D$2:$D$125,4,Cleaned!$CZ$2:$CZ$125,1)+COUNTIFS(Cleaned!$D$2:$D$125,5,Cleaned!$CZ$2:$CZ$125,1)+COUNTIFS(Cleaned!$D$2:$D$125,6,Cleaned!$CZ$2:$CZ$125,1)+COUNTIFS(Cleaned!$D$2:$D$125,7,Cleaned!$CZ$2:$CZ$125,1)+COUNTIFS(Cleaned!$D$2:$D$125,8,Cleaned!$CZ$2:$CZ$125,1)+COUNTIFS(Cleaned!$D$2:$D$125,9,Cleaned!$CZ$2:$CZ$125,1)+COUNTIFS(Cleaned!$D$2:$D$125,10,Cleaned!$CZ$2:$CZ$125,1)+COUNTIFS(Cleaned!$D$2:$D$125,11,Cleaned!$CZ$2:$CZ$125,1)+COUNTIFS(Cleaned!$D$2:$D$125,12,Cleaned!$CZ$2:$CZ$125,1)</f>
        <v>30</v>
      </c>
      <c r="D73" s="2" t="str">
        <f aca="false">IF(B73=C73,"OK","FAIL")</f>
        <v>OK</v>
      </c>
    </row>
    <row r="74" customFormat="false" ht="15" hidden="false" customHeight="false" outlineLevel="0" collapsed="false">
      <c r="A74" s="2" t="s">
        <v>1007</v>
      </c>
      <c r="B74" s="2" t="n">
        <f aca="false">COUNTIFS(Cleaned!$C$2:$C$125,1,Cleaned!$DB$2:$DB$125,1)+COUNTIFS(Cleaned!$C$2:$C$125,1,Cleaned!$DB$2:$DB$125,2)+COUNTIFS(Cleaned!$C$2:$C$125,1,Cleaned!$DB$2:$DB$125,3)+COUNTIFS(Cleaned!$C$2:$C$125,2,Cleaned!$DB$2:$DB$125,1)+COUNTIFS(Cleaned!$C$2:$C$125,2,Cleaned!$DB$2:$DB$125,2)+COUNTIFS(Cleaned!$C$2:$C$125,2,Cleaned!$DB$2:$DB$125,3)+COUNTIFS(Cleaned!$C$2:$C$125,3,Cleaned!$DB$2:$DB$125,1)+COUNTIFS(Cleaned!$C$2:$C$125,3,Cleaned!$DB$2:$DB$125,2)+COUNTIFS(Cleaned!$C$2:$C$125,3,Cleaned!$DB$2:$DB$125,3)+COUNTIFS(Cleaned!$C$2:$C$125,4,Cleaned!$DB$2:$DB$125,1)+COUNTIFS(Cleaned!$C$2:$C$125,4,Cleaned!$DB$2:$DB$125,2)+COUNTIFS(Cleaned!$C$2:$C$125,4,Cleaned!$DB$2:$DB$125,3)+COUNTIFS(Cleaned!$C$2:$C$125,5,Cleaned!$DB$2:$DB$125,1)+COUNTIFS(Cleaned!$C$2:$C$125,5,Cleaned!$DB$2:$DB$125,2)+COUNTIFS(Cleaned!$C$2:$C$125,5,Cleaned!$DB$2:$DB$125,3)</f>
        <v>31</v>
      </c>
      <c r="C74" s="2" t="n">
        <f aca="false">COUNTIFS(Cleaned!$D$2:$D$125,1,Cleaned!$DB$2:$DB$125,1)+COUNTIFS(Cleaned!$D$2:$D$125,1,Cleaned!$DB$2:$DB$125,2)+COUNTIFS(Cleaned!$D$2:$D$125,1,Cleaned!$DB$2:$DB$125,3)+COUNTIFS(Cleaned!$D$2:$D$125,2,Cleaned!$DB$2:$DB$125,1)+COUNTIFS(Cleaned!$D$2:$D$125,2,Cleaned!$DB$2:$DB$125,2)+COUNTIFS(Cleaned!$D$2:$D$125,2,Cleaned!$DB$2:$DB$125,3)+COUNTIFS(Cleaned!$D$2:$D$125,3,Cleaned!$DB$2:$DB$125,1)+COUNTIFS(Cleaned!$D$2:$D$125,3,Cleaned!$DB$2:$DB$125,2)+COUNTIFS(Cleaned!$D$2:$D$125,3,Cleaned!$DB$2:$DB$125,3)+COUNTIFS(Cleaned!$D$2:$D$125,4,Cleaned!$DB$2:$DB$125,1)+COUNTIFS(Cleaned!$D$2:$D$125,4,Cleaned!$DB$2:$DB$125,2)+COUNTIFS(Cleaned!$D$2:$D$125,4,Cleaned!$DB$2:$DB$125,3)+COUNTIFS(Cleaned!$D$2:$D$125,5,Cleaned!$DB$2:$DB$125,1)+COUNTIFS(Cleaned!$D$2:$D$125,5,Cleaned!$DB$2:$DB$125,2)+COUNTIFS(Cleaned!$D$2:$D$125,5,Cleaned!$DB$2:$DB$125,3)+COUNTIFS(Cleaned!$D$2:$D$125,6,Cleaned!$DB$2:$DB$125,1)+COUNTIFS(Cleaned!$D$2:$D$125,6,Cleaned!$DB$2:$DB$125,2)+COUNTIFS(Cleaned!$D$2:$D$125,6,Cleaned!$DB$2:$DB$125,3)+COUNTIFS(Cleaned!$D$2:$D$125,7,Cleaned!$DB$2:$DB$125,1)+COUNTIFS(Cleaned!$D$2:$D$125,7,Cleaned!$DB$2:$DB$125,2)+COUNTIFS(Cleaned!$D$2:$D$125,7,Cleaned!$DB$2:$DB$125,3)+COUNTIFS(Cleaned!$D$2:$D$125,8,Cleaned!$DB$2:$DB$125,1)+COUNTIFS(Cleaned!$D$2:$D$125,8,Cleaned!$DB$2:$DB$125,2)+COUNTIFS(Cleaned!$D$2:$D$125,8,Cleaned!$DB$2:$DB$125,3)+COUNTIFS(Cleaned!$D$2:$D$125,9,Cleaned!$DB$2:$DB$125,1)+COUNTIFS(Cleaned!$D$2:$D$125,9,Cleaned!$DB$2:$DB$125,2)+COUNTIFS(Cleaned!$D$2:$D$125,9,Cleaned!$DB$2:$DB$125,3)+COUNTIFS(Cleaned!$D$2:$D$125,10,Cleaned!$DB$2:$DB$125,1)+COUNTIFS(Cleaned!$D$2:$D$125,10,Cleaned!$DB$2:$DB$125,2)+COUNTIFS(Cleaned!$D$2:$D$125,10,Cleaned!$DB$2:$DB$125,3)+COUNTIFS(Cleaned!$D$2:$D$125,11,Cleaned!$DB$2:$DB$125,1)+COUNTIFS(Cleaned!$D$2:$D$125,11,Cleaned!$DB$2:$DB$125,2)+COUNTIFS(Cleaned!$D$2:$D$125,11,Cleaned!$DB$2:$DB$125,3)+COUNTIFS(Cleaned!$D$2:$D$125,12,Cleaned!$DB$2:$DB$125,1)+COUNTIFS(Cleaned!$D$2:$D$125,12,Cleaned!$DB$2:$DB$125,2)+COUNTIFS(Cleaned!$D$2:$D$125,12,Cleaned!$DB$2:$DB$125,3)</f>
        <v>31</v>
      </c>
      <c r="D74" s="2" t="str">
        <f aca="false">IF(B74=C74,"OK","FAIL")</f>
        <v>OK</v>
      </c>
    </row>
    <row r="75" customFormat="false" ht="15" hidden="false" customHeight="false" outlineLevel="0" collapsed="false">
      <c r="A75" s="2" t="s">
        <v>1008</v>
      </c>
      <c r="B75" s="2" t="n">
        <f aca="false">COUNTIFS(Cleaned!$C$2:$C$125,1,Cleaned!$DC$2:$DC$125,0)+COUNTIFS(Cleaned!$C$2:$C$125,1,Cleaned!$DC$2:$DC$125,1)+COUNTIFS(Cleaned!$C$2:$C$125,2,Cleaned!$DC$2:$DC$125,0)+COUNTIFS(Cleaned!$C$2:$C$125,2,Cleaned!$DC$2:$DC$125,1)+COUNTIFS(Cleaned!$C$2:$C$125,3,Cleaned!$DC$2:$DC$125,0)+COUNTIFS(Cleaned!$C$2:$C$125,3,Cleaned!$DC$2:$DC$125,1)+COUNTIFS(Cleaned!$C$2:$C$125,4,Cleaned!$DC$2:$DC$125,0)+COUNTIFS(Cleaned!$C$2:$C$125,4,Cleaned!$DC$2:$DC$125,1)+COUNTIFS(Cleaned!$C$2:$C$125,5,Cleaned!$DC$2:$DC$125,0)+COUNTIFS(Cleaned!$C$2:$C$125,5,Cleaned!$DC$2:$DC$125,1)</f>
        <v>31</v>
      </c>
      <c r="C75" s="2" t="n">
        <f aca="false">COUNTIFS(Cleaned!$D$2:$D$125,1,Cleaned!$DC$2:$DC$125,0)+COUNTIFS(Cleaned!$D$2:$D$125,1,Cleaned!$DC$2:$DC$125,1)+COUNTIFS(Cleaned!$D$2:$D$125,2,Cleaned!$DC$2:$DC$125,0)+COUNTIFS(Cleaned!$D$2:$D$125,2,Cleaned!$DC$2:$DC$125,1)+COUNTIFS(Cleaned!$D$2:$D$125,3,Cleaned!$DC$2:$DC$125,0)+COUNTIFS(Cleaned!$D$2:$D$125,3,Cleaned!$DC$2:$DC$125,1)+COUNTIFS(Cleaned!$D$2:$D$125,4,Cleaned!$DC$2:$DC$125,0)+COUNTIFS(Cleaned!$D$2:$D$125,4,Cleaned!$DC$2:$DC$125,1)+COUNTIFS(Cleaned!$D$2:$D$125,5,Cleaned!$DC$2:$DC$125,0)+COUNTIFS(Cleaned!$D$2:$D$125,5,Cleaned!$DC$2:$DC$125,1)+COUNTIFS(Cleaned!$D$2:$D$125,6,Cleaned!$DC$2:$DC$125,0)+COUNTIFS(Cleaned!$D$2:$D$125,6,Cleaned!$DC$2:$DC$125,1)+COUNTIFS(Cleaned!$D$2:$D$125,7,Cleaned!$DC$2:$DC$125,0)+COUNTIFS(Cleaned!$D$2:$D$125,7,Cleaned!$DC$2:$DC$125,1)+COUNTIFS(Cleaned!$D$2:$D$125,8,Cleaned!$DC$2:$DC$125,0)+COUNTIFS(Cleaned!$D$2:$D$125,8,Cleaned!$DC$2:$DC$125,1)+COUNTIFS(Cleaned!$D$2:$D$125,9,Cleaned!$DC$2:$DC$125,0)+COUNTIFS(Cleaned!$D$2:$D$125,9,Cleaned!$DC$2:$DC$125,1)+COUNTIFS(Cleaned!$D$2:$D$125,10,Cleaned!$DC$2:$DC$125,0)+COUNTIFS(Cleaned!$D$2:$D$125,10,Cleaned!$DC$2:$DC$125,1)+COUNTIFS(Cleaned!$D$2:$D$125,11,Cleaned!$DC$2:$DC$125,0)+COUNTIFS(Cleaned!$D$2:$D$125,11,Cleaned!$DC$2:$DC$125,1)+COUNTIFS(Cleaned!$D$2:$D$125,12,Cleaned!$DC$2:$DC$125,0)+COUNTIFS(Cleaned!$D$2:$D$125,12,Cleaned!$DC$2:$DC$125,1)</f>
        <v>31</v>
      </c>
      <c r="D75" s="2" t="str">
        <f aca="false">IF(B75=C75,"OK","FAIL")</f>
        <v>OK</v>
      </c>
    </row>
    <row r="76" customFormat="false" ht="15" hidden="false" customHeight="false" outlineLevel="0" collapsed="false">
      <c r="A76" s="2" t="s">
        <v>1008</v>
      </c>
      <c r="B76" s="2" t="n">
        <f aca="false">COUNTIFS(Cleaned!$C$2:$C$125,1,Cleaned!$DD$2:$DD$125,0)+COUNTIFS(Cleaned!$C$2:$C$125,1,Cleaned!$DD$2:$DD$125,1)+COUNTIFS(Cleaned!$C$2:$C$125,2,Cleaned!$DD$2:$DD$125,0)+COUNTIFS(Cleaned!$C$2:$C$125,2,Cleaned!$DD$2:$DD$125,1)+COUNTIFS(Cleaned!$C$2:$C$125,3,Cleaned!$DD$2:$DD$125,0)+COUNTIFS(Cleaned!$C$2:$C$125,3,Cleaned!$DD$2:$DD$125,1)+COUNTIFS(Cleaned!$C$2:$C$125,4,Cleaned!$DD$2:$DD$125,0)+COUNTIFS(Cleaned!$C$2:$C$125,4,Cleaned!$DD$2:$DD$125,1)+COUNTIFS(Cleaned!$C$2:$C$125,5,Cleaned!$DD$2:$DD$125,0)+COUNTIFS(Cleaned!$C$2:$C$125,5,Cleaned!$DD$2:$DD$125,1)</f>
        <v>31</v>
      </c>
      <c r="C76" s="2" t="n">
        <f aca="false">COUNTIFS(Cleaned!$D$2:$D$125,1,Cleaned!$DD$2:$DD$125,0)+COUNTIFS(Cleaned!$D$2:$D$125,1,Cleaned!$DD$2:$DD$125,1)+COUNTIFS(Cleaned!$D$2:$D$125,2,Cleaned!$DD$2:$DD$125,0)+COUNTIFS(Cleaned!$D$2:$D$125,2,Cleaned!$DD$2:$DD$125,1)+COUNTIFS(Cleaned!$D$2:$D$125,3,Cleaned!$DD$2:$DD$125,0)+COUNTIFS(Cleaned!$D$2:$D$125,3,Cleaned!$DD$2:$DD$125,1)+COUNTIFS(Cleaned!$D$2:$D$125,4,Cleaned!$DD$2:$DD$125,0)+COUNTIFS(Cleaned!$D$2:$D$125,4,Cleaned!$DD$2:$DD$125,1)+COUNTIFS(Cleaned!$D$2:$D$125,5,Cleaned!$DD$2:$DD$125,0)+COUNTIFS(Cleaned!$D$2:$D$125,5,Cleaned!$DD$2:$DD$125,1)+COUNTIFS(Cleaned!$D$2:$D$125,6,Cleaned!$DD$2:$DD$125,0)+COUNTIFS(Cleaned!$D$2:$D$125,6,Cleaned!$DD$2:$DD$125,1)+COUNTIFS(Cleaned!$D$2:$D$125,7,Cleaned!$DD$2:$DD$125,0)+COUNTIFS(Cleaned!$D$2:$D$125,7,Cleaned!$DD$2:$DD$125,1)+COUNTIFS(Cleaned!$D$2:$D$125,8,Cleaned!$DD$2:$DD$125,0)+COUNTIFS(Cleaned!$D$2:$D$125,8,Cleaned!$DD$2:$DD$125,1)+COUNTIFS(Cleaned!$D$2:$D$125,9,Cleaned!$DD$2:$DD$125,0)+COUNTIFS(Cleaned!$D$2:$D$125,9,Cleaned!$DD$2:$DD$125,1)+COUNTIFS(Cleaned!$D$2:$D$125,10,Cleaned!$DD$2:$DD$125,0)+COUNTIFS(Cleaned!$D$2:$D$125,10,Cleaned!$DD$2:$DD$125,1)+COUNTIFS(Cleaned!$D$2:$D$125,11,Cleaned!$DD$2:$DD$125,0)+COUNTIFS(Cleaned!$D$2:$D$125,11,Cleaned!$DD$2:$DD$125,1)+COUNTIFS(Cleaned!$D$2:$D$125,12,Cleaned!$DD$2:$DD$125,0)+COUNTIFS(Cleaned!$D$2:$D$125,12,Cleaned!$DD$2:$DD$125,1)</f>
        <v>31</v>
      </c>
      <c r="D76" s="2" t="str">
        <f aca="false">IF(B76=C76,"OK","FAIL")</f>
        <v>OK</v>
      </c>
    </row>
    <row r="77" customFormat="false" ht="15" hidden="false" customHeight="false" outlineLevel="0" collapsed="false">
      <c r="A77" s="2" t="s">
        <v>1008</v>
      </c>
      <c r="B77" s="2" t="n">
        <f aca="false">COUNTIFS(Cleaned!$C$2:$C$125,1,Cleaned!$DE$2:$DE$125,0)+COUNTIFS(Cleaned!$C$2:$C$125,1,Cleaned!$DE$2:$DE$125,1)+COUNTIFS(Cleaned!$C$2:$C$125,2,Cleaned!$DE$2:$DE$125,0)+COUNTIFS(Cleaned!$C$2:$C$125,2,Cleaned!$DE$2:$DE$125,1)+COUNTIFS(Cleaned!$C$2:$C$125,3,Cleaned!$DE$2:$DE$125,0)+COUNTIFS(Cleaned!$C$2:$C$125,3,Cleaned!$DE$2:$DE$125,1)+COUNTIFS(Cleaned!$C$2:$C$125,4,Cleaned!$DE$2:$DE$125,0)+COUNTIFS(Cleaned!$C$2:$C$125,4,Cleaned!$DE$2:$DE$125,1)+COUNTIFS(Cleaned!$C$2:$C$125,5,Cleaned!$DE$2:$DE$125,0)+COUNTIFS(Cleaned!$C$2:$C$125,5,Cleaned!$DE$2:$DE$125,1)</f>
        <v>31</v>
      </c>
      <c r="C77" s="2" t="n">
        <f aca="false">COUNTIFS(Cleaned!$D$2:$D$125,1,Cleaned!$DE$2:$DE$125,0)+COUNTIFS(Cleaned!$D$2:$D$125,1,Cleaned!$DE$2:$DE$125,1)+COUNTIFS(Cleaned!$D$2:$D$125,2,Cleaned!$DE$2:$DE$125,0)+COUNTIFS(Cleaned!$D$2:$D$125,2,Cleaned!$DE$2:$DE$125,1)+COUNTIFS(Cleaned!$D$2:$D$125,3,Cleaned!$DE$2:$DE$125,0)+COUNTIFS(Cleaned!$D$2:$D$125,3,Cleaned!$DE$2:$DE$125,1)+COUNTIFS(Cleaned!$D$2:$D$125,4,Cleaned!$DE$2:$DE$125,0)+COUNTIFS(Cleaned!$D$2:$D$125,4,Cleaned!$DE$2:$DE$125,1)+COUNTIFS(Cleaned!$D$2:$D$125,5,Cleaned!$DE$2:$DE$125,0)+COUNTIFS(Cleaned!$D$2:$D$125,5,Cleaned!$DE$2:$DE$125,1)+COUNTIFS(Cleaned!$D$2:$D$125,6,Cleaned!$DE$2:$DE$125,0)+COUNTIFS(Cleaned!$D$2:$D$125,6,Cleaned!$DE$2:$DE$125,1)+COUNTIFS(Cleaned!$D$2:$D$125,7,Cleaned!$DE$2:$DE$125,0)+COUNTIFS(Cleaned!$D$2:$D$125,7,Cleaned!$DE$2:$DE$125,1)+COUNTIFS(Cleaned!$D$2:$D$125,8,Cleaned!$DE$2:$DE$125,0)+COUNTIFS(Cleaned!$D$2:$D$125,8,Cleaned!$DE$2:$DE$125,1)+COUNTIFS(Cleaned!$D$2:$D$125,9,Cleaned!$DE$2:$DE$125,0)+COUNTIFS(Cleaned!$D$2:$D$125,9,Cleaned!$DE$2:$DE$125,1)+COUNTIFS(Cleaned!$D$2:$D$125,10,Cleaned!$DE$2:$DE$125,0)+COUNTIFS(Cleaned!$D$2:$D$125,10,Cleaned!$DE$2:$DE$125,1)+COUNTIFS(Cleaned!$D$2:$D$125,11,Cleaned!$DE$2:$DE$125,0)+COUNTIFS(Cleaned!$D$2:$D$125,11,Cleaned!$DE$2:$DE$125,1)+COUNTIFS(Cleaned!$D$2:$D$125,12,Cleaned!$DE$2:$DE$125,0)+COUNTIFS(Cleaned!$D$2:$D$125,12,Cleaned!$DE$2:$DE$125,1)</f>
        <v>31</v>
      </c>
      <c r="D77" s="2" t="str">
        <f aca="false">IF(B77=C77,"OK","FAIL")</f>
        <v>OK</v>
      </c>
    </row>
    <row r="78" customFormat="false" ht="15" hidden="false" customHeight="false" outlineLevel="0" collapsed="false">
      <c r="A78" s="2" t="s">
        <v>1008</v>
      </c>
      <c r="B78" s="2" t="n">
        <f aca="false">COUNTIFS(Cleaned!$C$2:$C$125,1,Cleaned!$DF$2:$DF$125,0)+COUNTIFS(Cleaned!$C$2:$C$125,1,Cleaned!$DF$2:$DF$125,1)+COUNTIFS(Cleaned!$C$2:$C$125,2,Cleaned!$DF$2:$DF$125,0)+COUNTIFS(Cleaned!$C$2:$C$125,2,Cleaned!$DF$2:$DF$125,1)+COUNTIFS(Cleaned!$C$2:$C$125,3,Cleaned!$DF$2:$DF$125,0)+COUNTIFS(Cleaned!$C$2:$C$125,3,Cleaned!$DF$2:$DF$125,1)+COUNTIFS(Cleaned!$C$2:$C$125,4,Cleaned!$DF$2:$DF$125,0)+COUNTIFS(Cleaned!$C$2:$C$125,4,Cleaned!$DF$2:$DF$125,1)+COUNTIFS(Cleaned!$C$2:$C$125,5,Cleaned!$DF$2:$DF$125,0)+COUNTIFS(Cleaned!$C$2:$C$125,5,Cleaned!$DF$2:$DF$125,1)</f>
        <v>31</v>
      </c>
      <c r="C78" s="2" t="n">
        <f aca="false">COUNTIFS(Cleaned!$D$2:$D$125,1,Cleaned!$DF$2:$DF$125,0)+COUNTIFS(Cleaned!$D$2:$D$125,1,Cleaned!$DF$2:$DF$125,1)+COUNTIFS(Cleaned!$D$2:$D$125,2,Cleaned!$DF$2:$DF$125,0)+COUNTIFS(Cleaned!$D$2:$D$125,2,Cleaned!$DF$2:$DF$125,1)+COUNTIFS(Cleaned!$D$2:$D$125,3,Cleaned!$DF$2:$DF$125,0)+COUNTIFS(Cleaned!$D$2:$D$125,3,Cleaned!$DF$2:$DF$125,1)+COUNTIFS(Cleaned!$D$2:$D$125,4,Cleaned!$DF$2:$DF$125,0)+COUNTIFS(Cleaned!$D$2:$D$125,4,Cleaned!$DF$2:$DF$125,1)+COUNTIFS(Cleaned!$D$2:$D$125,5,Cleaned!$DF$2:$DF$125,0)+COUNTIFS(Cleaned!$D$2:$D$125,5,Cleaned!$DF$2:$DF$125,1)+COUNTIFS(Cleaned!$D$2:$D$125,6,Cleaned!$DF$2:$DF$125,0)+COUNTIFS(Cleaned!$D$2:$D$125,6,Cleaned!$DF$2:$DF$125,1)+COUNTIFS(Cleaned!$D$2:$D$125,7,Cleaned!$DF$2:$DF$125,0)+COUNTIFS(Cleaned!$D$2:$D$125,7,Cleaned!$DF$2:$DF$125,1)+COUNTIFS(Cleaned!$D$2:$D$125,8,Cleaned!$DF$2:$DF$125,0)+COUNTIFS(Cleaned!$D$2:$D$125,8,Cleaned!$DF$2:$DF$125,1)+COUNTIFS(Cleaned!$D$2:$D$125,9,Cleaned!$DF$2:$DF$125,0)+COUNTIFS(Cleaned!$D$2:$D$125,9,Cleaned!$DF$2:$DF$125,1)+COUNTIFS(Cleaned!$D$2:$D$125,10,Cleaned!$DF$2:$DF$125,0)+COUNTIFS(Cleaned!$D$2:$D$125,10,Cleaned!$DF$2:$DF$125,1)+COUNTIFS(Cleaned!$D$2:$D$125,11,Cleaned!$DF$2:$DF$125,0)+COUNTIFS(Cleaned!$D$2:$D$125,11,Cleaned!$DF$2:$DF$125,1)+COUNTIFS(Cleaned!$D$2:$D$125,12,Cleaned!$DF$2:$DF$125,0)+COUNTIFS(Cleaned!$D$2:$D$125,12,Cleaned!$DF$2:$DF$125,1)</f>
        <v>31</v>
      </c>
      <c r="D78" s="2" t="str">
        <f aca="false">IF(B78=C78,"OK","FAIL")</f>
        <v>OK</v>
      </c>
    </row>
    <row r="79" customFormat="false" ht="15" hidden="false" customHeight="false" outlineLevel="0" collapsed="false">
      <c r="A79" s="2" t="s">
        <v>1008</v>
      </c>
      <c r="B79" s="2" t="n">
        <f aca="false">COUNTIFS(Cleaned!$C$2:$C$125,1,Cleaned!$DG$2:$DG$125,0)+COUNTIFS(Cleaned!$C$2:$C$125,1,Cleaned!$DG$2:$DG$125,1)+COUNTIFS(Cleaned!$C$2:$C$125,2,Cleaned!$DG$2:$DG$125,0)+COUNTIFS(Cleaned!$C$2:$C$125,2,Cleaned!$DG$2:$DG$125,1)+COUNTIFS(Cleaned!$C$2:$C$125,3,Cleaned!$DG$2:$DG$125,0)+COUNTIFS(Cleaned!$C$2:$C$125,3,Cleaned!$DG$2:$DG$125,1)+COUNTIFS(Cleaned!$C$2:$C$125,4,Cleaned!$DG$2:$DG$125,0)+COUNTIFS(Cleaned!$C$2:$C$125,4,Cleaned!$DG$2:$DG$125,1)+COUNTIFS(Cleaned!$C$2:$C$125,5,Cleaned!$DG$2:$DG$125,0)+COUNTIFS(Cleaned!$C$2:$C$125,5,Cleaned!$DG$2:$DG$125,1)</f>
        <v>31</v>
      </c>
      <c r="C79" s="2" t="n">
        <f aca="false">COUNTIFS(Cleaned!$D$2:$D$125,1,Cleaned!$DG$2:$DG$125,0)+COUNTIFS(Cleaned!$D$2:$D$125,1,Cleaned!$DG$2:$DG$125,1)+COUNTIFS(Cleaned!$D$2:$D$125,2,Cleaned!$DG$2:$DG$125,0)+COUNTIFS(Cleaned!$D$2:$D$125,2,Cleaned!$DG$2:$DG$125,1)+COUNTIFS(Cleaned!$D$2:$D$125,3,Cleaned!$DG$2:$DG$125,0)+COUNTIFS(Cleaned!$D$2:$D$125,3,Cleaned!$DG$2:$DG$125,1)+COUNTIFS(Cleaned!$D$2:$D$125,4,Cleaned!$DG$2:$DG$125,0)+COUNTIFS(Cleaned!$D$2:$D$125,4,Cleaned!$DG$2:$DG$125,1)+COUNTIFS(Cleaned!$D$2:$D$125,5,Cleaned!$DG$2:$DG$125,0)+COUNTIFS(Cleaned!$D$2:$D$125,5,Cleaned!$DG$2:$DG$125,1)+COUNTIFS(Cleaned!$D$2:$D$125,6,Cleaned!$DG$2:$DG$125,0)+COUNTIFS(Cleaned!$D$2:$D$125,6,Cleaned!$DG$2:$DG$125,1)+COUNTIFS(Cleaned!$D$2:$D$125,7,Cleaned!$DG$2:$DG$125,0)+COUNTIFS(Cleaned!$D$2:$D$125,7,Cleaned!$DG$2:$DG$125,1)+COUNTIFS(Cleaned!$D$2:$D$125,8,Cleaned!$DG$2:$DG$125,0)+COUNTIFS(Cleaned!$D$2:$D$125,8,Cleaned!$DG$2:$DG$125,1)+COUNTIFS(Cleaned!$D$2:$D$125,9,Cleaned!$DG$2:$DG$125,0)+COUNTIFS(Cleaned!$D$2:$D$125,9,Cleaned!$DG$2:$DG$125,1)+COUNTIFS(Cleaned!$D$2:$D$125,10,Cleaned!$DG$2:$DG$125,0)+COUNTIFS(Cleaned!$D$2:$D$125,10,Cleaned!$DG$2:$DG$125,1)+COUNTIFS(Cleaned!$D$2:$D$125,11,Cleaned!$DG$2:$DG$125,0)+COUNTIFS(Cleaned!$D$2:$D$125,11,Cleaned!$DG$2:$DG$125,1)+COUNTIFS(Cleaned!$D$2:$D$125,12,Cleaned!$DG$2:$DG$125,0)+COUNTIFS(Cleaned!$D$2:$D$125,12,Cleaned!$DG$2:$DG$125,1)</f>
        <v>31</v>
      </c>
      <c r="D79" s="2" t="str">
        <f aca="false">IF(B79=C79,"OK","FAIL")</f>
        <v>OK</v>
      </c>
    </row>
    <row r="80" customFormat="false" ht="15" hidden="false" customHeight="false" outlineLevel="0" collapsed="false">
      <c r="A80" s="2" t="s">
        <v>1008</v>
      </c>
      <c r="B80" s="2" t="n">
        <f aca="false">COUNTIFS(Cleaned!$C$2:$C$125,1,Cleaned!$DH$2:$DH$125,0)+COUNTIFS(Cleaned!$C$2:$C$125,1,Cleaned!$DH$2:$DH$125,1)+COUNTIFS(Cleaned!$C$2:$C$125,2,Cleaned!$DH$2:$DH$125,0)+COUNTIFS(Cleaned!$C$2:$C$125,2,Cleaned!$DH$2:$DH$125,1)+COUNTIFS(Cleaned!$C$2:$C$125,3,Cleaned!$DH$2:$DH$125,0)+COUNTIFS(Cleaned!$C$2:$C$125,3,Cleaned!$DH$2:$DH$125,1)+COUNTIFS(Cleaned!$C$2:$C$125,4,Cleaned!$DH$2:$DH$125,0)+COUNTIFS(Cleaned!$C$2:$C$125,4,Cleaned!$DH$2:$DH$125,1)+COUNTIFS(Cleaned!$C$2:$C$125,5,Cleaned!$DH$2:$DH$125,0)+COUNTIFS(Cleaned!$C$2:$C$125,5,Cleaned!$DH$2:$DH$125,1)</f>
        <v>31</v>
      </c>
      <c r="C80" s="2" t="n">
        <f aca="false">COUNTIFS(Cleaned!$D$2:$D$125,1,Cleaned!$DH$2:$DH$125,0)+COUNTIFS(Cleaned!$D$2:$D$125,1,Cleaned!$DH$2:$DH$125,1)+COUNTIFS(Cleaned!$D$2:$D$125,2,Cleaned!$DH$2:$DH$125,0)+COUNTIFS(Cleaned!$D$2:$D$125,2,Cleaned!$DH$2:$DH$125,1)+COUNTIFS(Cleaned!$D$2:$D$125,3,Cleaned!$DH$2:$DH$125,0)+COUNTIFS(Cleaned!$D$2:$D$125,3,Cleaned!$DH$2:$DH$125,1)+COUNTIFS(Cleaned!$D$2:$D$125,4,Cleaned!$DH$2:$DH$125,0)+COUNTIFS(Cleaned!$D$2:$D$125,4,Cleaned!$DH$2:$DH$125,1)+COUNTIFS(Cleaned!$D$2:$D$125,5,Cleaned!$DH$2:$DH$125,0)+COUNTIFS(Cleaned!$D$2:$D$125,5,Cleaned!$DH$2:$DH$125,1)+COUNTIFS(Cleaned!$D$2:$D$125,6,Cleaned!$DH$2:$DH$125,0)+COUNTIFS(Cleaned!$D$2:$D$125,6,Cleaned!$DH$2:$DH$125,1)+COUNTIFS(Cleaned!$D$2:$D$125,7,Cleaned!$DH$2:$DH$125,0)+COUNTIFS(Cleaned!$D$2:$D$125,7,Cleaned!$DH$2:$DH$125,1)+COUNTIFS(Cleaned!$D$2:$D$125,8,Cleaned!$DH$2:$DH$125,0)+COUNTIFS(Cleaned!$D$2:$D$125,8,Cleaned!$DH$2:$DH$125,1)+COUNTIFS(Cleaned!$D$2:$D$125,9,Cleaned!$DH$2:$DH$125,0)+COUNTIFS(Cleaned!$D$2:$D$125,9,Cleaned!$DH$2:$DH$125,1)+COUNTIFS(Cleaned!$D$2:$D$125,10,Cleaned!$DH$2:$DH$125,0)+COUNTIFS(Cleaned!$D$2:$D$125,10,Cleaned!$DH$2:$DH$125,1)+COUNTIFS(Cleaned!$D$2:$D$125,11,Cleaned!$DH$2:$DH$125,0)+COUNTIFS(Cleaned!$D$2:$D$125,11,Cleaned!$DH$2:$DH$125,1)+COUNTIFS(Cleaned!$D$2:$D$125,12,Cleaned!$DH$2:$DH$125,0)+COUNTIFS(Cleaned!$D$2:$D$125,12,Cleaned!$DH$2:$DH$125,1)</f>
        <v>31</v>
      </c>
      <c r="D80" s="2" t="str">
        <f aca="false">IF(B80=C80,"OK","FAIL")</f>
        <v>OK</v>
      </c>
    </row>
    <row r="81" customFormat="false" ht="15" hidden="false" customHeight="false" outlineLevel="0" collapsed="false">
      <c r="A81" s="2" t="s">
        <v>1009</v>
      </c>
      <c r="B81" s="2" t="n">
        <f aca="false">COUNTIFS(Cleaned!$C$2:$C$125,1,Cleaned!$DJ$2:$DJ$125,1)+COUNTIFS(Cleaned!$C$2:$C$125,1,Cleaned!$DJ$2:$DJ$125,2)+COUNTIFS(Cleaned!$C$2:$C$125,2,Cleaned!$DJ$2:$DJ$125,1)+COUNTIFS(Cleaned!$C$2:$C$125,2,Cleaned!$DJ$2:$DJ$125,2)+COUNTIFS(Cleaned!$C$2:$C$125,3,Cleaned!$DJ$2:$DJ$125,1)+COUNTIFS(Cleaned!$C$2:$C$125,3,Cleaned!$DJ$2:$DJ$125,2)+COUNTIFS(Cleaned!$C$2:$C$125,4,Cleaned!$DJ$2:$DJ$125,1)+COUNTIFS(Cleaned!$C$2:$C$125,4,Cleaned!$DJ$2:$DJ$125,2)+COUNTIFS(Cleaned!$C$2:$C$125,5,Cleaned!$DJ$2:$DJ$125,1)+COUNTIFS(Cleaned!$C$2:$C$125,5,Cleaned!$DJ$2:$DJ$125,2)</f>
        <v>32</v>
      </c>
      <c r="C81" s="2" t="n">
        <f aca="false">COUNTIFS(Cleaned!$D$2:$D$125,1,Cleaned!$DJ$2:$DJ$125,1)+COUNTIFS(Cleaned!$D$2:$D$125,1,Cleaned!$DJ$2:$DJ$125,2)+COUNTIFS(Cleaned!$D$2:$D$125,2,Cleaned!$DJ$2:$DJ$125,1)+COUNTIFS(Cleaned!$D$2:$D$125,2,Cleaned!$DJ$2:$DJ$125,2)+COUNTIFS(Cleaned!$D$2:$D$125,3,Cleaned!$DJ$2:$DJ$125,1)+COUNTIFS(Cleaned!$D$2:$D$125,3,Cleaned!$DJ$2:$DJ$125,2)+COUNTIFS(Cleaned!$D$2:$D$125,4,Cleaned!$DJ$2:$DJ$125,1)+COUNTIFS(Cleaned!$D$2:$D$125,4,Cleaned!$DJ$2:$DJ$125,2)+COUNTIFS(Cleaned!$D$2:$D$125,5,Cleaned!$DJ$2:$DJ$125,1)+COUNTIFS(Cleaned!$D$2:$D$125,5,Cleaned!$DJ$2:$DJ$125,2)+COUNTIFS(Cleaned!$D$2:$D$125,6,Cleaned!$DJ$2:$DJ$125,1)+COUNTIFS(Cleaned!$D$2:$D$125,6,Cleaned!$DJ$2:$DJ$125,2)+COUNTIFS(Cleaned!$D$2:$D$125,7,Cleaned!$DJ$2:$DJ$125,1)+COUNTIFS(Cleaned!$D$2:$D$125,7,Cleaned!$DJ$2:$DJ$125,2)+COUNTIFS(Cleaned!$D$2:$D$125,8,Cleaned!$DJ$2:$DJ$125,1)+COUNTIFS(Cleaned!$D$2:$D$125,8,Cleaned!$DJ$2:$DJ$125,2)+COUNTIFS(Cleaned!$D$2:$D$125,9,Cleaned!$DJ$2:$DJ$125,1)+COUNTIFS(Cleaned!$D$2:$D$125,9,Cleaned!$DJ$2:$DJ$125,2)+COUNTIFS(Cleaned!$D$2:$D$125,10,Cleaned!$DJ$2:$DJ$125,1)+COUNTIFS(Cleaned!$D$2:$D$125,10,Cleaned!$DJ$2:$DJ$125,2)+COUNTIFS(Cleaned!$D$2:$D$125,11,Cleaned!$DJ$2:$DJ$125,1)+COUNTIFS(Cleaned!$D$2:$D$125,11,Cleaned!$DJ$2:$DJ$125,2)+COUNTIFS(Cleaned!$D$2:$D$125,12,Cleaned!$DJ$2:$DJ$125,1)+COUNTIFS(Cleaned!$D$2:$D$125,12,Cleaned!$DJ$2:$DJ$125,2)</f>
        <v>32</v>
      </c>
      <c r="D81" s="2" t="str">
        <f aca="false">IF(B81=C81,"OK","FAIL")</f>
        <v>OK</v>
      </c>
    </row>
    <row r="82" customFormat="false" ht="15" hidden="false" customHeight="false" outlineLevel="0" collapsed="false">
      <c r="A82" s="2" t="s">
        <v>1010</v>
      </c>
      <c r="B82" s="2" t="n">
        <f aca="false">COUNTIFS(Cleaned!$C$2:$C$125,1,Cleaned!$DL$2:$DL$125,1)+COUNTIFS(Cleaned!$C$2:$C$125,1,Cleaned!$DL$2:$DL$125,2)+COUNTIFS(Cleaned!$C$2:$C$125,2,Cleaned!$DL$2:$DL$125,1)+COUNTIFS(Cleaned!$C$2:$C$125,2,Cleaned!$DL$2:$DL$125,2)+COUNTIFS(Cleaned!$C$2:$C$125,3,Cleaned!$DL$2:$DL$125,1)+COUNTIFS(Cleaned!$C$2:$C$125,3,Cleaned!$DL$2:$DL$125,2)+COUNTIFS(Cleaned!$C$2:$C$125,4,Cleaned!$DL$2:$DL$125,1)+COUNTIFS(Cleaned!$C$2:$C$125,4,Cleaned!$DL$2:$DL$125,2)+COUNTIFS(Cleaned!$C$2:$C$125,5,Cleaned!$DL$2:$DL$125,1)+COUNTIFS(Cleaned!$C$2:$C$125,5,Cleaned!$DL$2:$DL$125,2)</f>
        <v>33</v>
      </c>
      <c r="C82" s="2" t="n">
        <f aca="false">COUNTIFS(Cleaned!$D$2:$D$125,1,Cleaned!$DL$2:$DL$125,1)+COUNTIFS(Cleaned!$D$2:$D$125,1,Cleaned!$DL$2:$DL$125,2)+COUNTIFS(Cleaned!$D$2:$D$125,2,Cleaned!$DL$2:$DL$125,1)+COUNTIFS(Cleaned!$D$2:$D$125,2,Cleaned!$DL$2:$DL$125,2)+COUNTIFS(Cleaned!$D$2:$D$125,3,Cleaned!$DL$2:$DL$125,1)+COUNTIFS(Cleaned!$D$2:$D$125,3,Cleaned!$DL$2:$DL$125,2)+COUNTIFS(Cleaned!$D$2:$D$125,4,Cleaned!$DL$2:$DL$125,1)+COUNTIFS(Cleaned!$D$2:$D$125,4,Cleaned!$DL$2:$DL$125,2)+COUNTIFS(Cleaned!$D$2:$D$125,5,Cleaned!$DL$2:$DL$125,1)+COUNTIFS(Cleaned!$D$2:$D$125,5,Cleaned!$DL$2:$DL$125,2)+COUNTIFS(Cleaned!$D$2:$D$125,6,Cleaned!$DL$2:$DL$125,1)+COUNTIFS(Cleaned!$D$2:$D$125,6,Cleaned!$DL$2:$DL$125,2)+COUNTIFS(Cleaned!$D$2:$D$125,7,Cleaned!$DL$2:$DL$125,1)+COUNTIFS(Cleaned!$D$2:$D$125,7,Cleaned!$DL$2:$DL$125,2)+COUNTIFS(Cleaned!$D$2:$D$125,8,Cleaned!$DL$2:$DL$125,1)+COUNTIFS(Cleaned!$D$2:$D$125,8,Cleaned!$DL$2:$DL$125,2)+COUNTIFS(Cleaned!$D$2:$D$125,9,Cleaned!$DL$2:$DL$125,1)+COUNTIFS(Cleaned!$D$2:$D$125,9,Cleaned!$DL$2:$DL$125,2)+COUNTIFS(Cleaned!$D$2:$D$125,10,Cleaned!$DL$2:$DL$125,1)+COUNTIFS(Cleaned!$D$2:$D$125,10,Cleaned!$DL$2:$DL$125,2)+COUNTIFS(Cleaned!$D$2:$D$125,11,Cleaned!$DL$2:$DL$125,1)+COUNTIFS(Cleaned!$D$2:$D$125,11,Cleaned!$DL$2:$DL$125,2)+COUNTIFS(Cleaned!$D$2:$D$125,12,Cleaned!$DL$2:$DL$125,1)+COUNTIFS(Cleaned!$D$2:$D$125,12,Cleaned!$DL$2:$DL$125,2)</f>
        <v>33</v>
      </c>
      <c r="D82" s="2" t="str">
        <f aca="false">IF(B82=C82,"OK","FAIL")</f>
        <v>OK</v>
      </c>
    </row>
    <row r="83" customFormat="false" ht="15" hidden="false" customHeight="false" outlineLevel="0" collapsed="false">
      <c r="A83" s="2" t="s">
        <v>1011</v>
      </c>
      <c r="B83" s="2" t="n">
        <f aca="false">COUNTIFS(Cleaned!$C$2:$C$125,1,Cleaned!$DO$2:$DO$125,1)+COUNTIFS(Cleaned!$C$2:$C$125,1,Cleaned!$DO$2:$DO$125,2)+COUNTIFS(Cleaned!$C$2:$C$125,2,Cleaned!$DO$2:$DO$125,1)+COUNTIFS(Cleaned!$C$2:$C$125,2,Cleaned!$DO$2:$DO$125,2)+COUNTIFS(Cleaned!$C$2:$C$125,3,Cleaned!$DO$2:$DO$125,1)+COUNTIFS(Cleaned!$C$2:$C$125,3,Cleaned!$DO$2:$DO$125,2)+COUNTIFS(Cleaned!$C$2:$C$125,4,Cleaned!$DO$2:$DO$125,1)+COUNTIFS(Cleaned!$C$2:$C$125,4,Cleaned!$DO$2:$DO$125,2)+COUNTIFS(Cleaned!$C$2:$C$125,5,Cleaned!$DO$2:$DO$125,1)+COUNTIFS(Cleaned!$C$2:$C$125,5,Cleaned!$DO$2:$DO$125,2)</f>
        <v>67</v>
      </c>
      <c r="C83" s="2" t="n">
        <f aca="false">COUNTIFS(Cleaned!$D$2:$D$125,1,Cleaned!$DO$2:$DO$125,1)+COUNTIFS(Cleaned!$D$2:$D$125,1,Cleaned!$DO$2:$DO$125,2)+COUNTIFS(Cleaned!$D$2:$D$125,2,Cleaned!$DO$2:$DO$125,1)+COUNTIFS(Cleaned!$D$2:$D$125,2,Cleaned!$DO$2:$DO$125,2)+COUNTIFS(Cleaned!$D$2:$D$125,3,Cleaned!$DO$2:$DO$125,1)+COUNTIFS(Cleaned!$D$2:$D$125,3,Cleaned!$DO$2:$DO$125,2)+COUNTIFS(Cleaned!$D$2:$D$125,4,Cleaned!$DO$2:$DO$125,1)+COUNTIFS(Cleaned!$D$2:$D$125,4,Cleaned!$DO$2:$DO$125,2)+COUNTIFS(Cleaned!$D$2:$D$125,5,Cleaned!$DO$2:$DO$125,1)+COUNTIFS(Cleaned!$D$2:$D$125,5,Cleaned!$DO$2:$DO$125,2)+COUNTIFS(Cleaned!$D$2:$D$125,6,Cleaned!$DO$2:$DO$125,1)+COUNTIFS(Cleaned!$D$2:$D$125,6,Cleaned!$DO$2:$DO$125,2)+COUNTIFS(Cleaned!$D$2:$D$125,7,Cleaned!$DO$2:$DO$125,1)+COUNTIFS(Cleaned!$D$2:$D$125,7,Cleaned!$DO$2:$DO$125,2)+COUNTIFS(Cleaned!$D$2:$D$125,8,Cleaned!$DO$2:$DO$125,1)+COUNTIFS(Cleaned!$D$2:$D$125,8,Cleaned!$DO$2:$DO$125,2)+COUNTIFS(Cleaned!$D$2:$D$125,9,Cleaned!$DO$2:$DO$125,1)+COUNTIFS(Cleaned!$D$2:$D$125,9,Cleaned!$DO$2:$DO$125,2)+COUNTIFS(Cleaned!$D$2:$D$125,10,Cleaned!$DO$2:$DO$125,1)+COUNTIFS(Cleaned!$D$2:$D$125,10,Cleaned!$DO$2:$DO$125,2)+COUNTIFS(Cleaned!$D$2:$D$125,11,Cleaned!$DO$2:$DO$125,1)+COUNTIFS(Cleaned!$D$2:$D$125,11,Cleaned!$DO$2:$DO$125,2)+COUNTIFS(Cleaned!$D$2:$D$125,12,Cleaned!$DO$2:$DO$125,1)+COUNTIFS(Cleaned!$D$2:$D$125,12,Cleaned!$DO$2:$DO$125,2)</f>
        <v>67</v>
      </c>
      <c r="D83" s="2" t="str">
        <f aca="false">IF(B83=C83,"OK","FAIL")</f>
        <v>OK</v>
      </c>
    </row>
    <row r="84" customFormat="false" ht="15" hidden="false" customHeight="false" outlineLevel="0" collapsed="false">
      <c r="A84" s="2" t="s">
        <v>1012</v>
      </c>
      <c r="B84" s="2" t="n">
        <f aca="false">COUNTIFS(Cleaned!$C$2:$C$125,1,Cleaned!$DW$2:$DW$125,1)+COUNTIFS(Cleaned!$C$2:$C$125,1,Cleaned!$DW$2:$DW$125,2)+COUNTIFS(Cleaned!$C$2:$C$125,1,Cleaned!$DW$2:$DW$125,3)+COUNTIFS(Cleaned!$C$2:$C$125,1,Cleaned!$DW$2:$DW$125,4)+COUNTIFS(Cleaned!$C$2:$C$125,1,Cleaned!$DW$2:$DW$125,5)+COUNTIFS(Cleaned!$C$2:$C$125,1,Cleaned!$DW$2:$DW$125,6)+COUNTIFS(Cleaned!$C$2:$C$125,1,Cleaned!$DW$2:$DW$125,7)+COUNTIFS(Cleaned!$C$2:$C$125,1,Cleaned!$DW$2:$DW$125,8)+COUNTIFS(Cleaned!$C$2:$C$125,1,Cleaned!$DW$2:$DW$125,9)+COUNTIFS(Cleaned!$C$2:$C$125,1,Cleaned!$DW$2:$DW$125,10)+COUNTIFS(Cleaned!$C$2:$C$125,1,Cleaned!$DW$2:$DW$125,11)+COUNTIFS(Cleaned!$C$2:$C$125,1,Cleaned!$DW$2:$DW$125,12)+COUNTIFS(Cleaned!$C$2:$C$125,2,Cleaned!$DW$2:$DW$125,1)+COUNTIFS(Cleaned!$C$2:$C$125,2,Cleaned!$DW$2:$DW$125,2)+COUNTIFS(Cleaned!$C$2:$C$125,2,Cleaned!$DW$2:$DW$125,3)+COUNTIFS(Cleaned!$C$2:$C$125,2,Cleaned!$DW$2:$DW$125,4)+COUNTIFS(Cleaned!$C$2:$C$125,2,Cleaned!$DW$2:$DW$125,5)+COUNTIFS(Cleaned!$C$2:$C$125,2,Cleaned!$DW$2:$DW$125,6)+COUNTIFS(Cleaned!$C$2:$C$125,2,Cleaned!$DW$2:$DW$125,7)+COUNTIFS(Cleaned!$C$2:$C$125,2,Cleaned!$DW$2:$DW$125,8)+COUNTIFS(Cleaned!$C$2:$C$125,2,Cleaned!$DW$2:$DW$125,9)+COUNTIFS(Cleaned!$C$2:$C$125,2,Cleaned!$DW$2:$DW$125,10)+COUNTIFS(Cleaned!$C$2:$C$125,2,Cleaned!$DW$2:$DW$125,11)+COUNTIFS(Cleaned!$C$2:$C$125,2,Cleaned!$DW$2:$DW$125,12)+COUNTIFS(Cleaned!$C$2:$C$125,3,Cleaned!$DW$2:$DW$125,1)+COUNTIFS(Cleaned!$C$2:$C$125,3,Cleaned!$DW$2:$DW$125,2)+COUNTIFS(Cleaned!$C$2:$C$125,3,Cleaned!$DW$2:$DW$125,3)+COUNTIFS(Cleaned!$C$2:$C$125,3,Cleaned!$DW$2:$DW$125,4)+COUNTIFS(Cleaned!$C$2:$C$125,3,Cleaned!$DW$2:$DW$125,5)+COUNTIFS(Cleaned!$C$2:$C$125,3,Cleaned!$DW$2:$DW$125,6)+COUNTIFS(Cleaned!$C$2:$C$125,3,Cleaned!$DW$2:$DW$125,7)+COUNTIFS(Cleaned!$C$2:$C$125,3,Cleaned!$DW$2:$DW$125,8)+COUNTIFS(Cleaned!$C$2:$C$125,3,Cleaned!$DW$2:$DW$125,9)+COUNTIFS(Cleaned!$C$2:$C$125,3,Cleaned!$DW$2:$DW$125,10)+COUNTIFS(Cleaned!$C$2:$C$125,3,Cleaned!$DW$2:$DW$125,11)+COUNTIFS(Cleaned!$C$2:$C$125,3,Cleaned!$DW$2:$DW$125,12)+COUNTIFS(Cleaned!$C$2:$C$125,4,Cleaned!$DW$2:$DW$125,1)+COUNTIFS(Cleaned!$C$2:$C$125,4,Cleaned!$DW$2:$DW$125,2)+COUNTIFS(Cleaned!$C$2:$C$125,4,Cleaned!$DW$2:$DW$125,3)+COUNTIFS(Cleaned!$C$2:$C$125,4,Cleaned!$DW$2:$DW$125,4)+COUNTIFS(Cleaned!$C$2:$C$125,4,Cleaned!$DW$2:$DW$125,5)+COUNTIFS(Cleaned!$C$2:$C$125,4,Cleaned!$DW$2:$DW$125,6)+COUNTIFS(Cleaned!$C$2:$C$125,4,Cleaned!$DW$2:$DW$125,7)+COUNTIFS(Cleaned!$C$2:$C$125,4,Cleaned!$DW$2:$DW$125,8)+COUNTIFS(Cleaned!$C$2:$C$125,4,Cleaned!$DW$2:$DW$125,9)+COUNTIFS(Cleaned!$C$2:$C$125,4,Cleaned!$DW$2:$DW$125,10)+COUNTIFS(Cleaned!$C$2:$C$125,4,Cleaned!$DW$2:$DW$125,11)+COUNTIFS(Cleaned!$C$2:$C$125,4,Cleaned!$DW$2:$DW$125,12)+COUNTIFS(Cleaned!$C$2:$C$125,5,Cleaned!$DW$2:$DW$125,1)+COUNTIFS(Cleaned!$C$2:$C$125,5,Cleaned!$DW$2:$DW$125,2)+COUNTIFS(Cleaned!$C$2:$C$125,5,Cleaned!$DW$2:$DW$125,3)+COUNTIFS(Cleaned!$C$2:$C$125,5,Cleaned!$DW$2:$DW$125,4)+COUNTIFS(Cleaned!$C$2:$C$125,5,Cleaned!$DW$2:$DW$125,5)+COUNTIFS(Cleaned!$C$2:$C$125,5,Cleaned!$DW$2:$DW$125,6)+COUNTIFS(Cleaned!$C$2:$C$125,5,Cleaned!$DW$2:$DW$125,7)+COUNTIFS(Cleaned!$C$2:$C$125,5,Cleaned!$DW$2:$DW$125,8)+COUNTIFS(Cleaned!$C$2:$C$125,5,Cleaned!$DW$2:$DW$125,9)+COUNTIFS(Cleaned!$C$2:$C$125,5,Cleaned!$DW$2:$DW$125,10)+COUNTIFS(Cleaned!$C$2:$C$125,5,Cleaned!$DW$2:$DW$125,11)+COUNTIFS(Cleaned!$C$2:$C$125,5,Cleaned!$DW$2:$DW$125,12)</f>
        <v>25</v>
      </c>
      <c r="C84" s="2" t="n">
        <f aca="false">COUNTIFS(Cleaned!$D$2:$D$125,1,Cleaned!$DW$2:$DW$125,1)+COUNTIFS(Cleaned!$D$2:$D$125,1,Cleaned!$DW$2:$DW$125,2)+COUNTIFS(Cleaned!$D$2:$D$125,1,Cleaned!$DW$2:$DW$125,3)+COUNTIFS(Cleaned!$D$2:$D$125,1,Cleaned!$DW$2:$DW$125,4)+COUNTIFS(Cleaned!$D$2:$D$125,1,Cleaned!$DW$2:$DW$125,5)+COUNTIFS(Cleaned!$D$2:$D$125,1,Cleaned!$DW$2:$DW$125,6)+COUNTIFS(Cleaned!$D$2:$D$125,1,Cleaned!$DW$2:$DW$125,7)+COUNTIFS(Cleaned!$D$2:$D$125,1,Cleaned!$DW$2:$DW$125,8)+COUNTIFS(Cleaned!$D$2:$D$125,1,Cleaned!$DW$2:$DW$125,9)+COUNTIFS(Cleaned!$D$2:$D$125,1,Cleaned!$DW$2:$DW$125,10)+COUNTIFS(Cleaned!$D$2:$D$125,1,Cleaned!$DW$2:$DW$125,11)+COUNTIFS(Cleaned!$D$2:$D$125,1,Cleaned!$DW$2:$DW$125,12)+COUNTIFS(Cleaned!$D$2:$D$125,2,Cleaned!$DW$2:$DW$125,1)+COUNTIFS(Cleaned!$D$2:$D$125,2,Cleaned!$DW$2:$DW$125,2)+COUNTIFS(Cleaned!$D$2:$D$125,2,Cleaned!$DW$2:$DW$125,3)+COUNTIFS(Cleaned!$D$2:$D$125,2,Cleaned!$DW$2:$DW$125,4)+COUNTIFS(Cleaned!$D$2:$D$125,2,Cleaned!$DW$2:$DW$125,5)+COUNTIFS(Cleaned!$D$2:$D$125,2,Cleaned!$DW$2:$DW$125,6)+COUNTIFS(Cleaned!$D$2:$D$125,2,Cleaned!$DW$2:$DW$125,7)+COUNTIFS(Cleaned!$D$2:$D$125,2,Cleaned!$DW$2:$DW$125,8)+COUNTIFS(Cleaned!$D$2:$D$125,2,Cleaned!$DW$2:$DW$125,9)+COUNTIFS(Cleaned!$D$2:$D$125,2,Cleaned!$DW$2:$DW$125,10)+COUNTIFS(Cleaned!$D$2:$D$125,2,Cleaned!$DW$2:$DW$125,11)+COUNTIFS(Cleaned!$D$2:$D$125,2,Cleaned!$DW$2:$DW$125,12)+COUNTIFS(Cleaned!$D$2:$D$125,3,Cleaned!$DW$2:$DW$125,1)+COUNTIFS(Cleaned!$D$2:$D$125,3,Cleaned!$DW$2:$DW$125,2)+COUNTIFS(Cleaned!$D$2:$D$125,3,Cleaned!$DW$2:$DW$125,3)+COUNTIFS(Cleaned!$D$2:$D$125,3,Cleaned!$DW$2:$DW$125,4)+COUNTIFS(Cleaned!$D$2:$D$125,3,Cleaned!$DW$2:$DW$125,5)+COUNTIFS(Cleaned!$D$2:$D$125,3,Cleaned!$DW$2:$DW$125,6)+COUNTIFS(Cleaned!$D$2:$D$125,3,Cleaned!$DW$2:$DW$125,7)+COUNTIFS(Cleaned!$D$2:$D$125,3,Cleaned!$DW$2:$DW$125,8)+COUNTIFS(Cleaned!$D$2:$D$125,3,Cleaned!$DW$2:$DW$125,9)+COUNTIFS(Cleaned!$D$2:$D$125,3,Cleaned!$DW$2:$DW$125,10)+COUNTIFS(Cleaned!$D$2:$D$125,3,Cleaned!$DW$2:$DW$125,11)+COUNTIFS(Cleaned!$D$2:$D$125,3,Cleaned!$DW$2:$DW$125,12)+COUNTIFS(Cleaned!$D$2:$D$125,4,Cleaned!$DW$2:$DW$125,1)+COUNTIFS(Cleaned!$D$2:$D$125,4,Cleaned!$DW$2:$DW$125,2)+COUNTIFS(Cleaned!$D$2:$D$125,4,Cleaned!$DW$2:$DW$125,3)+COUNTIFS(Cleaned!$D$2:$D$125,4,Cleaned!$DW$2:$DW$125,4)+COUNTIFS(Cleaned!$D$2:$D$125,4,Cleaned!$DW$2:$DW$125,5)+COUNTIFS(Cleaned!$D$2:$D$125,4,Cleaned!$DW$2:$DW$125,6)+COUNTIFS(Cleaned!$D$2:$D$125,4,Cleaned!$DW$2:$DW$125,7)+COUNTIFS(Cleaned!$D$2:$D$125,4,Cleaned!$DW$2:$DW$125,8)+COUNTIFS(Cleaned!$D$2:$D$125,4,Cleaned!$DW$2:$DW$125,9)+COUNTIFS(Cleaned!$D$2:$D$125,4,Cleaned!$DW$2:$DW$125,10)+COUNTIFS(Cleaned!$D$2:$D$125,4,Cleaned!$DW$2:$DW$125,11)+COUNTIFS(Cleaned!$D$2:$D$125,4,Cleaned!$DW$2:$DW$125,12)+COUNTIFS(Cleaned!$D$2:$D$125,5,Cleaned!$DW$2:$DW$125,1)+COUNTIFS(Cleaned!$D$2:$D$125,5,Cleaned!$DW$2:$DW$125,2)+COUNTIFS(Cleaned!$D$2:$D$125,5,Cleaned!$DW$2:$DW$125,3)+COUNTIFS(Cleaned!$D$2:$D$125,5,Cleaned!$DW$2:$DW$125,4)+COUNTIFS(Cleaned!$D$2:$D$125,5,Cleaned!$DW$2:$DW$125,5)+COUNTIFS(Cleaned!$D$2:$D$125,5,Cleaned!$DW$2:$DW$125,6)+COUNTIFS(Cleaned!$D$2:$D$125,5,Cleaned!$DW$2:$DW$125,7)+COUNTIFS(Cleaned!$D$2:$D$125,5,Cleaned!$DW$2:$DW$125,8)+COUNTIFS(Cleaned!$D$2:$D$125,5,Cleaned!$DW$2:$DW$125,9)+COUNTIFS(Cleaned!$D$2:$D$125,5,Cleaned!$DW$2:$DW$125,10)+COUNTIFS(Cleaned!$D$2:$D$125,5,Cleaned!$DW$2:$DW$125,11)+COUNTIFS(Cleaned!$D$2:$D$125,5,Cleaned!$DW$2:$DW$125,12)+COUNTIFS(Cleaned!$D$2:$D$125,6,Cleaned!$DW$2:$DW$125,1)+COUNTIFS(Cleaned!$D$2:$D$125,6,Cleaned!$DW$2:$DW$125,2)+COUNTIFS(Cleaned!$D$2:$D$125,6,Cleaned!$DW$2:$DW$125,3)+COUNTIFS(Cleaned!$D$2:$D$125,6,Cleaned!$DW$2:$DW$125,4)+COUNTIFS(Cleaned!$D$2:$D$125,6,Cleaned!$DW$2:$DW$125,5)+COUNTIFS(Cleaned!$D$2:$D$125,6,Cleaned!$DW$2:$DW$125,6)+COUNTIFS(Cleaned!$D$2:$D$125,6,Cleaned!$DW$2:$DW$125,7)+COUNTIFS(Cleaned!$D$2:$D$125,6,Cleaned!$DW$2:$DW$125,8)+COUNTIFS(Cleaned!$D$2:$D$125,6,Cleaned!$DW$2:$DW$125,9)+COUNTIFS(Cleaned!$D$2:$D$125,6,Cleaned!$DW$2:$DW$125,10)+COUNTIFS(Cleaned!$D$2:$D$125,6,Cleaned!$DW$2:$DW$125,11)+COUNTIFS(Cleaned!$D$2:$D$125,6,Cleaned!$DW$2:$DW$125,12)+COUNTIFS(Cleaned!$D$2:$D$125,7,Cleaned!$DW$2:$DW$125,1)+COUNTIFS(Cleaned!$D$2:$D$125,7,Cleaned!$DW$2:$DW$125,2)+COUNTIFS(Cleaned!$D$2:$D$125,7,Cleaned!$DW$2:$DW$125,3)+COUNTIFS(Cleaned!$D$2:$D$125,7,Cleaned!$DW$2:$DW$125,4)+COUNTIFS(Cleaned!$D$2:$D$125,7,Cleaned!$DW$2:$DW$125,5)+COUNTIFS(Cleaned!$D$2:$D$125,7,Cleaned!$DW$2:$DW$125,6)+COUNTIFS(Cleaned!$D$2:$D$125,7,Cleaned!$DW$2:$DW$125,7)+COUNTIFS(Cleaned!$D$2:$D$125,7,Cleaned!$DW$2:$DW$125,8)+COUNTIFS(Cleaned!$D$2:$D$125,7,Cleaned!$DW$2:$DW$125,9)+COUNTIFS(Cleaned!$D$2:$D$125,7,Cleaned!$DW$2:$DW$125,10)+COUNTIFS(Cleaned!$D$2:$D$125,7,Cleaned!$DW$2:$DW$125,11)+COUNTIFS(Cleaned!$D$2:$D$125,7,Cleaned!$DW$2:$DW$125,12)+COUNTIFS(Cleaned!$D$2:$D$125,8,Cleaned!$DW$2:$DW$125,1)+COUNTIFS(Cleaned!$D$2:$D$125,8,Cleaned!$DW$2:$DW$125,2)+COUNTIFS(Cleaned!$D$2:$D$125,8,Cleaned!$DW$2:$DW$125,3)+COUNTIFS(Cleaned!$D$2:$D$125,8,Cleaned!$DW$2:$DW$125,4)+COUNTIFS(Cleaned!$D$2:$D$125,8,Cleaned!$DW$2:$DW$125,5)+COUNTIFS(Cleaned!$D$2:$D$125,8,Cleaned!$DW$2:$DW$125,6)+COUNTIFS(Cleaned!$D$2:$D$125,8,Cleaned!$DW$2:$DW$125,7)+COUNTIFS(Cleaned!$D$2:$D$125,8,Cleaned!$DW$2:$DW$125,8)+COUNTIFS(Cleaned!$D$2:$D$125,8,Cleaned!$DW$2:$DW$125,9)+COUNTIFS(Cleaned!$D$2:$D$125,8,Cleaned!$DW$2:$DW$125,10)+COUNTIFS(Cleaned!$D$2:$D$125,8,Cleaned!$DW$2:$DW$125,11)+COUNTIFS(Cleaned!$D$2:$D$125,8,Cleaned!$DW$2:$DW$125,12)+COUNTIFS(Cleaned!$D$2:$D$125,9,Cleaned!$DW$2:$DW$125,1)+COUNTIFS(Cleaned!$D$2:$D$125,9,Cleaned!$DW$2:$DW$125,2)+COUNTIFS(Cleaned!$D$2:$D$125,9,Cleaned!$DW$2:$DW$125,3)+COUNTIFS(Cleaned!$D$2:$D$125,9,Cleaned!$DW$2:$DW$125,4)+COUNTIFS(Cleaned!$D$2:$D$125,9,Cleaned!$DW$2:$DW$125,5)+COUNTIFS(Cleaned!$D$2:$D$125,9,Cleaned!$DW$2:$DW$125,6)+COUNTIFS(Cleaned!$D$2:$D$125,9,Cleaned!$DW$2:$DW$125,7)+COUNTIFS(Cleaned!$D$2:$D$125,9,Cleaned!$DW$2:$DW$125,8)+COUNTIFS(Cleaned!$D$2:$D$125,9,Cleaned!$DW$2:$DW$125,9)+COUNTIFS(Cleaned!$D$2:$D$125,9,Cleaned!$DW$2:$DW$125,10)+COUNTIFS(Cleaned!$D$2:$D$125,9,Cleaned!$DW$2:$DW$125,11)+COUNTIFS(Cleaned!$D$2:$D$125,9,Cleaned!$DW$2:$DW$125,12)+COUNTIFS(Cleaned!$D$2:$D$125,10,Cleaned!$DW$2:$DW$125,1)+COUNTIFS(Cleaned!$D$2:$D$125,10,Cleaned!$DW$2:$DW$125,2)+COUNTIFS(Cleaned!$D$2:$D$125,10,Cleaned!$DW$2:$DW$125,3)+COUNTIFS(Cleaned!$D$2:$D$125,10,Cleaned!$DW$2:$DW$125,4)+COUNTIFS(Cleaned!$D$2:$D$125,10,Cleaned!$DW$2:$DW$125,5)+COUNTIFS(Cleaned!$D$2:$D$125,10,Cleaned!$DW$2:$DW$125,6)+COUNTIFS(Cleaned!$D$2:$D$125,10,Cleaned!$DW$2:$DW$125,7)+COUNTIFS(Cleaned!$D$2:$D$125,10,Cleaned!$DW$2:$DW$125,8)+COUNTIFS(Cleaned!$D$2:$D$125,10,Cleaned!$DW$2:$DW$125,9)+COUNTIFS(Cleaned!$D$2:$D$125,10,Cleaned!$DW$2:$DW$125,10)+COUNTIFS(Cleaned!$D$2:$D$125,10,Cleaned!$DW$2:$DW$125,11)+COUNTIFS(Cleaned!$D$2:$D$125,10,Cleaned!$DW$2:$DW$125,12)+COUNTIFS(Cleaned!$D$2:$D$125,11,Cleaned!$DW$2:$DW$125,1)+COUNTIFS(Cleaned!$D$2:$D$125,11,Cleaned!$DW$2:$DW$125,2)+COUNTIFS(Cleaned!$D$2:$D$125,11,Cleaned!$DW$2:$DW$125,3)+COUNTIFS(Cleaned!$D$2:$D$125,11,Cleaned!$DW$2:$DW$125,4)+COUNTIFS(Cleaned!$D$2:$D$125,11,Cleaned!$DW$2:$DW$125,5)+COUNTIFS(Cleaned!$D$2:$D$125,11,Cleaned!$DW$2:$DW$125,6)+COUNTIFS(Cleaned!$D$2:$D$125,11,Cleaned!$DW$2:$DW$125,7)+COUNTIFS(Cleaned!$D$2:$D$125,11,Cleaned!$DW$2:$DW$125,8)+COUNTIFS(Cleaned!$D$2:$D$125,11,Cleaned!$DW$2:$DW$125,9)+COUNTIFS(Cleaned!$D$2:$D$125,11,Cleaned!$DW$2:$DW$125,10)+COUNTIFS(Cleaned!$D$2:$D$125,11,Cleaned!$DW$2:$DW$125,11)+COUNTIFS(Cleaned!$D$2:$D$125,11,Cleaned!$DW$2:$DW$125,12)+COUNTIFS(Cleaned!$D$2:$D$125,12,Cleaned!$DW$2:$DW$125,1)+COUNTIFS(Cleaned!$D$2:$D$125,12,Cleaned!$DW$2:$DW$125,2)+COUNTIFS(Cleaned!$D$2:$D$125,12,Cleaned!$DW$2:$DW$125,3)+COUNTIFS(Cleaned!$D$2:$D$125,12,Cleaned!$DW$2:$DW$125,4)+COUNTIFS(Cleaned!$D$2:$D$125,12,Cleaned!$DW$2:$DW$125,5)+COUNTIFS(Cleaned!$D$2:$D$125,12,Cleaned!$DW$2:$DW$125,6)+COUNTIFS(Cleaned!$D$2:$D$125,12,Cleaned!$DW$2:$DW$125,7)+COUNTIFS(Cleaned!$D$2:$D$125,12,Cleaned!$DW$2:$DW$125,8)+COUNTIFS(Cleaned!$D$2:$D$125,12,Cleaned!$DW$2:$DW$125,9)+COUNTIFS(Cleaned!$D$2:$D$125,12,Cleaned!$DW$2:$DW$125,10)+COUNTIFS(Cleaned!$D$2:$D$125,12,Cleaned!$DW$2:$DW$125,11)+COUNTIFS(Cleaned!$D$2:$D$125,12,Cleaned!$DW$2:$DW$125,12)</f>
        <v>25</v>
      </c>
      <c r="D84" s="2" t="str">
        <f aca="false">IF(B84=C84,"OK","FAIL")</f>
        <v>OK</v>
      </c>
    </row>
    <row r="85" customFormat="false" ht="15" hidden="false" customHeight="false" outlineLevel="0" collapsed="false">
      <c r="A85" s="2" t="s">
        <v>1012</v>
      </c>
      <c r="B85" s="2" t="n">
        <f aca="false">COUNTIFS(Cleaned!$C$2:$C$125,1,Cleaned!$DY$2:$DY$125,1)+COUNTIFS(Cleaned!$C$2:$C$125,1,Cleaned!$DY$2:$DY$125,2)+COUNTIFS(Cleaned!$C$2:$C$125,1,Cleaned!$DY$2:$DY$125,3)+COUNTIFS(Cleaned!$C$2:$C$125,1,Cleaned!$DY$2:$DY$125,4)+COUNTIFS(Cleaned!$C$2:$C$125,1,Cleaned!$DY$2:$DY$125,5)+COUNTIFS(Cleaned!$C$2:$C$125,2,Cleaned!$DY$2:$DY$125,1)+COUNTIFS(Cleaned!$C$2:$C$125,2,Cleaned!$DY$2:$DY$125,2)+COUNTIFS(Cleaned!$C$2:$C$125,2,Cleaned!$DY$2:$DY$125,3)+COUNTIFS(Cleaned!$C$2:$C$125,2,Cleaned!$DY$2:$DY$125,4)+COUNTIFS(Cleaned!$C$2:$C$125,2,Cleaned!$DY$2:$DY$125,5)+COUNTIFS(Cleaned!$C$2:$C$125,3,Cleaned!$DY$2:$DY$125,1)+COUNTIFS(Cleaned!$C$2:$C$125,3,Cleaned!$DY$2:$DY$125,2)+COUNTIFS(Cleaned!$C$2:$C$125,3,Cleaned!$DY$2:$DY$125,3)+COUNTIFS(Cleaned!$C$2:$C$125,3,Cleaned!$DY$2:$DY$125,4)+COUNTIFS(Cleaned!$C$2:$C$125,3,Cleaned!$DY$2:$DY$125,5)+COUNTIFS(Cleaned!$C$2:$C$125,4,Cleaned!$DY$2:$DY$125,1)+COUNTIFS(Cleaned!$C$2:$C$125,4,Cleaned!$DY$2:$DY$125,2)+COUNTIFS(Cleaned!$C$2:$C$125,4,Cleaned!$DY$2:$DY$125,3)+COUNTIFS(Cleaned!$C$2:$C$125,4,Cleaned!$DY$2:$DY$125,4)+COUNTIFS(Cleaned!$C$2:$C$125,4,Cleaned!$DY$2:$DY$125,5)+COUNTIFS(Cleaned!$C$2:$C$125,5,Cleaned!$DY$2:$DY$125,1)+COUNTIFS(Cleaned!$C$2:$C$125,5,Cleaned!$DY$2:$DY$125,2)+COUNTIFS(Cleaned!$C$2:$C$125,5,Cleaned!$DY$2:$DY$125,3)+COUNTIFS(Cleaned!$C$2:$C$125,5,Cleaned!$DY$2:$DY$125,4)+COUNTIFS(Cleaned!$C$2:$C$125,5,Cleaned!$DY$2:$DY$125,5)</f>
        <v>17</v>
      </c>
      <c r="C85" s="2" t="n">
        <f aca="false">COUNTIFS(Cleaned!$D$2:$D$125,1,Cleaned!$DY$2:$DY$125,1)+COUNTIFS(Cleaned!$D$2:$D$125,1,Cleaned!$DY$2:$DY$125,2)+COUNTIFS(Cleaned!$D$2:$D$125,1,Cleaned!$DY$2:$DY$125,3)+COUNTIFS(Cleaned!$D$2:$D$125,1,Cleaned!$DY$2:$DY$125,4)+COUNTIFS(Cleaned!$D$2:$D$125,1,Cleaned!$DY$2:$DY$125,5)+COUNTIFS(Cleaned!$D$2:$D$125,2,Cleaned!$DY$2:$DY$125,1)+COUNTIFS(Cleaned!$D$2:$D$125,2,Cleaned!$DY$2:$DY$125,2)+COUNTIFS(Cleaned!$D$2:$D$125,2,Cleaned!$DY$2:$DY$125,3)+COUNTIFS(Cleaned!$D$2:$D$125,2,Cleaned!$DY$2:$DY$125,4)+COUNTIFS(Cleaned!$D$2:$D$125,2,Cleaned!$DY$2:$DY$125,5)+COUNTIFS(Cleaned!$D$2:$D$125,3,Cleaned!$DY$2:$DY$125,1)+COUNTIFS(Cleaned!$D$2:$D$125,3,Cleaned!$DY$2:$DY$125,2)+COUNTIFS(Cleaned!$D$2:$D$125,3,Cleaned!$DY$2:$DY$125,3)+COUNTIFS(Cleaned!$D$2:$D$125,3,Cleaned!$DY$2:$DY$125,4)+COUNTIFS(Cleaned!$D$2:$D$125,3,Cleaned!$DY$2:$DY$125,5)+COUNTIFS(Cleaned!$D$2:$D$125,4,Cleaned!$DY$2:$DY$125,1)+COUNTIFS(Cleaned!$D$2:$D$125,4,Cleaned!$DY$2:$DY$125,2)+COUNTIFS(Cleaned!$D$2:$D$125,4,Cleaned!$DY$2:$DY$125,3)+COUNTIFS(Cleaned!$D$2:$D$125,4,Cleaned!$DY$2:$DY$125,4)+COUNTIFS(Cleaned!$D$2:$D$125,4,Cleaned!$DY$2:$DY$125,5)+COUNTIFS(Cleaned!$D$2:$D$125,5,Cleaned!$DY$2:$DY$125,1)+COUNTIFS(Cleaned!$D$2:$D$125,5,Cleaned!$DY$2:$DY$125,2)+COUNTIFS(Cleaned!$D$2:$D$125,5,Cleaned!$DY$2:$DY$125,3)+COUNTIFS(Cleaned!$D$2:$D$125,5,Cleaned!$DY$2:$DY$125,4)+COUNTIFS(Cleaned!$D$2:$D$125,5,Cleaned!$DY$2:$DY$125,5)+COUNTIFS(Cleaned!$D$2:$D$125,6,Cleaned!$DY$2:$DY$125,1)+COUNTIFS(Cleaned!$D$2:$D$125,6,Cleaned!$DY$2:$DY$125,2)+COUNTIFS(Cleaned!$D$2:$D$125,6,Cleaned!$DY$2:$DY$125,3)+COUNTIFS(Cleaned!$D$2:$D$125,6,Cleaned!$DY$2:$DY$125,4)+COUNTIFS(Cleaned!$D$2:$D$125,6,Cleaned!$DY$2:$DY$125,5)+COUNTIFS(Cleaned!$D$2:$D$125,7,Cleaned!$DY$2:$DY$125,1)+COUNTIFS(Cleaned!$D$2:$D$125,7,Cleaned!$DY$2:$DY$125,2)+COUNTIFS(Cleaned!$D$2:$D$125,7,Cleaned!$DY$2:$DY$125,3)+COUNTIFS(Cleaned!$D$2:$D$125,7,Cleaned!$DY$2:$DY$125,4)+COUNTIFS(Cleaned!$D$2:$D$125,7,Cleaned!$DY$2:$DY$125,5)+COUNTIFS(Cleaned!$D$2:$D$125,8,Cleaned!$DY$2:$DY$125,1)+COUNTIFS(Cleaned!$D$2:$D$125,8,Cleaned!$DY$2:$DY$125,2)+COUNTIFS(Cleaned!$D$2:$D$125,8,Cleaned!$DY$2:$DY$125,3)+COUNTIFS(Cleaned!$D$2:$D$125,8,Cleaned!$DY$2:$DY$125,4)+COUNTIFS(Cleaned!$D$2:$D$125,8,Cleaned!$DY$2:$DY$125,5)+COUNTIFS(Cleaned!$D$2:$D$125,9,Cleaned!$DY$2:$DY$125,1)+COUNTIFS(Cleaned!$D$2:$D$125,9,Cleaned!$DY$2:$DY$125,2)+COUNTIFS(Cleaned!$D$2:$D$125,9,Cleaned!$DY$2:$DY$125,3)+COUNTIFS(Cleaned!$D$2:$D$125,9,Cleaned!$DY$2:$DY$125,4)+COUNTIFS(Cleaned!$D$2:$D$125,9,Cleaned!$DY$2:$DY$125,5)+COUNTIFS(Cleaned!$D$2:$D$125,10,Cleaned!$DY$2:$DY$125,1)+COUNTIFS(Cleaned!$D$2:$D$125,10,Cleaned!$DY$2:$DY$125,2)+COUNTIFS(Cleaned!$D$2:$D$125,10,Cleaned!$DY$2:$DY$125,3)+COUNTIFS(Cleaned!$D$2:$D$125,10,Cleaned!$DY$2:$DY$125,4)+COUNTIFS(Cleaned!$D$2:$D$125,10,Cleaned!$DY$2:$DY$125,5)+COUNTIFS(Cleaned!$D$2:$D$125,11,Cleaned!$DY$2:$DY$125,1)+COUNTIFS(Cleaned!$D$2:$D$125,11,Cleaned!$DY$2:$DY$125,2)+COUNTIFS(Cleaned!$D$2:$D$125,11,Cleaned!$DY$2:$DY$125,3)+COUNTIFS(Cleaned!$D$2:$D$125,11,Cleaned!$DY$2:$DY$125,4)+COUNTIFS(Cleaned!$D$2:$D$125,11,Cleaned!$DY$2:$DY$125,5)+COUNTIFS(Cleaned!$D$2:$D$125,12,Cleaned!$DY$2:$DY$125,1)+COUNTIFS(Cleaned!$D$2:$D$125,12,Cleaned!$DY$2:$DY$125,2)+COUNTIFS(Cleaned!$D$2:$D$125,12,Cleaned!$DY$2:$DY$125,3)+COUNTIFS(Cleaned!$D$2:$D$125,12,Cleaned!$DY$2:$DY$125,4)+COUNTIFS(Cleaned!$D$2:$D$125,12,Cleaned!$DY$2:$DY$125,5)</f>
        <v>17</v>
      </c>
      <c r="D85" s="2" t="str">
        <f aca="false">IF(B85=C85,"OK","FAIL")</f>
        <v>OK</v>
      </c>
    </row>
    <row r="86" customFormat="false" ht="15" hidden="false" customHeight="false" outlineLevel="0" collapsed="false">
      <c r="A86" s="2" t="s">
        <v>1013</v>
      </c>
      <c r="B86" s="2" t="n">
        <f aca="false">COUNTIFS(Cleaned!$C$2:$C$125,1,Cleaned!$EL$2:$EL$125,1)+COUNTIFS(Cleaned!$C$2:$C$125,1,Cleaned!$EL$2:$EL$125,2)+COUNTIFS(Cleaned!$C$2:$C$125,1,Cleaned!$EL$2:$EL$125,3)+COUNTIFS(Cleaned!$C$2:$C$125,1,Cleaned!$EL$2:$EL$125,4)+COUNTIFS(Cleaned!$C$2:$C$125,1,Cleaned!$EL$2:$EL$125,5)+COUNTIFS(Cleaned!$C$2:$C$125,1,Cleaned!$EL$2:$EL$125,6)+COUNTIFS(Cleaned!$C$2:$C$125,1,Cleaned!$EL$2:$EL$125,7)+COUNTIFS(Cleaned!$C$2:$C$125,1,Cleaned!$EL$2:$EL$125,8)+COUNTIFS(Cleaned!$C$2:$C$125,1,Cleaned!$EL$2:$EL$125,9)+COUNTIFS(Cleaned!$C$2:$C$125,2,Cleaned!$EL$2:$EL$125,1)+COUNTIFS(Cleaned!$C$2:$C$125,2,Cleaned!$EL$2:$EL$125,2)+COUNTIFS(Cleaned!$C$2:$C$125,2,Cleaned!$EL$2:$EL$125,3)+COUNTIFS(Cleaned!$C$2:$C$125,2,Cleaned!$EL$2:$EL$125,4)+COUNTIFS(Cleaned!$C$2:$C$125,2,Cleaned!$EL$2:$EL$125,5)+COUNTIFS(Cleaned!$C$2:$C$125,2,Cleaned!$EL$2:$EL$125,6)+COUNTIFS(Cleaned!$C$2:$C$125,2,Cleaned!$EL$2:$EL$125,7)+COUNTIFS(Cleaned!$C$2:$C$125,2,Cleaned!$EL$2:$EL$125,8)+COUNTIFS(Cleaned!$C$2:$C$125,2,Cleaned!$EL$2:$EL$125,9)+COUNTIFS(Cleaned!$C$2:$C$125,3,Cleaned!$EL$2:$EL$125,1)+COUNTIFS(Cleaned!$C$2:$C$125,3,Cleaned!$EL$2:$EL$125,2)+COUNTIFS(Cleaned!$C$2:$C$125,3,Cleaned!$EL$2:$EL$125,3)+COUNTIFS(Cleaned!$C$2:$C$125,3,Cleaned!$EL$2:$EL$125,4)+COUNTIFS(Cleaned!$C$2:$C$125,3,Cleaned!$EL$2:$EL$125,5)+COUNTIFS(Cleaned!$C$2:$C$125,3,Cleaned!$EL$2:$EL$125,6)+COUNTIFS(Cleaned!$C$2:$C$125,3,Cleaned!$EL$2:$EL$125,7)+COUNTIFS(Cleaned!$C$2:$C$125,3,Cleaned!$EL$2:$EL$125,8)+COUNTIFS(Cleaned!$C$2:$C$125,3,Cleaned!$EL$2:$EL$125,9)+COUNTIFS(Cleaned!$C$2:$C$125,4,Cleaned!$EL$2:$EL$125,1)+COUNTIFS(Cleaned!$C$2:$C$125,4,Cleaned!$EL$2:$EL$125,2)+COUNTIFS(Cleaned!$C$2:$C$125,4,Cleaned!$EL$2:$EL$125,3)+COUNTIFS(Cleaned!$C$2:$C$125,4,Cleaned!$EL$2:$EL$125,4)+COUNTIFS(Cleaned!$C$2:$C$125,4,Cleaned!$EL$2:$EL$125,5)+COUNTIFS(Cleaned!$C$2:$C$125,4,Cleaned!$EL$2:$EL$125,6)+COUNTIFS(Cleaned!$C$2:$C$125,4,Cleaned!$EL$2:$EL$125,7)+COUNTIFS(Cleaned!$C$2:$C$125,4,Cleaned!$EL$2:$EL$125,8)+COUNTIFS(Cleaned!$C$2:$C$125,4,Cleaned!$EL$2:$EL$125,9)+COUNTIFS(Cleaned!$C$2:$C$125,5,Cleaned!$EL$2:$EL$125,1)+COUNTIFS(Cleaned!$C$2:$C$125,5,Cleaned!$EL$2:$EL$125,2)+COUNTIFS(Cleaned!$C$2:$C$125,5,Cleaned!$EL$2:$EL$125,3)+COUNTIFS(Cleaned!$C$2:$C$125,5,Cleaned!$EL$2:$EL$125,4)+COUNTIFS(Cleaned!$C$2:$C$125,5,Cleaned!$EL$2:$EL$125,5)+COUNTIFS(Cleaned!$C$2:$C$125,5,Cleaned!$EL$2:$EL$125,6)+COUNTIFS(Cleaned!$C$2:$C$125,5,Cleaned!$EL$2:$EL$125,7)+COUNTIFS(Cleaned!$C$2:$C$125,5,Cleaned!$EL$2:$EL$125,8)+COUNTIFS(Cleaned!$C$2:$C$125,5,Cleaned!$EL$2:$EL$125,9)</f>
        <v>20</v>
      </c>
      <c r="C86" s="2" t="n">
        <f aca="false">COUNTIFS(Cleaned!$D$2:$D$125,1,Cleaned!$EL$2:$EL$125,1)+COUNTIFS(Cleaned!$D$2:$D$125,1,Cleaned!$EL$2:$EL$125,2)+COUNTIFS(Cleaned!$D$2:$D$125,1,Cleaned!$EL$2:$EL$125,3)+COUNTIFS(Cleaned!$D$2:$D$125,1,Cleaned!$EL$2:$EL$125,4)+COUNTIFS(Cleaned!$D$2:$D$125,1,Cleaned!$EL$2:$EL$125,5)+COUNTIFS(Cleaned!$D$2:$D$125,1,Cleaned!$EL$2:$EL$125,6)+COUNTIFS(Cleaned!$D$2:$D$125,1,Cleaned!$EL$2:$EL$125,7)+COUNTIFS(Cleaned!$D$2:$D$125,1,Cleaned!$EL$2:$EL$125,8)+COUNTIFS(Cleaned!$D$2:$D$125,1,Cleaned!$EL$2:$EL$125,9)+COUNTIFS(Cleaned!$D$2:$D$125,2,Cleaned!$EL$2:$EL$125,1)+COUNTIFS(Cleaned!$D$2:$D$125,2,Cleaned!$EL$2:$EL$125,2)+COUNTIFS(Cleaned!$D$2:$D$125,2,Cleaned!$EL$2:$EL$125,3)+COUNTIFS(Cleaned!$D$2:$D$125,2,Cleaned!$EL$2:$EL$125,4)+COUNTIFS(Cleaned!$D$2:$D$125,2,Cleaned!$EL$2:$EL$125,5)+COUNTIFS(Cleaned!$D$2:$D$125,2,Cleaned!$EL$2:$EL$125,6)+COUNTIFS(Cleaned!$D$2:$D$125,2,Cleaned!$EL$2:$EL$125,7)+COUNTIFS(Cleaned!$D$2:$D$125,2,Cleaned!$EL$2:$EL$125,8)+COUNTIFS(Cleaned!$D$2:$D$125,2,Cleaned!$EL$2:$EL$125,9)+COUNTIFS(Cleaned!$D$2:$D$125,3,Cleaned!$EL$2:$EL$125,1)+COUNTIFS(Cleaned!$D$2:$D$125,3,Cleaned!$EL$2:$EL$125,2)+COUNTIFS(Cleaned!$D$2:$D$125,3,Cleaned!$EL$2:$EL$125,3)+COUNTIFS(Cleaned!$D$2:$D$125,3,Cleaned!$EL$2:$EL$125,4)+COUNTIFS(Cleaned!$D$2:$D$125,3,Cleaned!$EL$2:$EL$125,5)+COUNTIFS(Cleaned!$D$2:$D$125,3,Cleaned!$EL$2:$EL$125,6)+COUNTIFS(Cleaned!$D$2:$D$125,3,Cleaned!$EL$2:$EL$125,7)+COUNTIFS(Cleaned!$D$2:$D$125,3,Cleaned!$EL$2:$EL$125,8)+COUNTIFS(Cleaned!$D$2:$D$125,3,Cleaned!$EL$2:$EL$125,9)+COUNTIFS(Cleaned!$D$2:$D$125,4,Cleaned!$EL$2:$EL$125,1)+COUNTIFS(Cleaned!$D$2:$D$125,4,Cleaned!$EL$2:$EL$125,2)+COUNTIFS(Cleaned!$D$2:$D$125,4,Cleaned!$EL$2:$EL$125,3)+COUNTIFS(Cleaned!$D$2:$D$125,4,Cleaned!$EL$2:$EL$125,4)+COUNTIFS(Cleaned!$D$2:$D$125,4,Cleaned!$EL$2:$EL$125,5)+COUNTIFS(Cleaned!$D$2:$D$125,4,Cleaned!$EL$2:$EL$125,6)+COUNTIFS(Cleaned!$D$2:$D$125,4,Cleaned!$EL$2:$EL$125,7)+COUNTIFS(Cleaned!$D$2:$D$125,4,Cleaned!$EL$2:$EL$125,8)+COUNTIFS(Cleaned!$D$2:$D$125,4,Cleaned!$EL$2:$EL$125,9)+COUNTIFS(Cleaned!$D$2:$D$125,5,Cleaned!$EL$2:$EL$125,1)+COUNTIFS(Cleaned!$D$2:$D$125,5,Cleaned!$EL$2:$EL$125,2)+COUNTIFS(Cleaned!$D$2:$D$125,5,Cleaned!$EL$2:$EL$125,3)+COUNTIFS(Cleaned!$D$2:$D$125,5,Cleaned!$EL$2:$EL$125,4)+COUNTIFS(Cleaned!$D$2:$D$125,5,Cleaned!$EL$2:$EL$125,5)+COUNTIFS(Cleaned!$D$2:$D$125,5,Cleaned!$EL$2:$EL$125,6)+COUNTIFS(Cleaned!$D$2:$D$125,5,Cleaned!$EL$2:$EL$125,7)+COUNTIFS(Cleaned!$D$2:$D$125,5,Cleaned!$EL$2:$EL$125,8)+COUNTIFS(Cleaned!$D$2:$D$125,5,Cleaned!$EL$2:$EL$125,9)+COUNTIFS(Cleaned!$D$2:$D$125,6,Cleaned!$EL$2:$EL$125,1)+COUNTIFS(Cleaned!$D$2:$D$125,6,Cleaned!$EL$2:$EL$125,2)+COUNTIFS(Cleaned!$D$2:$D$125,6,Cleaned!$EL$2:$EL$125,3)+COUNTIFS(Cleaned!$D$2:$D$125,6,Cleaned!$EL$2:$EL$125,4)+COUNTIFS(Cleaned!$D$2:$D$125,6,Cleaned!$EL$2:$EL$125,5)+COUNTIFS(Cleaned!$D$2:$D$125,6,Cleaned!$EL$2:$EL$125,6)+COUNTIFS(Cleaned!$D$2:$D$125,6,Cleaned!$EL$2:$EL$125,7)+COUNTIFS(Cleaned!$D$2:$D$125,6,Cleaned!$EL$2:$EL$125,8)+COUNTIFS(Cleaned!$D$2:$D$125,6,Cleaned!$EL$2:$EL$125,9)+COUNTIFS(Cleaned!$D$2:$D$125,7,Cleaned!$EL$2:$EL$125,1)+COUNTIFS(Cleaned!$D$2:$D$125,7,Cleaned!$EL$2:$EL$125,2)+COUNTIFS(Cleaned!$D$2:$D$125,7,Cleaned!$EL$2:$EL$125,3)+COUNTIFS(Cleaned!$D$2:$D$125,7,Cleaned!$EL$2:$EL$125,4)+COUNTIFS(Cleaned!$D$2:$D$125,7,Cleaned!$EL$2:$EL$125,5)+COUNTIFS(Cleaned!$D$2:$D$125,7,Cleaned!$EL$2:$EL$125,6)+COUNTIFS(Cleaned!$D$2:$D$125,7,Cleaned!$EL$2:$EL$125,7)+COUNTIFS(Cleaned!$D$2:$D$125,7,Cleaned!$EL$2:$EL$125,8)+COUNTIFS(Cleaned!$D$2:$D$125,7,Cleaned!$EL$2:$EL$125,9)+COUNTIFS(Cleaned!$D$2:$D$125,8,Cleaned!$EL$2:$EL$125,1)+COUNTIFS(Cleaned!$D$2:$D$125,8,Cleaned!$EL$2:$EL$125,2)+COUNTIFS(Cleaned!$D$2:$D$125,8,Cleaned!$EL$2:$EL$125,3)+COUNTIFS(Cleaned!$D$2:$D$125,8,Cleaned!$EL$2:$EL$125,4)+COUNTIFS(Cleaned!$D$2:$D$125,8,Cleaned!$EL$2:$EL$125,5)+COUNTIFS(Cleaned!$D$2:$D$125,8,Cleaned!$EL$2:$EL$125,6)+COUNTIFS(Cleaned!$D$2:$D$125,8,Cleaned!$EL$2:$EL$125,7)+COUNTIFS(Cleaned!$D$2:$D$125,8,Cleaned!$EL$2:$EL$125,8)+COUNTIFS(Cleaned!$D$2:$D$125,8,Cleaned!$EL$2:$EL$125,9)+COUNTIFS(Cleaned!$D$2:$D$125,9,Cleaned!$EL$2:$EL$125,1)+COUNTIFS(Cleaned!$D$2:$D$125,9,Cleaned!$EL$2:$EL$125,2)+COUNTIFS(Cleaned!$D$2:$D$125,9,Cleaned!$EL$2:$EL$125,3)+COUNTIFS(Cleaned!$D$2:$D$125,9,Cleaned!$EL$2:$EL$125,4)+COUNTIFS(Cleaned!$D$2:$D$125,9,Cleaned!$EL$2:$EL$125,5)+COUNTIFS(Cleaned!$D$2:$D$125,9,Cleaned!$EL$2:$EL$125,6)+COUNTIFS(Cleaned!$D$2:$D$125,9,Cleaned!$EL$2:$EL$125,7)+COUNTIFS(Cleaned!$D$2:$D$125,9,Cleaned!$EL$2:$EL$125,8)+COUNTIFS(Cleaned!$D$2:$D$125,9,Cleaned!$EL$2:$EL$125,9)+COUNTIFS(Cleaned!$D$2:$D$125,10,Cleaned!$EL$2:$EL$125,1)+COUNTIFS(Cleaned!$D$2:$D$125,10,Cleaned!$EL$2:$EL$125,2)+COUNTIFS(Cleaned!$D$2:$D$125,10,Cleaned!$EL$2:$EL$125,3)+COUNTIFS(Cleaned!$D$2:$D$125,10,Cleaned!$EL$2:$EL$125,4)+COUNTIFS(Cleaned!$D$2:$D$125,10,Cleaned!$EL$2:$EL$125,5)+COUNTIFS(Cleaned!$D$2:$D$125,10,Cleaned!$EL$2:$EL$125,6)+COUNTIFS(Cleaned!$D$2:$D$125,10,Cleaned!$EL$2:$EL$125,7)+COUNTIFS(Cleaned!$D$2:$D$125,10,Cleaned!$EL$2:$EL$125,8)+COUNTIFS(Cleaned!$D$2:$D$125,10,Cleaned!$EL$2:$EL$125,9)+COUNTIFS(Cleaned!$D$2:$D$125,11,Cleaned!$EL$2:$EL$125,1)+COUNTIFS(Cleaned!$D$2:$D$125,11,Cleaned!$EL$2:$EL$125,2)+COUNTIFS(Cleaned!$D$2:$D$125,11,Cleaned!$EL$2:$EL$125,3)+COUNTIFS(Cleaned!$D$2:$D$125,11,Cleaned!$EL$2:$EL$125,4)+COUNTIFS(Cleaned!$D$2:$D$125,11,Cleaned!$EL$2:$EL$125,5)+COUNTIFS(Cleaned!$D$2:$D$125,11,Cleaned!$EL$2:$EL$125,6)+COUNTIFS(Cleaned!$D$2:$D$125,11,Cleaned!$EL$2:$EL$125,7)+COUNTIFS(Cleaned!$D$2:$D$125,11,Cleaned!$EL$2:$EL$125,8)+COUNTIFS(Cleaned!$D$2:$D$125,11,Cleaned!$EL$2:$EL$125,9)+COUNTIFS(Cleaned!$D$2:$D$125,12,Cleaned!$EL$2:$EL$125,1)+COUNTIFS(Cleaned!$D$2:$D$125,12,Cleaned!$EL$2:$EL$125,2)+COUNTIFS(Cleaned!$D$2:$D$125,12,Cleaned!$EL$2:$EL$125,3)+COUNTIFS(Cleaned!$D$2:$D$125,12,Cleaned!$EL$2:$EL$125,4)+COUNTIFS(Cleaned!$D$2:$D$125,12,Cleaned!$EL$2:$EL$125,5)+COUNTIFS(Cleaned!$D$2:$D$125,12,Cleaned!$EL$2:$EL$125,6)+COUNTIFS(Cleaned!$D$2:$D$125,12,Cleaned!$EL$2:$EL$125,7)+COUNTIFS(Cleaned!$D$2:$D$125,12,Cleaned!$EL$2:$EL$125,8)+COUNTIFS(Cleaned!$D$2:$D$125,12,Cleaned!$EL$2:$EL$125,9)</f>
        <v>20</v>
      </c>
      <c r="D86" s="2" t="str">
        <f aca="false">IF(B86=C86,"OK","FAIL")</f>
        <v>OK</v>
      </c>
    </row>
    <row r="87" customFormat="false" ht="15" hidden="false" customHeight="false" outlineLevel="0" collapsed="false">
      <c r="A87" s="2" t="s">
        <v>1013</v>
      </c>
      <c r="B87" s="2" t="n">
        <f aca="false">COUNTIFS(Cleaned!$C$2:$C$125,1,Cleaned!$EN$2:$EN$125,1)+COUNTIFS(Cleaned!$C$2:$C$125,1,Cleaned!$EN$2:$EN$125,2)+COUNTIFS(Cleaned!$C$2:$C$125,1,Cleaned!$EN$2:$EN$125,3)+COUNTIFS(Cleaned!$C$2:$C$125,1,Cleaned!$EN$2:$EN$125,4)+COUNTIFS(Cleaned!$C$2:$C$125,1,Cleaned!$EN$2:$EN$125,5)+COUNTIFS(Cleaned!$C$2:$C$125,1,Cleaned!$EN$2:$EN$125,6)+COUNTIFS(Cleaned!$C$2:$C$125,1,Cleaned!$EN$2:$EN$125,7)+COUNTIFS(Cleaned!$C$2:$C$125,2,Cleaned!$EN$2:$EN$125,1)+COUNTIFS(Cleaned!$C$2:$C$125,2,Cleaned!$EN$2:$EN$125,2)+COUNTIFS(Cleaned!$C$2:$C$125,2,Cleaned!$EN$2:$EN$125,3)+COUNTIFS(Cleaned!$C$2:$C$125,2,Cleaned!$EN$2:$EN$125,4)+COUNTIFS(Cleaned!$C$2:$C$125,2,Cleaned!$EN$2:$EN$125,5)+COUNTIFS(Cleaned!$C$2:$C$125,2,Cleaned!$EN$2:$EN$125,6)+COUNTIFS(Cleaned!$C$2:$C$125,2,Cleaned!$EN$2:$EN$125,7)+COUNTIFS(Cleaned!$C$2:$C$125,3,Cleaned!$EN$2:$EN$125,1)+COUNTIFS(Cleaned!$C$2:$C$125,3,Cleaned!$EN$2:$EN$125,2)+COUNTIFS(Cleaned!$C$2:$C$125,3,Cleaned!$EN$2:$EN$125,3)+COUNTIFS(Cleaned!$C$2:$C$125,3,Cleaned!$EN$2:$EN$125,4)+COUNTIFS(Cleaned!$C$2:$C$125,3,Cleaned!$EN$2:$EN$125,5)+COUNTIFS(Cleaned!$C$2:$C$125,3,Cleaned!$EN$2:$EN$125,6)+COUNTIFS(Cleaned!$C$2:$C$125,3,Cleaned!$EN$2:$EN$125,7)+COUNTIFS(Cleaned!$C$2:$C$125,4,Cleaned!$EN$2:$EN$125,1)+COUNTIFS(Cleaned!$C$2:$C$125,4,Cleaned!$EN$2:$EN$125,2)+COUNTIFS(Cleaned!$C$2:$C$125,4,Cleaned!$EN$2:$EN$125,3)+COUNTIFS(Cleaned!$C$2:$C$125,4,Cleaned!$EN$2:$EN$125,4)+COUNTIFS(Cleaned!$C$2:$C$125,4,Cleaned!$EN$2:$EN$125,5)+COUNTIFS(Cleaned!$C$2:$C$125,4,Cleaned!$EN$2:$EN$125,6)+COUNTIFS(Cleaned!$C$2:$C$125,4,Cleaned!$EN$2:$EN$125,7)+COUNTIFS(Cleaned!$C$2:$C$125,5,Cleaned!$EN$2:$EN$125,1)+COUNTIFS(Cleaned!$C$2:$C$125,5,Cleaned!$EN$2:$EN$125,2)+COUNTIFS(Cleaned!$C$2:$C$125,5,Cleaned!$EN$2:$EN$125,3)+COUNTIFS(Cleaned!$C$2:$C$125,5,Cleaned!$EN$2:$EN$125,4)+COUNTIFS(Cleaned!$C$2:$C$125,5,Cleaned!$EN$2:$EN$125,5)+COUNTIFS(Cleaned!$C$2:$C$125,5,Cleaned!$EN$2:$EN$125,6)+COUNTIFS(Cleaned!$C$2:$C$125,5,Cleaned!$EN$2:$EN$125,7)</f>
        <v>20</v>
      </c>
      <c r="C87" s="2" t="n">
        <f aca="false">COUNTIFS(Cleaned!$D$2:$D$125,1,Cleaned!$EN$2:$EN$125,1)+COUNTIFS(Cleaned!$D$2:$D$125,1,Cleaned!$EN$2:$EN$125,2)+COUNTIFS(Cleaned!$D$2:$D$125,1,Cleaned!$EN$2:$EN$125,3)+COUNTIFS(Cleaned!$D$2:$D$125,1,Cleaned!$EN$2:$EN$125,4)+COUNTIFS(Cleaned!$D$2:$D$125,1,Cleaned!$EN$2:$EN$125,5)+COUNTIFS(Cleaned!$D$2:$D$125,1,Cleaned!$EN$2:$EN$125,6)+COUNTIFS(Cleaned!$D$2:$D$125,1,Cleaned!$EN$2:$EN$125,7)+COUNTIFS(Cleaned!$D$2:$D$125,2,Cleaned!$EN$2:$EN$125,1)+COUNTIFS(Cleaned!$D$2:$D$125,2,Cleaned!$EN$2:$EN$125,2)+COUNTIFS(Cleaned!$D$2:$D$125,2,Cleaned!$EN$2:$EN$125,3)+COUNTIFS(Cleaned!$D$2:$D$125,2,Cleaned!$EN$2:$EN$125,4)+COUNTIFS(Cleaned!$D$2:$D$125,2,Cleaned!$EN$2:$EN$125,5)+COUNTIFS(Cleaned!$D$2:$D$125,2,Cleaned!$EN$2:$EN$125,6)+COUNTIFS(Cleaned!$D$2:$D$125,2,Cleaned!$EN$2:$EN$125,7)+COUNTIFS(Cleaned!$D$2:$D$125,3,Cleaned!$EN$2:$EN$125,1)+COUNTIFS(Cleaned!$D$2:$D$125,3,Cleaned!$EN$2:$EN$125,2)+COUNTIFS(Cleaned!$D$2:$D$125,3,Cleaned!$EN$2:$EN$125,3)+COUNTIFS(Cleaned!$D$2:$D$125,3,Cleaned!$EN$2:$EN$125,4)+COUNTIFS(Cleaned!$D$2:$D$125,3,Cleaned!$EN$2:$EN$125,5)+COUNTIFS(Cleaned!$D$2:$D$125,3,Cleaned!$EN$2:$EN$125,6)+COUNTIFS(Cleaned!$D$2:$D$125,3,Cleaned!$EN$2:$EN$125,7)+COUNTIFS(Cleaned!$D$2:$D$125,4,Cleaned!$EN$2:$EN$125,1)+COUNTIFS(Cleaned!$D$2:$D$125,4,Cleaned!$EN$2:$EN$125,2)+COUNTIFS(Cleaned!$D$2:$D$125,4,Cleaned!$EN$2:$EN$125,3)+COUNTIFS(Cleaned!$D$2:$D$125,4,Cleaned!$EN$2:$EN$125,4)+COUNTIFS(Cleaned!$D$2:$D$125,4,Cleaned!$EN$2:$EN$125,5)+COUNTIFS(Cleaned!$D$2:$D$125,4,Cleaned!$EN$2:$EN$125,6)+COUNTIFS(Cleaned!$D$2:$D$125,4,Cleaned!$EN$2:$EN$125,7)+COUNTIFS(Cleaned!$D$2:$D$125,5,Cleaned!$EN$2:$EN$125,1)+COUNTIFS(Cleaned!$D$2:$D$125,5,Cleaned!$EN$2:$EN$125,2)+COUNTIFS(Cleaned!$D$2:$D$125,5,Cleaned!$EN$2:$EN$125,3)+COUNTIFS(Cleaned!$D$2:$D$125,5,Cleaned!$EN$2:$EN$125,4)+COUNTIFS(Cleaned!$D$2:$D$125,5,Cleaned!$EN$2:$EN$125,5)+COUNTIFS(Cleaned!$D$2:$D$125,5,Cleaned!$EN$2:$EN$125,6)+COUNTIFS(Cleaned!$D$2:$D$125,5,Cleaned!$EN$2:$EN$125,7)+COUNTIFS(Cleaned!$D$2:$D$125,6,Cleaned!$EN$2:$EN$125,1)+COUNTIFS(Cleaned!$D$2:$D$125,6,Cleaned!$EN$2:$EN$125,2)+COUNTIFS(Cleaned!$D$2:$D$125,6,Cleaned!$EN$2:$EN$125,3)+COUNTIFS(Cleaned!$D$2:$D$125,6,Cleaned!$EN$2:$EN$125,4)+COUNTIFS(Cleaned!$D$2:$D$125,6,Cleaned!$EN$2:$EN$125,5)+COUNTIFS(Cleaned!$D$2:$D$125,6,Cleaned!$EN$2:$EN$125,6)+COUNTIFS(Cleaned!$D$2:$D$125,6,Cleaned!$EN$2:$EN$125,7)+COUNTIFS(Cleaned!$D$2:$D$125,7,Cleaned!$EN$2:$EN$125,1)+COUNTIFS(Cleaned!$D$2:$D$125,7,Cleaned!$EN$2:$EN$125,2)+COUNTIFS(Cleaned!$D$2:$D$125,7,Cleaned!$EN$2:$EN$125,3)+COUNTIFS(Cleaned!$D$2:$D$125,7,Cleaned!$EN$2:$EN$125,4)+COUNTIFS(Cleaned!$D$2:$D$125,7,Cleaned!$EN$2:$EN$125,5)+COUNTIFS(Cleaned!$D$2:$D$125,7,Cleaned!$EN$2:$EN$125,6)+COUNTIFS(Cleaned!$D$2:$D$125,7,Cleaned!$EN$2:$EN$125,7)+COUNTIFS(Cleaned!$D$2:$D$125,8,Cleaned!$EN$2:$EN$125,1)+COUNTIFS(Cleaned!$D$2:$D$125,8,Cleaned!$EN$2:$EN$125,2)+COUNTIFS(Cleaned!$D$2:$D$125,8,Cleaned!$EN$2:$EN$125,3)+COUNTIFS(Cleaned!$D$2:$D$125,8,Cleaned!$EN$2:$EN$125,4)+COUNTIFS(Cleaned!$D$2:$D$125,8,Cleaned!$EN$2:$EN$125,5)+COUNTIFS(Cleaned!$D$2:$D$125,8,Cleaned!$EN$2:$EN$125,6)+COUNTIFS(Cleaned!$D$2:$D$125,8,Cleaned!$EN$2:$EN$125,7)+COUNTIFS(Cleaned!$D$2:$D$125,9,Cleaned!$EN$2:$EN$125,1)+COUNTIFS(Cleaned!$D$2:$D$125,9,Cleaned!$EN$2:$EN$125,2)+COUNTIFS(Cleaned!$D$2:$D$125,9,Cleaned!$EN$2:$EN$125,3)+COUNTIFS(Cleaned!$D$2:$D$125,9,Cleaned!$EN$2:$EN$125,4)+COUNTIFS(Cleaned!$D$2:$D$125,9,Cleaned!$EN$2:$EN$125,5)+COUNTIFS(Cleaned!$D$2:$D$125,9,Cleaned!$EN$2:$EN$125,6)+COUNTIFS(Cleaned!$D$2:$D$125,9,Cleaned!$EN$2:$EN$125,7)+COUNTIFS(Cleaned!$D$2:$D$125,10,Cleaned!$EN$2:$EN$125,1)+COUNTIFS(Cleaned!$D$2:$D$125,10,Cleaned!$EN$2:$EN$125,2)+COUNTIFS(Cleaned!$D$2:$D$125,10,Cleaned!$EN$2:$EN$125,3)+COUNTIFS(Cleaned!$D$2:$D$125,10,Cleaned!$EN$2:$EN$125,4)+COUNTIFS(Cleaned!$D$2:$D$125,10,Cleaned!$EN$2:$EN$125,5)+COUNTIFS(Cleaned!$D$2:$D$125,10,Cleaned!$EN$2:$EN$125,6)+COUNTIFS(Cleaned!$D$2:$D$125,10,Cleaned!$EN$2:$EN$125,7)+COUNTIFS(Cleaned!$D$2:$D$125,11,Cleaned!$EN$2:$EN$125,1)+COUNTIFS(Cleaned!$D$2:$D$125,11,Cleaned!$EN$2:$EN$125,2)+COUNTIFS(Cleaned!$D$2:$D$125,11,Cleaned!$EN$2:$EN$125,3)+COUNTIFS(Cleaned!$D$2:$D$125,11,Cleaned!$EN$2:$EN$125,4)+COUNTIFS(Cleaned!$D$2:$D$125,11,Cleaned!$EN$2:$EN$125,5)+COUNTIFS(Cleaned!$D$2:$D$125,11,Cleaned!$EN$2:$EN$125,6)+COUNTIFS(Cleaned!$D$2:$D$125,11,Cleaned!$EN$2:$EN$125,7)+COUNTIFS(Cleaned!$D$2:$D$125,12,Cleaned!$EN$2:$EN$125,1)+COUNTIFS(Cleaned!$D$2:$D$125,12,Cleaned!$EN$2:$EN$125,2)+COUNTIFS(Cleaned!$D$2:$D$125,12,Cleaned!$EN$2:$EN$125,3)+COUNTIFS(Cleaned!$D$2:$D$125,12,Cleaned!$EN$2:$EN$125,4)+COUNTIFS(Cleaned!$D$2:$D$125,12,Cleaned!$EN$2:$EN$125,5)+COUNTIFS(Cleaned!$D$2:$D$125,12,Cleaned!$EN$2:$EN$125,6)+COUNTIFS(Cleaned!$D$2:$D$125,12,Cleaned!$EN$2:$EN$125,7)</f>
        <v>20</v>
      </c>
      <c r="D87" s="2" t="str">
        <f aca="false">IF(B87=C87,"OK","FAIL")</f>
        <v>OK</v>
      </c>
    </row>
    <row r="88" customFormat="false" ht="15" hidden="false" customHeight="false" outlineLevel="0" collapsed="false">
      <c r="A88" s="2" t="s">
        <v>1013</v>
      </c>
      <c r="B88" s="2" t="n">
        <f aca="false">COUNTIFS(Cleaned!$C$2:$C$125,1,Cleaned!$EO$2:$EO$125,1)+COUNTIFS(Cleaned!$C$2:$C$125,1,Cleaned!$EO$2:$EO$125,2)+COUNTIFS(Cleaned!$C$2:$C$125,1,Cleaned!$EO$2:$EO$125,3)+COUNTIFS(Cleaned!$C$2:$C$125,1,Cleaned!$EO$2:$EO$125,4)+COUNTIFS(Cleaned!$C$2:$C$125,1,Cleaned!$EO$2:$EO$125,5)+COUNTIFS(Cleaned!$C$2:$C$125,1,Cleaned!$EO$2:$EO$125,6)+COUNTIFS(Cleaned!$C$2:$C$125,1,Cleaned!$EO$2:$EO$125,7)+COUNTIFS(Cleaned!$C$2:$C$125,1,Cleaned!$EO$2:$EO$125,8)+COUNTIFS(Cleaned!$C$2:$C$125,1,Cleaned!$EO$2:$EO$125,9)+COUNTIFS(Cleaned!$C$2:$C$125,1,Cleaned!$EO$2:$EO$125,10)+COUNTIFS(Cleaned!$C$2:$C$125,1,Cleaned!$EO$2:$EO$125,11)+COUNTIFS(Cleaned!$C$2:$C$125,1,Cleaned!$EO$2:$EO$125,12)+COUNTIFS(Cleaned!$C$2:$C$125,2,Cleaned!$EO$2:$EO$125,1)+COUNTIFS(Cleaned!$C$2:$C$125,2,Cleaned!$EO$2:$EO$125,2)+COUNTIFS(Cleaned!$C$2:$C$125,2,Cleaned!$EO$2:$EO$125,3)+COUNTIFS(Cleaned!$C$2:$C$125,2,Cleaned!$EO$2:$EO$125,4)+COUNTIFS(Cleaned!$C$2:$C$125,2,Cleaned!$EO$2:$EO$125,5)+COUNTIFS(Cleaned!$C$2:$C$125,2,Cleaned!$EO$2:$EO$125,6)+COUNTIFS(Cleaned!$C$2:$C$125,2,Cleaned!$EO$2:$EO$125,7)+COUNTIFS(Cleaned!$C$2:$C$125,2,Cleaned!$EO$2:$EO$125,8)+COUNTIFS(Cleaned!$C$2:$C$125,2,Cleaned!$EO$2:$EO$125,9)+COUNTIFS(Cleaned!$C$2:$C$125,2,Cleaned!$EO$2:$EO$125,10)+COUNTIFS(Cleaned!$C$2:$C$125,2,Cleaned!$EO$2:$EO$125,11)+COUNTIFS(Cleaned!$C$2:$C$125,2,Cleaned!$EO$2:$EO$125,12)+COUNTIFS(Cleaned!$C$2:$C$125,3,Cleaned!$EO$2:$EO$125,1)+COUNTIFS(Cleaned!$C$2:$C$125,3,Cleaned!$EO$2:$EO$125,2)+COUNTIFS(Cleaned!$C$2:$C$125,3,Cleaned!$EO$2:$EO$125,3)+COUNTIFS(Cleaned!$C$2:$C$125,3,Cleaned!$EO$2:$EO$125,4)+COUNTIFS(Cleaned!$C$2:$C$125,3,Cleaned!$EO$2:$EO$125,5)+COUNTIFS(Cleaned!$C$2:$C$125,3,Cleaned!$EO$2:$EO$125,6)+COUNTIFS(Cleaned!$C$2:$C$125,3,Cleaned!$EO$2:$EO$125,7)+COUNTIFS(Cleaned!$C$2:$C$125,3,Cleaned!$EO$2:$EO$125,8)+COUNTIFS(Cleaned!$C$2:$C$125,3,Cleaned!$EO$2:$EO$125,9)+COUNTIFS(Cleaned!$C$2:$C$125,3,Cleaned!$EO$2:$EO$125,10)+COUNTIFS(Cleaned!$C$2:$C$125,3,Cleaned!$EO$2:$EO$125,11)+COUNTIFS(Cleaned!$C$2:$C$125,3,Cleaned!$EO$2:$EO$125,12)+COUNTIFS(Cleaned!$C$2:$C$125,4,Cleaned!$EO$2:$EO$125,1)+COUNTIFS(Cleaned!$C$2:$C$125,4,Cleaned!$EO$2:$EO$125,2)+COUNTIFS(Cleaned!$C$2:$C$125,4,Cleaned!$EO$2:$EO$125,3)+COUNTIFS(Cleaned!$C$2:$C$125,4,Cleaned!$EO$2:$EO$125,4)+COUNTIFS(Cleaned!$C$2:$C$125,4,Cleaned!$EO$2:$EO$125,5)+COUNTIFS(Cleaned!$C$2:$C$125,4,Cleaned!$EO$2:$EO$125,6)+COUNTIFS(Cleaned!$C$2:$C$125,4,Cleaned!$EO$2:$EO$125,7)+COUNTIFS(Cleaned!$C$2:$C$125,4,Cleaned!$EO$2:$EO$125,8)+COUNTIFS(Cleaned!$C$2:$C$125,4,Cleaned!$EO$2:$EO$125,9)+COUNTIFS(Cleaned!$C$2:$C$125,4,Cleaned!$EO$2:$EO$125,10)+COUNTIFS(Cleaned!$C$2:$C$125,4,Cleaned!$EO$2:$EO$125,11)+COUNTIFS(Cleaned!$C$2:$C$125,4,Cleaned!$EO$2:$EO$125,12)+COUNTIFS(Cleaned!$C$2:$C$125,5,Cleaned!$EO$2:$EO$125,1)+COUNTIFS(Cleaned!$C$2:$C$125,5,Cleaned!$EO$2:$EO$125,2)+COUNTIFS(Cleaned!$C$2:$C$125,5,Cleaned!$EO$2:$EO$125,3)+COUNTIFS(Cleaned!$C$2:$C$125,5,Cleaned!$EO$2:$EO$125,4)+COUNTIFS(Cleaned!$C$2:$C$125,5,Cleaned!$EO$2:$EO$125,5)+COUNTIFS(Cleaned!$C$2:$C$125,5,Cleaned!$EO$2:$EO$125,6)+COUNTIFS(Cleaned!$C$2:$C$125,5,Cleaned!$EO$2:$EO$125,7)+COUNTIFS(Cleaned!$C$2:$C$125,5,Cleaned!$EO$2:$EO$125,8)+COUNTIFS(Cleaned!$C$2:$C$125,5,Cleaned!$EO$2:$EO$125,9)+COUNTIFS(Cleaned!$C$2:$C$125,5,Cleaned!$EO$2:$EO$125,10)+COUNTIFS(Cleaned!$C$2:$C$125,5,Cleaned!$EO$2:$EO$125,11)+COUNTIFS(Cleaned!$C$2:$C$125,5,Cleaned!$EO$2:$EO$125,12)</f>
        <v>22</v>
      </c>
      <c r="C88" s="2" t="n">
        <f aca="false">COUNTIFS(Cleaned!$D$2:$D$125,1,Cleaned!$EO$2:$EO$125,1)+COUNTIFS(Cleaned!$D$2:$D$125,1,Cleaned!$EO$2:$EO$125,2)+COUNTIFS(Cleaned!$D$2:$D$125,1,Cleaned!$EO$2:$EO$125,3)+COUNTIFS(Cleaned!$D$2:$D$125,1,Cleaned!$EO$2:$EO$125,4)+COUNTIFS(Cleaned!$D$2:$D$125,1,Cleaned!$EO$2:$EO$125,5)+COUNTIFS(Cleaned!$D$2:$D$125,1,Cleaned!$EO$2:$EO$125,6)+COUNTIFS(Cleaned!$D$2:$D$125,1,Cleaned!$EO$2:$EO$125,7)+COUNTIFS(Cleaned!$D$2:$D$125,1,Cleaned!$EO$2:$EO$125,8)+COUNTIFS(Cleaned!$D$2:$D$125,1,Cleaned!$EO$2:$EO$125,9)+COUNTIFS(Cleaned!$D$2:$D$125,1,Cleaned!$EO$2:$EO$125,10)+COUNTIFS(Cleaned!$D$2:$D$125,1,Cleaned!$EO$2:$EO$125,11)+COUNTIFS(Cleaned!$D$2:$D$125,1,Cleaned!$EO$2:$EO$125,12)+COUNTIFS(Cleaned!$D$2:$D$125,2,Cleaned!$EO$2:$EO$125,1)+COUNTIFS(Cleaned!$D$2:$D$125,2,Cleaned!$EO$2:$EO$125,2)+COUNTIFS(Cleaned!$D$2:$D$125,2,Cleaned!$EO$2:$EO$125,3)+COUNTIFS(Cleaned!$D$2:$D$125,2,Cleaned!$EO$2:$EO$125,4)+COUNTIFS(Cleaned!$D$2:$D$125,2,Cleaned!$EO$2:$EO$125,5)+COUNTIFS(Cleaned!$D$2:$D$125,2,Cleaned!$EO$2:$EO$125,6)+COUNTIFS(Cleaned!$D$2:$D$125,2,Cleaned!$EO$2:$EO$125,7)+COUNTIFS(Cleaned!$D$2:$D$125,2,Cleaned!$EO$2:$EO$125,8)+COUNTIFS(Cleaned!$D$2:$D$125,2,Cleaned!$EO$2:$EO$125,9)+COUNTIFS(Cleaned!$D$2:$D$125,2,Cleaned!$EO$2:$EO$125,10)+COUNTIFS(Cleaned!$D$2:$D$125,2,Cleaned!$EO$2:$EO$125,11)+COUNTIFS(Cleaned!$D$2:$D$125,2,Cleaned!$EO$2:$EO$125,12)+COUNTIFS(Cleaned!$D$2:$D$125,3,Cleaned!$EO$2:$EO$125,1)+COUNTIFS(Cleaned!$D$2:$D$125,3,Cleaned!$EO$2:$EO$125,2)+COUNTIFS(Cleaned!$D$2:$D$125,3,Cleaned!$EO$2:$EO$125,3)+COUNTIFS(Cleaned!$D$2:$D$125,3,Cleaned!$EO$2:$EO$125,4)+COUNTIFS(Cleaned!$D$2:$D$125,3,Cleaned!$EO$2:$EO$125,5)+COUNTIFS(Cleaned!$D$2:$D$125,3,Cleaned!$EO$2:$EO$125,6)+COUNTIFS(Cleaned!$D$2:$D$125,3,Cleaned!$EO$2:$EO$125,7)+COUNTIFS(Cleaned!$D$2:$D$125,3,Cleaned!$EO$2:$EO$125,8)+COUNTIFS(Cleaned!$D$2:$D$125,3,Cleaned!$EO$2:$EO$125,9)+COUNTIFS(Cleaned!$D$2:$D$125,3,Cleaned!$EO$2:$EO$125,10)+COUNTIFS(Cleaned!$D$2:$D$125,3,Cleaned!$EO$2:$EO$125,11)+COUNTIFS(Cleaned!$D$2:$D$125,3,Cleaned!$EO$2:$EO$125,12)+COUNTIFS(Cleaned!$D$2:$D$125,4,Cleaned!$EO$2:$EO$125,1)+COUNTIFS(Cleaned!$D$2:$D$125,4,Cleaned!$EO$2:$EO$125,2)+COUNTIFS(Cleaned!$D$2:$D$125,4,Cleaned!$EO$2:$EO$125,3)+COUNTIFS(Cleaned!$D$2:$D$125,4,Cleaned!$EO$2:$EO$125,4)+COUNTIFS(Cleaned!$D$2:$D$125,4,Cleaned!$EO$2:$EO$125,5)+COUNTIFS(Cleaned!$D$2:$D$125,4,Cleaned!$EO$2:$EO$125,6)+COUNTIFS(Cleaned!$D$2:$D$125,4,Cleaned!$EO$2:$EO$125,7)+COUNTIFS(Cleaned!$D$2:$D$125,4,Cleaned!$EO$2:$EO$125,8)+COUNTIFS(Cleaned!$D$2:$D$125,4,Cleaned!$EO$2:$EO$125,9)+COUNTIFS(Cleaned!$D$2:$D$125,4,Cleaned!$EO$2:$EO$125,10)+COUNTIFS(Cleaned!$D$2:$D$125,4,Cleaned!$EO$2:$EO$125,11)+COUNTIFS(Cleaned!$D$2:$D$125,4,Cleaned!$EO$2:$EO$125,12)+COUNTIFS(Cleaned!$D$2:$D$125,5,Cleaned!$EO$2:$EO$125,1)+COUNTIFS(Cleaned!$D$2:$D$125,5,Cleaned!$EO$2:$EO$125,2)+COUNTIFS(Cleaned!$D$2:$D$125,5,Cleaned!$EO$2:$EO$125,3)+COUNTIFS(Cleaned!$D$2:$D$125,5,Cleaned!$EO$2:$EO$125,4)+COUNTIFS(Cleaned!$D$2:$D$125,5,Cleaned!$EO$2:$EO$125,5)+COUNTIFS(Cleaned!$D$2:$D$125,5,Cleaned!$EO$2:$EO$125,6)+COUNTIFS(Cleaned!$D$2:$D$125,5,Cleaned!$EO$2:$EO$125,7)+COUNTIFS(Cleaned!$D$2:$D$125,5,Cleaned!$EO$2:$EO$125,8)+COUNTIFS(Cleaned!$D$2:$D$125,5,Cleaned!$EO$2:$EO$125,9)+COUNTIFS(Cleaned!$D$2:$D$125,5,Cleaned!$EO$2:$EO$125,10)+COUNTIFS(Cleaned!$D$2:$D$125,5,Cleaned!$EO$2:$EO$125,11)+COUNTIFS(Cleaned!$D$2:$D$125,5,Cleaned!$EO$2:$EO$125,12)+COUNTIFS(Cleaned!$D$2:$D$125,6,Cleaned!$EO$2:$EO$125,1)+COUNTIFS(Cleaned!$D$2:$D$125,6,Cleaned!$EO$2:$EO$125,2)+COUNTIFS(Cleaned!$D$2:$D$125,6,Cleaned!$EO$2:$EO$125,3)+COUNTIFS(Cleaned!$D$2:$D$125,6,Cleaned!$EO$2:$EO$125,4)+COUNTIFS(Cleaned!$D$2:$D$125,6,Cleaned!$EO$2:$EO$125,5)+COUNTIFS(Cleaned!$D$2:$D$125,6,Cleaned!$EO$2:$EO$125,6)+COUNTIFS(Cleaned!$D$2:$D$125,6,Cleaned!$EO$2:$EO$125,7)+COUNTIFS(Cleaned!$D$2:$D$125,6,Cleaned!$EO$2:$EO$125,8)+COUNTIFS(Cleaned!$D$2:$D$125,6,Cleaned!$EO$2:$EO$125,9)+COUNTIFS(Cleaned!$D$2:$D$125,6,Cleaned!$EO$2:$EO$125,10)+COUNTIFS(Cleaned!$D$2:$D$125,6,Cleaned!$EO$2:$EO$125,11)+COUNTIFS(Cleaned!$D$2:$D$125,6,Cleaned!$EO$2:$EO$125,12)+COUNTIFS(Cleaned!$D$2:$D$125,7,Cleaned!$EO$2:$EO$125,1)+COUNTIFS(Cleaned!$D$2:$D$125,7,Cleaned!$EO$2:$EO$125,2)+COUNTIFS(Cleaned!$D$2:$D$125,7,Cleaned!$EO$2:$EO$125,3)+COUNTIFS(Cleaned!$D$2:$D$125,7,Cleaned!$EO$2:$EO$125,4)+COUNTIFS(Cleaned!$D$2:$D$125,7,Cleaned!$EO$2:$EO$125,5)+COUNTIFS(Cleaned!$D$2:$D$125,7,Cleaned!$EO$2:$EO$125,6)+COUNTIFS(Cleaned!$D$2:$D$125,7,Cleaned!$EO$2:$EO$125,7)+COUNTIFS(Cleaned!$D$2:$D$125,7,Cleaned!$EO$2:$EO$125,8)+COUNTIFS(Cleaned!$D$2:$D$125,7,Cleaned!$EO$2:$EO$125,9)+COUNTIFS(Cleaned!$D$2:$D$125,7,Cleaned!$EO$2:$EO$125,10)+COUNTIFS(Cleaned!$D$2:$D$125,7,Cleaned!$EO$2:$EO$125,11)+COUNTIFS(Cleaned!$D$2:$D$125,7,Cleaned!$EO$2:$EO$125,12)+COUNTIFS(Cleaned!$D$2:$D$125,8,Cleaned!$EO$2:$EO$125,1)+COUNTIFS(Cleaned!$D$2:$D$125,8,Cleaned!$EO$2:$EO$125,2)+COUNTIFS(Cleaned!$D$2:$D$125,8,Cleaned!$EO$2:$EO$125,3)+COUNTIFS(Cleaned!$D$2:$D$125,8,Cleaned!$EO$2:$EO$125,4)+COUNTIFS(Cleaned!$D$2:$D$125,8,Cleaned!$EO$2:$EO$125,5)+COUNTIFS(Cleaned!$D$2:$D$125,8,Cleaned!$EO$2:$EO$125,6)+COUNTIFS(Cleaned!$D$2:$D$125,8,Cleaned!$EO$2:$EO$125,7)+COUNTIFS(Cleaned!$D$2:$D$125,8,Cleaned!$EO$2:$EO$125,8)+COUNTIFS(Cleaned!$D$2:$D$125,8,Cleaned!$EO$2:$EO$125,9)+COUNTIFS(Cleaned!$D$2:$D$125,8,Cleaned!$EO$2:$EO$125,10)+COUNTIFS(Cleaned!$D$2:$D$125,8,Cleaned!$EO$2:$EO$125,11)+COUNTIFS(Cleaned!$D$2:$D$125,8,Cleaned!$EO$2:$EO$125,12)+COUNTIFS(Cleaned!$D$2:$D$125,9,Cleaned!$EO$2:$EO$125,1)+COUNTIFS(Cleaned!$D$2:$D$125,9,Cleaned!$EO$2:$EO$125,2)+COUNTIFS(Cleaned!$D$2:$D$125,9,Cleaned!$EO$2:$EO$125,3)+COUNTIFS(Cleaned!$D$2:$D$125,9,Cleaned!$EO$2:$EO$125,4)+COUNTIFS(Cleaned!$D$2:$D$125,9,Cleaned!$EO$2:$EO$125,5)+COUNTIFS(Cleaned!$D$2:$D$125,9,Cleaned!$EO$2:$EO$125,6)+COUNTIFS(Cleaned!$D$2:$D$125,9,Cleaned!$EO$2:$EO$125,7)+COUNTIFS(Cleaned!$D$2:$D$125,9,Cleaned!$EO$2:$EO$125,8)+COUNTIFS(Cleaned!$D$2:$D$125,9,Cleaned!$EO$2:$EO$125,9)+COUNTIFS(Cleaned!$D$2:$D$125,9,Cleaned!$EO$2:$EO$125,10)+COUNTIFS(Cleaned!$D$2:$D$125,9,Cleaned!$EO$2:$EO$125,11)+COUNTIFS(Cleaned!$D$2:$D$125,9,Cleaned!$EO$2:$EO$125,12)+COUNTIFS(Cleaned!$D$2:$D$125,10,Cleaned!$EO$2:$EO$125,1)+COUNTIFS(Cleaned!$D$2:$D$125,10,Cleaned!$EO$2:$EO$125,2)+COUNTIFS(Cleaned!$D$2:$D$125,10,Cleaned!$EO$2:$EO$125,3)+COUNTIFS(Cleaned!$D$2:$D$125,10,Cleaned!$EO$2:$EO$125,4)+COUNTIFS(Cleaned!$D$2:$D$125,10,Cleaned!$EO$2:$EO$125,5)+COUNTIFS(Cleaned!$D$2:$D$125,10,Cleaned!$EO$2:$EO$125,6)+COUNTIFS(Cleaned!$D$2:$D$125,10,Cleaned!$EO$2:$EO$125,7)+COUNTIFS(Cleaned!$D$2:$D$125,10,Cleaned!$EO$2:$EO$125,8)+COUNTIFS(Cleaned!$D$2:$D$125,10,Cleaned!$EO$2:$EO$125,9)+COUNTIFS(Cleaned!$D$2:$D$125,10,Cleaned!$EO$2:$EO$125,10)+COUNTIFS(Cleaned!$D$2:$D$125,10,Cleaned!$EO$2:$EO$125,11)+COUNTIFS(Cleaned!$D$2:$D$125,10,Cleaned!$EO$2:$EO$125,12)+COUNTIFS(Cleaned!$D$2:$D$125,11,Cleaned!$EO$2:$EO$125,1)+COUNTIFS(Cleaned!$D$2:$D$125,11,Cleaned!$EO$2:$EO$125,2)+COUNTIFS(Cleaned!$D$2:$D$125,11,Cleaned!$EO$2:$EO$125,3)+COUNTIFS(Cleaned!$D$2:$D$125,11,Cleaned!$EO$2:$EO$125,4)+COUNTIFS(Cleaned!$D$2:$D$125,11,Cleaned!$EO$2:$EO$125,5)+COUNTIFS(Cleaned!$D$2:$D$125,11,Cleaned!$EO$2:$EO$125,6)+COUNTIFS(Cleaned!$D$2:$D$125,11,Cleaned!$EO$2:$EO$125,7)+COUNTIFS(Cleaned!$D$2:$D$125,11,Cleaned!$EO$2:$EO$125,8)+COUNTIFS(Cleaned!$D$2:$D$125,11,Cleaned!$EO$2:$EO$125,9)+COUNTIFS(Cleaned!$D$2:$D$125,11,Cleaned!$EO$2:$EO$125,10)+COUNTIFS(Cleaned!$D$2:$D$125,11,Cleaned!$EO$2:$EO$125,11)+COUNTIFS(Cleaned!$D$2:$D$125,11,Cleaned!$EO$2:$EO$125,12)+COUNTIFS(Cleaned!$D$2:$D$125,12,Cleaned!$EO$2:$EO$125,1)+COUNTIFS(Cleaned!$D$2:$D$125,12,Cleaned!$EO$2:$EO$125,2)+COUNTIFS(Cleaned!$D$2:$D$125,12,Cleaned!$EO$2:$EO$125,3)+COUNTIFS(Cleaned!$D$2:$D$125,12,Cleaned!$EO$2:$EO$125,4)+COUNTIFS(Cleaned!$D$2:$D$125,12,Cleaned!$EO$2:$EO$125,5)+COUNTIFS(Cleaned!$D$2:$D$125,12,Cleaned!$EO$2:$EO$125,6)+COUNTIFS(Cleaned!$D$2:$D$125,12,Cleaned!$EO$2:$EO$125,7)+COUNTIFS(Cleaned!$D$2:$D$125,12,Cleaned!$EO$2:$EO$125,8)+COUNTIFS(Cleaned!$D$2:$D$125,12,Cleaned!$EO$2:$EO$125,9)+COUNTIFS(Cleaned!$D$2:$D$125,12,Cleaned!$EO$2:$EO$125,10)+COUNTIFS(Cleaned!$D$2:$D$125,12,Cleaned!$EO$2:$EO$125,11)+COUNTIFS(Cleaned!$D$2:$D$125,12,Cleaned!$EO$2:$EO$125,12)</f>
        <v>22</v>
      </c>
      <c r="D88" s="2" t="str">
        <f aca="false">IF(B88=C88,"OK","FAIL")</f>
        <v>OK</v>
      </c>
    </row>
    <row r="89" customFormat="false" ht="15" hidden="false" customHeight="false" outlineLevel="0" collapsed="false">
      <c r="A89" s="2" t="s">
        <v>1013</v>
      </c>
      <c r="B89" s="2" t="n">
        <f aca="false">COUNTIFS(Cleaned!$C$2:$C$125,1,Cleaned!$EP$2:$EP$125,1)+COUNTIFS(Cleaned!$C$2:$C$125,1,Cleaned!$EP$2:$EP$125,2)+COUNTIFS(Cleaned!$C$2:$C$125,1,Cleaned!$EP$2:$EP$125,3)+COUNTIFS(Cleaned!$C$2:$C$125,1,Cleaned!$EP$2:$EP$125,4)+COUNTIFS(Cleaned!$C$2:$C$125,1,Cleaned!$EP$2:$EP$125,5)+COUNTIFS(Cleaned!$C$2:$C$125,1,Cleaned!$EP$2:$EP$125,6)+COUNTIFS(Cleaned!$C$2:$C$125,1,Cleaned!$EP$2:$EP$125,7)+COUNTIFS(Cleaned!$C$2:$C$125,1,Cleaned!$EP$2:$EP$125,8)+COUNTIFS(Cleaned!$C$2:$C$125,1,Cleaned!$EP$2:$EP$125,9)+COUNTIFS(Cleaned!$C$2:$C$125,2,Cleaned!$EP$2:$EP$125,1)+COUNTIFS(Cleaned!$C$2:$C$125,2,Cleaned!$EP$2:$EP$125,2)+COUNTIFS(Cleaned!$C$2:$C$125,2,Cleaned!$EP$2:$EP$125,3)+COUNTIFS(Cleaned!$C$2:$C$125,2,Cleaned!$EP$2:$EP$125,4)+COUNTIFS(Cleaned!$C$2:$C$125,2,Cleaned!$EP$2:$EP$125,5)+COUNTIFS(Cleaned!$C$2:$C$125,2,Cleaned!$EP$2:$EP$125,6)+COUNTIFS(Cleaned!$C$2:$C$125,2,Cleaned!$EP$2:$EP$125,7)+COUNTIFS(Cleaned!$C$2:$C$125,2,Cleaned!$EP$2:$EP$125,8)+COUNTIFS(Cleaned!$C$2:$C$125,2,Cleaned!$EP$2:$EP$125,9)+COUNTIFS(Cleaned!$C$2:$C$125,3,Cleaned!$EP$2:$EP$125,1)+COUNTIFS(Cleaned!$C$2:$C$125,3,Cleaned!$EP$2:$EP$125,2)+COUNTIFS(Cleaned!$C$2:$C$125,3,Cleaned!$EP$2:$EP$125,3)+COUNTIFS(Cleaned!$C$2:$C$125,3,Cleaned!$EP$2:$EP$125,4)+COUNTIFS(Cleaned!$C$2:$C$125,3,Cleaned!$EP$2:$EP$125,5)+COUNTIFS(Cleaned!$C$2:$C$125,3,Cleaned!$EP$2:$EP$125,6)+COUNTIFS(Cleaned!$C$2:$C$125,3,Cleaned!$EP$2:$EP$125,7)+COUNTIFS(Cleaned!$C$2:$C$125,3,Cleaned!$EP$2:$EP$125,8)+COUNTIFS(Cleaned!$C$2:$C$125,3,Cleaned!$EP$2:$EP$125,9)+COUNTIFS(Cleaned!$C$2:$C$125,4,Cleaned!$EP$2:$EP$125,1)+COUNTIFS(Cleaned!$C$2:$C$125,4,Cleaned!$EP$2:$EP$125,2)+COUNTIFS(Cleaned!$C$2:$C$125,4,Cleaned!$EP$2:$EP$125,3)+COUNTIFS(Cleaned!$C$2:$C$125,4,Cleaned!$EP$2:$EP$125,4)+COUNTIFS(Cleaned!$C$2:$C$125,4,Cleaned!$EP$2:$EP$125,5)+COUNTIFS(Cleaned!$C$2:$C$125,4,Cleaned!$EP$2:$EP$125,6)+COUNTIFS(Cleaned!$C$2:$C$125,4,Cleaned!$EP$2:$EP$125,7)+COUNTIFS(Cleaned!$C$2:$C$125,4,Cleaned!$EP$2:$EP$125,8)+COUNTIFS(Cleaned!$C$2:$C$125,4,Cleaned!$EP$2:$EP$125,9)+COUNTIFS(Cleaned!$C$2:$C$125,5,Cleaned!$EP$2:$EP$125,1)+COUNTIFS(Cleaned!$C$2:$C$125,5,Cleaned!$EP$2:$EP$125,2)+COUNTIFS(Cleaned!$C$2:$C$125,5,Cleaned!$EP$2:$EP$125,3)+COUNTIFS(Cleaned!$C$2:$C$125,5,Cleaned!$EP$2:$EP$125,4)+COUNTIFS(Cleaned!$C$2:$C$125,5,Cleaned!$EP$2:$EP$125,5)+COUNTIFS(Cleaned!$C$2:$C$125,5,Cleaned!$EP$2:$EP$125,6)+COUNTIFS(Cleaned!$C$2:$C$125,5,Cleaned!$EP$2:$EP$125,7)+COUNTIFS(Cleaned!$C$2:$C$125,5,Cleaned!$EP$2:$EP$125,8)+COUNTIFS(Cleaned!$C$2:$C$125,5,Cleaned!$EP$2:$EP$125,9)</f>
        <v>20</v>
      </c>
      <c r="C89" s="2" t="n">
        <f aca="false">COUNTIFS(Cleaned!$D$2:$D$125,1,Cleaned!$EP$2:$EP$125,1)+COUNTIFS(Cleaned!$D$2:$D$125,1,Cleaned!$EP$2:$EP$125,2)+COUNTIFS(Cleaned!$D$2:$D$125,1,Cleaned!$EP$2:$EP$125,3)+COUNTIFS(Cleaned!$D$2:$D$125,1,Cleaned!$EP$2:$EP$125,4)+COUNTIFS(Cleaned!$D$2:$D$125,1,Cleaned!$EP$2:$EP$125,5)+COUNTIFS(Cleaned!$D$2:$D$125,1,Cleaned!$EP$2:$EP$125,6)+COUNTIFS(Cleaned!$D$2:$D$125,1,Cleaned!$EP$2:$EP$125,7)+COUNTIFS(Cleaned!$D$2:$D$125,1,Cleaned!$EP$2:$EP$125,8)+COUNTIFS(Cleaned!$D$2:$D$125,1,Cleaned!$EP$2:$EP$125,9)+COUNTIFS(Cleaned!$D$2:$D$125,2,Cleaned!$EP$2:$EP$125,1)+COUNTIFS(Cleaned!$D$2:$D$125,2,Cleaned!$EP$2:$EP$125,2)+COUNTIFS(Cleaned!$D$2:$D$125,2,Cleaned!$EP$2:$EP$125,3)+COUNTIFS(Cleaned!$D$2:$D$125,2,Cleaned!$EP$2:$EP$125,4)+COUNTIFS(Cleaned!$D$2:$D$125,2,Cleaned!$EP$2:$EP$125,5)+COUNTIFS(Cleaned!$D$2:$D$125,2,Cleaned!$EP$2:$EP$125,6)+COUNTIFS(Cleaned!$D$2:$D$125,2,Cleaned!$EP$2:$EP$125,7)+COUNTIFS(Cleaned!$D$2:$D$125,2,Cleaned!$EP$2:$EP$125,8)+COUNTIFS(Cleaned!$D$2:$D$125,2,Cleaned!$EP$2:$EP$125,9)+COUNTIFS(Cleaned!$D$2:$D$125,3,Cleaned!$EP$2:$EP$125,1)+COUNTIFS(Cleaned!$D$2:$D$125,3,Cleaned!$EP$2:$EP$125,2)+COUNTIFS(Cleaned!$D$2:$D$125,3,Cleaned!$EP$2:$EP$125,3)+COUNTIFS(Cleaned!$D$2:$D$125,3,Cleaned!$EP$2:$EP$125,4)+COUNTIFS(Cleaned!$D$2:$D$125,3,Cleaned!$EP$2:$EP$125,5)+COUNTIFS(Cleaned!$D$2:$D$125,3,Cleaned!$EP$2:$EP$125,6)+COUNTIFS(Cleaned!$D$2:$D$125,3,Cleaned!$EP$2:$EP$125,7)+COUNTIFS(Cleaned!$D$2:$D$125,3,Cleaned!$EP$2:$EP$125,8)+COUNTIFS(Cleaned!$D$2:$D$125,3,Cleaned!$EP$2:$EP$125,9)+COUNTIFS(Cleaned!$D$2:$D$125,4,Cleaned!$EP$2:$EP$125,1)+COUNTIFS(Cleaned!$D$2:$D$125,4,Cleaned!$EP$2:$EP$125,2)+COUNTIFS(Cleaned!$D$2:$D$125,4,Cleaned!$EP$2:$EP$125,3)+COUNTIFS(Cleaned!$D$2:$D$125,4,Cleaned!$EP$2:$EP$125,4)+COUNTIFS(Cleaned!$D$2:$D$125,4,Cleaned!$EP$2:$EP$125,5)+COUNTIFS(Cleaned!$D$2:$D$125,4,Cleaned!$EP$2:$EP$125,6)+COUNTIFS(Cleaned!$D$2:$D$125,4,Cleaned!$EP$2:$EP$125,7)+COUNTIFS(Cleaned!$D$2:$D$125,4,Cleaned!$EP$2:$EP$125,8)+COUNTIFS(Cleaned!$D$2:$D$125,4,Cleaned!$EP$2:$EP$125,9)+COUNTIFS(Cleaned!$D$2:$D$125,5,Cleaned!$EP$2:$EP$125,1)+COUNTIFS(Cleaned!$D$2:$D$125,5,Cleaned!$EP$2:$EP$125,2)+COUNTIFS(Cleaned!$D$2:$D$125,5,Cleaned!$EP$2:$EP$125,3)+COUNTIFS(Cleaned!$D$2:$D$125,5,Cleaned!$EP$2:$EP$125,4)+COUNTIFS(Cleaned!$D$2:$D$125,5,Cleaned!$EP$2:$EP$125,5)+COUNTIFS(Cleaned!$D$2:$D$125,5,Cleaned!$EP$2:$EP$125,6)+COUNTIFS(Cleaned!$D$2:$D$125,5,Cleaned!$EP$2:$EP$125,7)+COUNTIFS(Cleaned!$D$2:$D$125,5,Cleaned!$EP$2:$EP$125,8)+COUNTIFS(Cleaned!$D$2:$D$125,5,Cleaned!$EP$2:$EP$125,9)+COUNTIFS(Cleaned!$D$2:$D$125,6,Cleaned!$EP$2:$EP$125,1)+COUNTIFS(Cleaned!$D$2:$D$125,6,Cleaned!$EP$2:$EP$125,2)+COUNTIFS(Cleaned!$D$2:$D$125,6,Cleaned!$EP$2:$EP$125,3)+COUNTIFS(Cleaned!$D$2:$D$125,6,Cleaned!$EP$2:$EP$125,4)+COUNTIFS(Cleaned!$D$2:$D$125,6,Cleaned!$EP$2:$EP$125,5)+COUNTIFS(Cleaned!$D$2:$D$125,6,Cleaned!$EP$2:$EP$125,6)+COUNTIFS(Cleaned!$D$2:$D$125,6,Cleaned!$EP$2:$EP$125,7)+COUNTIFS(Cleaned!$D$2:$D$125,6,Cleaned!$EP$2:$EP$125,8)+COUNTIFS(Cleaned!$D$2:$D$125,6,Cleaned!$EP$2:$EP$125,9)+COUNTIFS(Cleaned!$D$2:$D$125,7,Cleaned!$EP$2:$EP$125,1)+COUNTIFS(Cleaned!$D$2:$D$125,7,Cleaned!$EP$2:$EP$125,2)+COUNTIFS(Cleaned!$D$2:$D$125,7,Cleaned!$EP$2:$EP$125,3)+COUNTIFS(Cleaned!$D$2:$D$125,7,Cleaned!$EP$2:$EP$125,4)+COUNTIFS(Cleaned!$D$2:$D$125,7,Cleaned!$EP$2:$EP$125,5)+COUNTIFS(Cleaned!$D$2:$D$125,7,Cleaned!$EP$2:$EP$125,6)+COUNTIFS(Cleaned!$D$2:$D$125,7,Cleaned!$EP$2:$EP$125,7)+COUNTIFS(Cleaned!$D$2:$D$125,7,Cleaned!$EP$2:$EP$125,8)+COUNTIFS(Cleaned!$D$2:$D$125,7,Cleaned!$EP$2:$EP$125,9)+COUNTIFS(Cleaned!$D$2:$D$125,8,Cleaned!$EP$2:$EP$125,1)+COUNTIFS(Cleaned!$D$2:$D$125,8,Cleaned!$EP$2:$EP$125,2)+COUNTIFS(Cleaned!$D$2:$D$125,8,Cleaned!$EP$2:$EP$125,3)+COUNTIFS(Cleaned!$D$2:$D$125,8,Cleaned!$EP$2:$EP$125,4)+COUNTIFS(Cleaned!$D$2:$D$125,8,Cleaned!$EP$2:$EP$125,5)+COUNTIFS(Cleaned!$D$2:$D$125,8,Cleaned!$EP$2:$EP$125,6)+COUNTIFS(Cleaned!$D$2:$D$125,8,Cleaned!$EP$2:$EP$125,7)+COUNTIFS(Cleaned!$D$2:$D$125,8,Cleaned!$EP$2:$EP$125,8)+COUNTIFS(Cleaned!$D$2:$D$125,8,Cleaned!$EP$2:$EP$125,9)+COUNTIFS(Cleaned!$D$2:$D$125,9,Cleaned!$EP$2:$EP$125,1)+COUNTIFS(Cleaned!$D$2:$D$125,9,Cleaned!$EP$2:$EP$125,2)+COUNTIFS(Cleaned!$D$2:$D$125,9,Cleaned!$EP$2:$EP$125,3)+COUNTIFS(Cleaned!$D$2:$D$125,9,Cleaned!$EP$2:$EP$125,4)+COUNTIFS(Cleaned!$D$2:$D$125,9,Cleaned!$EP$2:$EP$125,5)+COUNTIFS(Cleaned!$D$2:$D$125,9,Cleaned!$EP$2:$EP$125,6)+COUNTIFS(Cleaned!$D$2:$D$125,9,Cleaned!$EP$2:$EP$125,7)+COUNTIFS(Cleaned!$D$2:$D$125,9,Cleaned!$EP$2:$EP$125,8)+COUNTIFS(Cleaned!$D$2:$D$125,9,Cleaned!$EP$2:$EP$125,9)+COUNTIFS(Cleaned!$D$2:$D$125,10,Cleaned!$EP$2:$EP$125,1)+COUNTIFS(Cleaned!$D$2:$D$125,10,Cleaned!$EP$2:$EP$125,2)+COUNTIFS(Cleaned!$D$2:$D$125,10,Cleaned!$EP$2:$EP$125,3)+COUNTIFS(Cleaned!$D$2:$D$125,10,Cleaned!$EP$2:$EP$125,4)+COUNTIFS(Cleaned!$D$2:$D$125,10,Cleaned!$EP$2:$EP$125,5)+COUNTIFS(Cleaned!$D$2:$D$125,10,Cleaned!$EP$2:$EP$125,6)+COUNTIFS(Cleaned!$D$2:$D$125,10,Cleaned!$EP$2:$EP$125,7)+COUNTIFS(Cleaned!$D$2:$D$125,10,Cleaned!$EP$2:$EP$125,8)+COUNTIFS(Cleaned!$D$2:$D$125,10,Cleaned!$EP$2:$EP$125,9)+COUNTIFS(Cleaned!$D$2:$D$125,11,Cleaned!$EP$2:$EP$125,1)+COUNTIFS(Cleaned!$D$2:$D$125,11,Cleaned!$EP$2:$EP$125,2)+COUNTIFS(Cleaned!$D$2:$D$125,11,Cleaned!$EP$2:$EP$125,3)+COUNTIFS(Cleaned!$D$2:$D$125,11,Cleaned!$EP$2:$EP$125,4)+COUNTIFS(Cleaned!$D$2:$D$125,11,Cleaned!$EP$2:$EP$125,5)+COUNTIFS(Cleaned!$D$2:$D$125,11,Cleaned!$EP$2:$EP$125,6)+COUNTIFS(Cleaned!$D$2:$D$125,11,Cleaned!$EP$2:$EP$125,7)+COUNTIFS(Cleaned!$D$2:$D$125,11,Cleaned!$EP$2:$EP$125,8)+COUNTIFS(Cleaned!$D$2:$D$125,11,Cleaned!$EP$2:$EP$125,9)+COUNTIFS(Cleaned!$D$2:$D$125,12,Cleaned!$EP$2:$EP$125,1)+COUNTIFS(Cleaned!$D$2:$D$125,12,Cleaned!$EP$2:$EP$125,2)+COUNTIFS(Cleaned!$D$2:$D$125,12,Cleaned!$EP$2:$EP$125,3)+COUNTIFS(Cleaned!$D$2:$D$125,12,Cleaned!$EP$2:$EP$125,4)+COUNTIFS(Cleaned!$D$2:$D$125,12,Cleaned!$EP$2:$EP$125,5)+COUNTIFS(Cleaned!$D$2:$D$125,12,Cleaned!$EP$2:$EP$125,6)+COUNTIFS(Cleaned!$D$2:$D$125,12,Cleaned!$EP$2:$EP$125,7)+COUNTIFS(Cleaned!$D$2:$D$125,12,Cleaned!$EP$2:$EP$125,8)+COUNTIFS(Cleaned!$D$2:$D$125,12,Cleaned!$EP$2:$EP$125,9)</f>
        <v>20</v>
      </c>
      <c r="D89" s="2" t="str">
        <f aca="false">IF(B89=C89,"OK","FAIL")</f>
        <v>OK</v>
      </c>
    </row>
    <row r="90" customFormat="false" ht="15" hidden="false" customHeight="false" outlineLevel="0" collapsed="false">
      <c r="A90" s="2" t="s">
        <v>1013</v>
      </c>
      <c r="B90" s="2" t="n">
        <f aca="false">COUNTIFS(Cleaned!$C$2:$C$125,1,Cleaned!$EQ$2:$EQ$125,1)+COUNTIFS(Cleaned!$C$2:$C$125,1,Cleaned!$EQ$2:$EQ$125,2)+COUNTIFS(Cleaned!$C$2:$C$125,1,Cleaned!$EQ$2:$EQ$125,3)+COUNTIFS(Cleaned!$C$2:$C$125,1,Cleaned!$EQ$2:$EQ$125,4)+COUNTIFS(Cleaned!$C$2:$C$125,1,Cleaned!$EQ$2:$EQ$125,5)+COUNTIFS(Cleaned!$C$2:$C$125,1,Cleaned!$EQ$2:$EQ$125,6)+COUNTIFS(Cleaned!$C$2:$C$125,1,Cleaned!$EQ$2:$EQ$125,7)+COUNTIFS(Cleaned!$C$2:$C$125,1,Cleaned!$EQ$2:$EQ$125,8)+COUNTIFS(Cleaned!$C$2:$C$125,2,Cleaned!$EQ$2:$EQ$125,1)+COUNTIFS(Cleaned!$C$2:$C$125,2,Cleaned!$EQ$2:$EQ$125,2)+COUNTIFS(Cleaned!$C$2:$C$125,2,Cleaned!$EQ$2:$EQ$125,3)+COUNTIFS(Cleaned!$C$2:$C$125,2,Cleaned!$EQ$2:$EQ$125,4)+COUNTIFS(Cleaned!$C$2:$C$125,2,Cleaned!$EQ$2:$EQ$125,5)+COUNTIFS(Cleaned!$C$2:$C$125,2,Cleaned!$EQ$2:$EQ$125,6)+COUNTIFS(Cleaned!$C$2:$C$125,2,Cleaned!$EQ$2:$EQ$125,7)+COUNTIFS(Cleaned!$C$2:$C$125,2,Cleaned!$EQ$2:$EQ$125,8)+COUNTIFS(Cleaned!$C$2:$C$125,3,Cleaned!$EQ$2:$EQ$125,1)+COUNTIFS(Cleaned!$C$2:$C$125,3,Cleaned!$EQ$2:$EQ$125,2)+COUNTIFS(Cleaned!$C$2:$C$125,3,Cleaned!$EQ$2:$EQ$125,3)+COUNTIFS(Cleaned!$C$2:$C$125,3,Cleaned!$EQ$2:$EQ$125,4)+COUNTIFS(Cleaned!$C$2:$C$125,3,Cleaned!$EQ$2:$EQ$125,5)+COUNTIFS(Cleaned!$C$2:$C$125,3,Cleaned!$EQ$2:$EQ$125,6)+COUNTIFS(Cleaned!$C$2:$C$125,3,Cleaned!$EQ$2:$EQ$125,7)+COUNTIFS(Cleaned!$C$2:$C$125,3,Cleaned!$EQ$2:$EQ$125,8)+COUNTIFS(Cleaned!$C$2:$C$125,4,Cleaned!$EQ$2:$EQ$125,1)+COUNTIFS(Cleaned!$C$2:$C$125,4,Cleaned!$EQ$2:$EQ$125,2)+COUNTIFS(Cleaned!$C$2:$C$125,4,Cleaned!$EQ$2:$EQ$125,3)+COUNTIFS(Cleaned!$C$2:$C$125,4,Cleaned!$EQ$2:$EQ$125,4)+COUNTIFS(Cleaned!$C$2:$C$125,4,Cleaned!$EQ$2:$EQ$125,5)+COUNTIFS(Cleaned!$C$2:$C$125,4,Cleaned!$EQ$2:$EQ$125,6)+COUNTIFS(Cleaned!$C$2:$C$125,4,Cleaned!$EQ$2:$EQ$125,7)+COUNTIFS(Cleaned!$C$2:$C$125,4,Cleaned!$EQ$2:$EQ$125,8)+COUNTIFS(Cleaned!$C$2:$C$125,5,Cleaned!$EQ$2:$EQ$125,1)+COUNTIFS(Cleaned!$C$2:$C$125,5,Cleaned!$EQ$2:$EQ$125,2)+COUNTIFS(Cleaned!$C$2:$C$125,5,Cleaned!$EQ$2:$EQ$125,3)+COUNTIFS(Cleaned!$C$2:$C$125,5,Cleaned!$EQ$2:$EQ$125,4)+COUNTIFS(Cleaned!$C$2:$C$125,5,Cleaned!$EQ$2:$EQ$125,5)+COUNTIFS(Cleaned!$C$2:$C$125,5,Cleaned!$EQ$2:$EQ$125,6)+COUNTIFS(Cleaned!$C$2:$C$125,5,Cleaned!$EQ$2:$EQ$125,7)+COUNTIFS(Cleaned!$C$2:$C$125,5,Cleaned!$EQ$2:$EQ$125,8)</f>
        <v>21</v>
      </c>
      <c r="C90" s="2" t="n">
        <f aca="false">COUNTIFS(Cleaned!$D$2:$D$125,1,Cleaned!$EQ$2:$EQ$125,1)+COUNTIFS(Cleaned!$D$2:$D$125,1,Cleaned!$EQ$2:$EQ$125,2)+COUNTIFS(Cleaned!$D$2:$D$125,1,Cleaned!$EQ$2:$EQ$125,3)+COUNTIFS(Cleaned!$D$2:$D$125,1,Cleaned!$EQ$2:$EQ$125,4)+COUNTIFS(Cleaned!$D$2:$D$125,1,Cleaned!$EQ$2:$EQ$125,5)+COUNTIFS(Cleaned!$D$2:$D$125,1,Cleaned!$EQ$2:$EQ$125,6)+COUNTIFS(Cleaned!$D$2:$D$125,1,Cleaned!$EQ$2:$EQ$125,7)+COUNTIFS(Cleaned!$D$2:$D$125,1,Cleaned!$EQ$2:$EQ$125,8)+COUNTIFS(Cleaned!$D$2:$D$125,2,Cleaned!$EQ$2:$EQ$125,1)+COUNTIFS(Cleaned!$D$2:$D$125,2,Cleaned!$EQ$2:$EQ$125,2)+COUNTIFS(Cleaned!$D$2:$D$125,2,Cleaned!$EQ$2:$EQ$125,3)+COUNTIFS(Cleaned!$D$2:$D$125,2,Cleaned!$EQ$2:$EQ$125,4)+COUNTIFS(Cleaned!$D$2:$D$125,2,Cleaned!$EQ$2:$EQ$125,5)+COUNTIFS(Cleaned!$D$2:$D$125,2,Cleaned!$EQ$2:$EQ$125,6)+COUNTIFS(Cleaned!$D$2:$D$125,2,Cleaned!$EQ$2:$EQ$125,7)+COUNTIFS(Cleaned!$D$2:$D$125,2,Cleaned!$EQ$2:$EQ$125,8)+COUNTIFS(Cleaned!$D$2:$D$125,3,Cleaned!$EQ$2:$EQ$125,1)+COUNTIFS(Cleaned!$D$2:$D$125,3,Cleaned!$EQ$2:$EQ$125,2)+COUNTIFS(Cleaned!$D$2:$D$125,3,Cleaned!$EQ$2:$EQ$125,3)+COUNTIFS(Cleaned!$D$2:$D$125,3,Cleaned!$EQ$2:$EQ$125,4)+COUNTIFS(Cleaned!$D$2:$D$125,3,Cleaned!$EQ$2:$EQ$125,5)+COUNTIFS(Cleaned!$D$2:$D$125,3,Cleaned!$EQ$2:$EQ$125,6)+COUNTIFS(Cleaned!$D$2:$D$125,3,Cleaned!$EQ$2:$EQ$125,7)+COUNTIFS(Cleaned!$D$2:$D$125,3,Cleaned!$EQ$2:$EQ$125,8)+COUNTIFS(Cleaned!$D$2:$D$125,4,Cleaned!$EQ$2:$EQ$125,1)+COUNTIFS(Cleaned!$D$2:$D$125,4,Cleaned!$EQ$2:$EQ$125,2)+COUNTIFS(Cleaned!$D$2:$D$125,4,Cleaned!$EQ$2:$EQ$125,3)+COUNTIFS(Cleaned!$D$2:$D$125,4,Cleaned!$EQ$2:$EQ$125,4)+COUNTIFS(Cleaned!$D$2:$D$125,4,Cleaned!$EQ$2:$EQ$125,5)+COUNTIFS(Cleaned!$D$2:$D$125,4,Cleaned!$EQ$2:$EQ$125,6)+COUNTIFS(Cleaned!$D$2:$D$125,4,Cleaned!$EQ$2:$EQ$125,7)+COUNTIFS(Cleaned!$D$2:$D$125,4,Cleaned!$EQ$2:$EQ$125,8)+COUNTIFS(Cleaned!$D$2:$D$125,5,Cleaned!$EQ$2:$EQ$125,1)+COUNTIFS(Cleaned!$D$2:$D$125,5,Cleaned!$EQ$2:$EQ$125,2)+COUNTIFS(Cleaned!$D$2:$D$125,5,Cleaned!$EQ$2:$EQ$125,3)+COUNTIFS(Cleaned!$D$2:$D$125,5,Cleaned!$EQ$2:$EQ$125,4)+COUNTIFS(Cleaned!$D$2:$D$125,5,Cleaned!$EQ$2:$EQ$125,5)+COUNTIFS(Cleaned!$D$2:$D$125,5,Cleaned!$EQ$2:$EQ$125,6)+COUNTIFS(Cleaned!$D$2:$D$125,5,Cleaned!$EQ$2:$EQ$125,7)+COUNTIFS(Cleaned!$D$2:$D$125,5,Cleaned!$EQ$2:$EQ$125,8)+COUNTIFS(Cleaned!$D$2:$D$125,6,Cleaned!$EQ$2:$EQ$125,1)+COUNTIFS(Cleaned!$D$2:$D$125,6,Cleaned!$EQ$2:$EQ$125,2)+COUNTIFS(Cleaned!$D$2:$D$125,6,Cleaned!$EQ$2:$EQ$125,3)+COUNTIFS(Cleaned!$D$2:$D$125,6,Cleaned!$EQ$2:$EQ$125,4)+COUNTIFS(Cleaned!$D$2:$D$125,6,Cleaned!$EQ$2:$EQ$125,5)+COUNTIFS(Cleaned!$D$2:$D$125,6,Cleaned!$EQ$2:$EQ$125,6)+COUNTIFS(Cleaned!$D$2:$D$125,6,Cleaned!$EQ$2:$EQ$125,7)+COUNTIFS(Cleaned!$D$2:$D$125,6,Cleaned!$EQ$2:$EQ$125,8)+COUNTIFS(Cleaned!$D$2:$D$125,7,Cleaned!$EQ$2:$EQ$125,1)+COUNTIFS(Cleaned!$D$2:$D$125,7,Cleaned!$EQ$2:$EQ$125,2)+COUNTIFS(Cleaned!$D$2:$D$125,7,Cleaned!$EQ$2:$EQ$125,3)+COUNTIFS(Cleaned!$D$2:$D$125,7,Cleaned!$EQ$2:$EQ$125,4)+COUNTIFS(Cleaned!$D$2:$D$125,7,Cleaned!$EQ$2:$EQ$125,5)+COUNTIFS(Cleaned!$D$2:$D$125,7,Cleaned!$EQ$2:$EQ$125,6)+COUNTIFS(Cleaned!$D$2:$D$125,7,Cleaned!$EQ$2:$EQ$125,7)+COUNTIFS(Cleaned!$D$2:$D$125,7,Cleaned!$EQ$2:$EQ$125,8)+COUNTIFS(Cleaned!$D$2:$D$125,8,Cleaned!$EQ$2:$EQ$125,1)+COUNTIFS(Cleaned!$D$2:$D$125,8,Cleaned!$EQ$2:$EQ$125,2)+COUNTIFS(Cleaned!$D$2:$D$125,8,Cleaned!$EQ$2:$EQ$125,3)+COUNTIFS(Cleaned!$D$2:$D$125,8,Cleaned!$EQ$2:$EQ$125,4)+COUNTIFS(Cleaned!$D$2:$D$125,8,Cleaned!$EQ$2:$EQ$125,5)+COUNTIFS(Cleaned!$D$2:$D$125,8,Cleaned!$EQ$2:$EQ$125,6)+COUNTIFS(Cleaned!$D$2:$D$125,8,Cleaned!$EQ$2:$EQ$125,7)+COUNTIFS(Cleaned!$D$2:$D$125,8,Cleaned!$EQ$2:$EQ$125,8)+COUNTIFS(Cleaned!$D$2:$D$125,9,Cleaned!$EQ$2:$EQ$125,1)+COUNTIFS(Cleaned!$D$2:$D$125,9,Cleaned!$EQ$2:$EQ$125,2)+COUNTIFS(Cleaned!$D$2:$D$125,9,Cleaned!$EQ$2:$EQ$125,3)+COUNTIFS(Cleaned!$D$2:$D$125,9,Cleaned!$EQ$2:$EQ$125,4)+COUNTIFS(Cleaned!$D$2:$D$125,9,Cleaned!$EQ$2:$EQ$125,5)+COUNTIFS(Cleaned!$D$2:$D$125,9,Cleaned!$EQ$2:$EQ$125,6)+COUNTIFS(Cleaned!$D$2:$D$125,9,Cleaned!$EQ$2:$EQ$125,7)+COUNTIFS(Cleaned!$D$2:$D$125,9,Cleaned!$EQ$2:$EQ$125,8)+COUNTIFS(Cleaned!$D$2:$D$125,10,Cleaned!$EQ$2:$EQ$125,1)+COUNTIFS(Cleaned!$D$2:$D$125,10,Cleaned!$EQ$2:$EQ$125,2)+COUNTIFS(Cleaned!$D$2:$D$125,10,Cleaned!$EQ$2:$EQ$125,3)+COUNTIFS(Cleaned!$D$2:$D$125,10,Cleaned!$EQ$2:$EQ$125,4)+COUNTIFS(Cleaned!$D$2:$D$125,10,Cleaned!$EQ$2:$EQ$125,5)+COUNTIFS(Cleaned!$D$2:$D$125,10,Cleaned!$EQ$2:$EQ$125,6)+COUNTIFS(Cleaned!$D$2:$D$125,10,Cleaned!$EQ$2:$EQ$125,7)+COUNTIFS(Cleaned!$D$2:$D$125,10,Cleaned!$EQ$2:$EQ$125,8)+COUNTIFS(Cleaned!$D$2:$D$125,11,Cleaned!$EQ$2:$EQ$125,1)+COUNTIFS(Cleaned!$D$2:$D$125,11,Cleaned!$EQ$2:$EQ$125,2)+COUNTIFS(Cleaned!$D$2:$D$125,11,Cleaned!$EQ$2:$EQ$125,3)+COUNTIFS(Cleaned!$D$2:$D$125,11,Cleaned!$EQ$2:$EQ$125,4)+COUNTIFS(Cleaned!$D$2:$D$125,11,Cleaned!$EQ$2:$EQ$125,5)+COUNTIFS(Cleaned!$D$2:$D$125,11,Cleaned!$EQ$2:$EQ$125,6)+COUNTIFS(Cleaned!$D$2:$D$125,11,Cleaned!$EQ$2:$EQ$125,7)+COUNTIFS(Cleaned!$D$2:$D$125,11,Cleaned!$EQ$2:$EQ$125,8)+COUNTIFS(Cleaned!$D$2:$D$125,12,Cleaned!$EQ$2:$EQ$125,1)+COUNTIFS(Cleaned!$D$2:$D$125,12,Cleaned!$EQ$2:$EQ$125,2)+COUNTIFS(Cleaned!$D$2:$D$125,12,Cleaned!$EQ$2:$EQ$125,3)+COUNTIFS(Cleaned!$D$2:$D$125,12,Cleaned!$EQ$2:$EQ$125,4)+COUNTIFS(Cleaned!$D$2:$D$125,12,Cleaned!$EQ$2:$EQ$125,5)+COUNTIFS(Cleaned!$D$2:$D$125,12,Cleaned!$EQ$2:$EQ$125,6)+COUNTIFS(Cleaned!$D$2:$D$125,12,Cleaned!$EQ$2:$EQ$125,7)+COUNTIFS(Cleaned!$D$2:$D$125,12,Cleaned!$EQ$2:$EQ$125,8)</f>
        <v>21</v>
      </c>
      <c r="D90" s="2" t="str">
        <f aca="false">IF(B90=C90,"OK","FAIL")</f>
        <v>OK</v>
      </c>
    </row>
    <row r="91" customFormat="false" ht="15" hidden="false" customHeight="false" outlineLevel="0" collapsed="false">
      <c r="A91" s="2" t="s">
        <v>1014</v>
      </c>
      <c r="B91" s="2" t="n">
        <f aca="false">COUNTIFS(Cleaned!$C$2:$C$125,1,Cleaned!$EV$2:$EV$125,1)+COUNTIFS(Cleaned!$C$2:$C$125,1,Cleaned!$EV$2:$EV$125,2)+COUNTIFS(Cleaned!$C$2:$C$125,2,Cleaned!$EV$2:$EV$125,1)+COUNTIFS(Cleaned!$C$2:$C$125,2,Cleaned!$EV$2:$EV$125,2)+COUNTIFS(Cleaned!$C$2:$C$125,3,Cleaned!$EV$2:$EV$125,1)+COUNTIFS(Cleaned!$C$2:$C$125,3,Cleaned!$EV$2:$EV$125,2)+COUNTIFS(Cleaned!$C$2:$C$125,4,Cleaned!$EV$2:$EV$125,1)+COUNTIFS(Cleaned!$C$2:$C$125,4,Cleaned!$EV$2:$EV$125,2)+COUNTIFS(Cleaned!$C$2:$C$125,5,Cleaned!$EV$2:$EV$125,1)+COUNTIFS(Cleaned!$C$2:$C$125,5,Cleaned!$EV$2:$EV$125,2)</f>
        <v>44</v>
      </c>
      <c r="C91" s="2" t="n">
        <f aca="false">COUNTIFS(Cleaned!$D$2:$D$125,1,Cleaned!$EV$2:$EV$125,1)+COUNTIFS(Cleaned!$D$2:$D$125,1,Cleaned!$EV$2:$EV$125,2)+COUNTIFS(Cleaned!$D$2:$D$125,2,Cleaned!$EV$2:$EV$125,1)+COUNTIFS(Cleaned!$D$2:$D$125,2,Cleaned!$EV$2:$EV$125,2)+COUNTIFS(Cleaned!$D$2:$D$125,3,Cleaned!$EV$2:$EV$125,1)+COUNTIFS(Cleaned!$D$2:$D$125,3,Cleaned!$EV$2:$EV$125,2)+COUNTIFS(Cleaned!$D$2:$D$125,4,Cleaned!$EV$2:$EV$125,1)+COUNTIFS(Cleaned!$D$2:$D$125,4,Cleaned!$EV$2:$EV$125,2)+COUNTIFS(Cleaned!$D$2:$D$125,5,Cleaned!$EV$2:$EV$125,1)+COUNTIFS(Cleaned!$D$2:$D$125,5,Cleaned!$EV$2:$EV$125,2)+COUNTIFS(Cleaned!$D$2:$D$125,6,Cleaned!$EV$2:$EV$125,1)+COUNTIFS(Cleaned!$D$2:$D$125,6,Cleaned!$EV$2:$EV$125,2)+COUNTIFS(Cleaned!$D$2:$D$125,7,Cleaned!$EV$2:$EV$125,1)+COUNTIFS(Cleaned!$D$2:$D$125,7,Cleaned!$EV$2:$EV$125,2)+COUNTIFS(Cleaned!$D$2:$D$125,8,Cleaned!$EV$2:$EV$125,1)+COUNTIFS(Cleaned!$D$2:$D$125,8,Cleaned!$EV$2:$EV$125,2)+COUNTIFS(Cleaned!$D$2:$D$125,9,Cleaned!$EV$2:$EV$125,1)+COUNTIFS(Cleaned!$D$2:$D$125,9,Cleaned!$EV$2:$EV$125,2)+COUNTIFS(Cleaned!$D$2:$D$125,10,Cleaned!$EV$2:$EV$125,1)+COUNTIFS(Cleaned!$D$2:$D$125,10,Cleaned!$EV$2:$EV$125,2)+COUNTIFS(Cleaned!$D$2:$D$125,11,Cleaned!$EV$2:$EV$125,1)+COUNTIFS(Cleaned!$D$2:$D$125,11,Cleaned!$EV$2:$EV$125,2)+COUNTIFS(Cleaned!$D$2:$D$125,12,Cleaned!$EV$2:$EV$125,1)+COUNTIFS(Cleaned!$D$2:$D$125,12,Cleaned!$EV$2:$EV$125,2)</f>
        <v>44</v>
      </c>
      <c r="D91" s="2" t="str">
        <f aca="false">IF(B91=C91,"OK","FAIL")</f>
        <v>OK</v>
      </c>
    </row>
    <row r="92" customFormat="false" ht="15" hidden="false" customHeight="false" outlineLevel="0" collapsed="false">
      <c r="A92" s="2" t="s">
        <v>1015</v>
      </c>
      <c r="B92" s="2" t="n">
        <f aca="false">COUNTIFS(Cleaned!$C$2:$C$125,1,Cleaned!$EW$2:$EW$125,1)+COUNTIFS(Cleaned!$C$2:$C$125,1,Cleaned!$EW$2:$EW$125,2)+COUNTIFS(Cleaned!$C$2:$C$125,2,Cleaned!$EW$2:$EW$125,1)+COUNTIFS(Cleaned!$C$2:$C$125,2,Cleaned!$EW$2:$EW$125,2)+COUNTIFS(Cleaned!$C$2:$C$125,3,Cleaned!$EW$2:$EW$125,1)+COUNTIFS(Cleaned!$C$2:$C$125,3,Cleaned!$EW$2:$EW$125,2)+COUNTIFS(Cleaned!$C$2:$C$125,4,Cleaned!$EW$2:$EW$125,1)+COUNTIFS(Cleaned!$C$2:$C$125,4,Cleaned!$EW$2:$EW$125,2)+COUNTIFS(Cleaned!$C$2:$C$125,5,Cleaned!$EW$2:$EW$125,1)+COUNTIFS(Cleaned!$C$2:$C$125,5,Cleaned!$EW$2:$EW$125,2)</f>
        <v>43</v>
      </c>
      <c r="C92" s="2" t="n">
        <f aca="false">COUNTIFS(Cleaned!$D$2:$D$125,1,Cleaned!$EW$2:$EW$125,1)+COUNTIFS(Cleaned!$D$2:$D$125,1,Cleaned!$EW$2:$EW$125,2)+COUNTIFS(Cleaned!$D$2:$D$125,2,Cleaned!$EW$2:$EW$125,1)+COUNTIFS(Cleaned!$D$2:$D$125,2,Cleaned!$EW$2:$EW$125,2)+COUNTIFS(Cleaned!$D$2:$D$125,3,Cleaned!$EW$2:$EW$125,1)+COUNTIFS(Cleaned!$D$2:$D$125,3,Cleaned!$EW$2:$EW$125,2)+COUNTIFS(Cleaned!$D$2:$D$125,4,Cleaned!$EW$2:$EW$125,1)+COUNTIFS(Cleaned!$D$2:$D$125,4,Cleaned!$EW$2:$EW$125,2)+COUNTIFS(Cleaned!$D$2:$D$125,5,Cleaned!$EW$2:$EW$125,1)+COUNTIFS(Cleaned!$D$2:$D$125,5,Cleaned!$EW$2:$EW$125,2)+COUNTIFS(Cleaned!$D$2:$D$125,6,Cleaned!$EW$2:$EW$125,1)+COUNTIFS(Cleaned!$D$2:$D$125,6,Cleaned!$EW$2:$EW$125,2)+COUNTIFS(Cleaned!$D$2:$D$125,7,Cleaned!$EW$2:$EW$125,1)+COUNTIFS(Cleaned!$D$2:$D$125,7,Cleaned!$EW$2:$EW$125,2)+COUNTIFS(Cleaned!$D$2:$D$125,8,Cleaned!$EW$2:$EW$125,1)+COUNTIFS(Cleaned!$D$2:$D$125,8,Cleaned!$EW$2:$EW$125,2)+COUNTIFS(Cleaned!$D$2:$D$125,9,Cleaned!$EW$2:$EW$125,1)+COUNTIFS(Cleaned!$D$2:$D$125,9,Cleaned!$EW$2:$EW$125,2)+COUNTIFS(Cleaned!$D$2:$D$125,10,Cleaned!$EW$2:$EW$125,1)+COUNTIFS(Cleaned!$D$2:$D$125,10,Cleaned!$EW$2:$EW$125,2)+COUNTIFS(Cleaned!$D$2:$D$125,11,Cleaned!$EW$2:$EW$125,1)+COUNTIFS(Cleaned!$D$2:$D$125,11,Cleaned!$EW$2:$EW$125,2)+COUNTIFS(Cleaned!$D$2:$D$125,12,Cleaned!$EW$2:$EW$125,1)+COUNTIFS(Cleaned!$D$2:$D$125,12,Cleaned!$EW$2:$EW$125,2)</f>
        <v>43</v>
      </c>
      <c r="D92" s="2" t="str">
        <f aca="false">IF(B92=C92,"OK","FAIL")</f>
        <v>OK</v>
      </c>
    </row>
    <row r="93" customFormat="false" ht="15" hidden="false" customHeight="false" outlineLevel="0" collapsed="false">
      <c r="A93" s="2" t="s">
        <v>1016</v>
      </c>
      <c r="B93" s="2" t="n">
        <f aca="false">COUNTIFS(Cleaned!$C$2:$C$125,1,Cleaned!$EX$2:$EX$125,1)+COUNTIFS(Cleaned!$C$2:$C$125,1,Cleaned!$EX$2:$EX$125,2)+COUNTIFS(Cleaned!$C$2:$C$125,1,Cleaned!$EX$2:$EX$125,3)+COUNTIFS(Cleaned!$C$2:$C$125,1,Cleaned!$EX$2:$EX$125,4)+COUNTIFS(Cleaned!$C$2:$C$125,2,Cleaned!$EX$2:$EX$125,1)+COUNTIFS(Cleaned!$C$2:$C$125,2,Cleaned!$EX$2:$EX$125,2)+COUNTIFS(Cleaned!$C$2:$C$125,2,Cleaned!$EX$2:$EX$125,3)+COUNTIFS(Cleaned!$C$2:$C$125,2,Cleaned!$EX$2:$EX$125,4)+COUNTIFS(Cleaned!$C$2:$C$125,3,Cleaned!$EX$2:$EX$125,1)+COUNTIFS(Cleaned!$C$2:$C$125,3,Cleaned!$EX$2:$EX$125,2)+COUNTIFS(Cleaned!$C$2:$C$125,3,Cleaned!$EX$2:$EX$125,3)+COUNTIFS(Cleaned!$C$2:$C$125,3,Cleaned!$EX$2:$EX$125,4)+COUNTIFS(Cleaned!$C$2:$C$125,4,Cleaned!$EX$2:$EX$125,1)+COUNTIFS(Cleaned!$C$2:$C$125,4,Cleaned!$EX$2:$EX$125,2)+COUNTIFS(Cleaned!$C$2:$C$125,4,Cleaned!$EX$2:$EX$125,3)+COUNTIFS(Cleaned!$C$2:$C$125,4,Cleaned!$EX$2:$EX$125,4)+COUNTIFS(Cleaned!$C$2:$C$125,5,Cleaned!$EX$2:$EX$125,1)+COUNTIFS(Cleaned!$C$2:$C$125,5,Cleaned!$EX$2:$EX$125,2)+COUNTIFS(Cleaned!$C$2:$C$125,5,Cleaned!$EX$2:$EX$125,3)+COUNTIFS(Cleaned!$C$2:$C$125,5,Cleaned!$EX$2:$EX$125,4)</f>
        <v>41</v>
      </c>
      <c r="C93" s="2" t="n">
        <f aca="false">COUNTIFS(Cleaned!$D$2:$D$125,1,Cleaned!$EX$2:$EX$125,1)+COUNTIFS(Cleaned!$D$2:$D$125,1,Cleaned!$EX$2:$EX$125,2)+COUNTIFS(Cleaned!$D$2:$D$125,1,Cleaned!$EX$2:$EX$125,3)+COUNTIFS(Cleaned!$D$2:$D$125,1,Cleaned!$EX$2:$EX$125,4)+COUNTIFS(Cleaned!$D$2:$D$125,2,Cleaned!$EX$2:$EX$125,1)+COUNTIFS(Cleaned!$D$2:$D$125,2,Cleaned!$EX$2:$EX$125,2)+COUNTIFS(Cleaned!$D$2:$D$125,2,Cleaned!$EX$2:$EX$125,3)+COUNTIFS(Cleaned!$D$2:$D$125,2,Cleaned!$EX$2:$EX$125,4)+COUNTIFS(Cleaned!$D$2:$D$125,3,Cleaned!$EX$2:$EX$125,1)+COUNTIFS(Cleaned!$D$2:$D$125,3,Cleaned!$EX$2:$EX$125,2)+COUNTIFS(Cleaned!$D$2:$D$125,3,Cleaned!$EX$2:$EX$125,3)+COUNTIFS(Cleaned!$D$2:$D$125,3,Cleaned!$EX$2:$EX$125,4)+COUNTIFS(Cleaned!$D$2:$D$125,4,Cleaned!$EX$2:$EX$125,1)+COUNTIFS(Cleaned!$D$2:$D$125,4,Cleaned!$EX$2:$EX$125,2)+COUNTIFS(Cleaned!$D$2:$D$125,4,Cleaned!$EX$2:$EX$125,3)+COUNTIFS(Cleaned!$D$2:$D$125,4,Cleaned!$EX$2:$EX$125,4)+COUNTIFS(Cleaned!$D$2:$D$125,5,Cleaned!$EX$2:$EX$125,1)+COUNTIFS(Cleaned!$D$2:$D$125,5,Cleaned!$EX$2:$EX$125,2)+COUNTIFS(Cleaned!$D$2:$D$125,5,Cleaned!$EX$2:$EX$125,3)+COUNTIFS(Cleaned!$D$2:$D$125,5,Cleaned!$EX$2:$EX$125,4)+COUNTIFS(Cleaned!$D$2:$D$125,6,Cleaned!$EX$2:$EX$125,1)+COUNTIFS(Cleaned!$D$2:$D$125,6,Cleaned!$EX$2:$EX$125,2)+COUNTIFS(Cleaned!$D$2:$D$125,6,Cleaned!$EX$2:$EX$125,3)+COUNTIFS(Cleaned!$D$2:$D$125,6,Cleaned!$EX$2:$EX$125,4)+COUNTIFS(Cleaned!$D$2:$D$125,7,Cleaned!$EX$2:$EX$125,1)+COUNTIFS(Cleaned!$D$2:$D$125,7,Cleaned!$EX$2:$EX$125,2)+COUNTIFS(Cleaned!$D$2:$D$125,7,Cleaned!$EX$2:$EX$125,3)+COUNTIFS(Cleaned!$D$2:$D$125,7,Cleaned!$EX$2:$EX$125,4)+COUNTIFS(Cleaned!$D$2:$D$125,8,Cleaned!$EX$2:$EX$125,1)+COUNTIFS(Cleaned!$D$2:$D$125,8,Cleaned!$EX$2:$EX$125,2)+COUNTIFS(Cleaned!$D$2:$D$125,8,Cleaned!$EX$2:$EX$125,3)+COUNTIFS(Cleaned!$D$2:$D$125,8,Cleaned!$EX$2:$EX$125,4)+COUNTIFS(Cleaned!$D$2:$D$125,9,Cleaned!$EX$2:$EX$125,1)+COUNTIFS(Cleaned!$D$2:$D$125,9,Cleaned!$EX$2:$EX$125,2)+COUNTIFS(Cleaned!$D$2:$D$125,9,Cleaned!$EX$2:$EX$125,3)+COUNTIFS(Cleaned!$D$2:$D$125,9,Cleaned!$EX$2:$EX$125,4)+COUNTIFS(Cleaned!$D$2:$D$125,10,Cleaned!$EX$2:$EX$125,1)+COUNTIFS(Cleaned!$D$2:$D$125,10,Cleaned!$EX$2:$EX$125,2)+COUNTIFS(Cleaned!$D$2:$D$125,10,Cleaned!$EX$2:$EX$125,3)+COUNTIFS(Cleaned!$D$2:$D$125,10,Cleaned!$EX$2:$EX$125,4)+COUNTIFS(Cleaned!$D$2:$D$125,11,Cleaned!$EX$2:$EX$125,1)+COUNTIFS(Cleaned!$D$2:$D$125,11,Cleaned!$EX$2:$EX$125,2)+COUNTIFS(Cleaned!$D$2:$D$125,11,Cleaned!$EX$2:$EX$125,3)+COUNTIFS(Cleaned!$D$2:$D$125,11,Cleaned!$EX$2:$EX$125,4)+COUNTIFS(Cleaned!$D$2:$D$125,12,Cleaned!$EX$2:$EX$125,1)+COUNTIFS(Cleaned!$D$2:$D$125,12,Cleaned!$EX$2:$EX$125,2)+COUNTIFS(Cleaned!$D$2:$D$125,12,Cleaned!$EX$2:$EX$125,3)+COUNTIFS(Cleaned!$D$2:$D$125,12,Cleaned!$EX$2:$EX$125,4)</f>
        <v>41</v>
      </c>
      <c r="D93" s="2" t="str">
        <f aca="false">IF(B93=C93,"OK","FAIL")</f>
        <v>OK</v>
      </c>
    </row>
    <row r="94" customFormat="false" ht="15" hidden="false" customHeight="false" outlineLevel="0" collapsed="false">
      <c r="A94" s="2" t="s">
        <v>1017</v>
      </c>
      <c r="B94" s="2" t="n">
        <f aca="false">COUNTIFS(Cleaned!$C$2:$C$125,1,Cleaned!$FD$2:$FD$125,1)+COUNTIFS(Cleaned!$C$2:$C$125,1,Cleaned!$FD$2:$FD$125,2)+COUNTIFS(Cleaned!$C$2:$C$125,2,Cleaned!$FD$2:$FD$125,1)+COUNTIFS(Cleaned!$C$2:$C$125,2,Cleaned!$FD$2:$FD$125,2)+COUNTIFS(Cleaned!$C$2:$C$125,3,Cleaned!$FD$2:$FD$125,1)+COUNTIFS(Cleaned!$C$2:$C$125,3,Cleaned!$FD$2:$FD$125,2)+COUNTIFS(Cleaned!$C$2:$C$125,4,Cleaned!$FD$2:$FD$125,1)+COUNTIFS(Cleaned!$C$2:$C$125,4,Cleaned!$FD$2:$FD$125,2)+COUNTIFS(Cleaned!$C$2:$C$125,5,Cleaned!$FD$2:$FD$125,1)+COUNTIFS(Cleaned!$C$2:$C$125,5,Cleaned!$FD$2:$FD$125,2)</f>
        <v>57</v>
      </c>
      <c r="C94" s="2" t="n">
        <f aca="false">COUNTIFS(Cleaned!$D$2:$D$125,1,Cleaned!$FD$2:$FD$125,1)+COUNTIFS(Cleaned!$D$2:$D$125,1,Cleaned!$FD$2:$FD$125,2)+COUNTIFS(Cleaned!$D$2:$D$125,2,Cleaned!$FD$2:$FD$125,1)+COUNTIFS(Cleaned!$D$2:$D$125,2,Cleaned!$FD$2:$FD$125,2)+COUNTIFS(Cleaned!$D$2:$D$125,3,Cleaned!$FD$2:$FD$125,1)+COUNTIFS(Cleaned!$D$2:$D$125,3,Cleaned!$FD$2:$FD$125,2)+COUNTIFS(Cleaned!$D$2:$D$125,4,Cleaned!$FD$2:$FD$125,1)+COUNTIFS(Cleaned!$D$2:$D$125,4,Cleaned!$FD$2:$FD$125,2)+COUNTIFS(Cleaned!$D$2:$D$125,5,Cleaned!$FD$2:$FD$125,1)+COUNTIFS(Cleaned!$D$2:$D$125,5,Cleaned!$FD$2:$FD$125,2)+COUNTIFS(Cleaned!$D$2:$D$125,6,Cleaned!$FD$2:$FD$125,1)+COUNTIFS(Cleaned!$D$2:$D$125,6,Cleaned!$FD$2:$FD$125,2)+COUNTIFS(Cleaned!$D$2:$D$125,7,Cleaned!$FD$2:$FD$125,1)+COUNTIFS(Cleaned!$D$2:$D$125,7,Cleaned!$FD$2:$FD$125,2)+COUNTIFS(Cleaned!$D$2:$D$125,8,Cleaned!$FD$2:$FD$125,1)+COUNTIFS(Cleaned!$D$2:$D$125,8,Cleaned!$FD$2:$FD$125,2)+COUNTIFS(Cleaned!$D$2:$D$125,9,Cleaned!$FD$2:$FD$125,1)+COUNTIFS(Cleaned!$D$2:$D$125,9,Cleaned!$FD$2:$FD$125,2)+COUNTIFS(Cleaned!$D$2:$D$125,10,Cleaned!$FD$2:$FD$125,1)+COUNTIFS(Cleaned!$D$2:$D$125,10,Cleaned!$FD$2:$FD$125,2)+COUNTIFS(Cleaned!$D$2:$D$125,11,Cleaned!$FD$2:$FD$125,1)+COUNTIFS(Cleaned!$D$2:$D$125,11,Cleaned!$FD$2:$FD$125,2)+COUNTIFS(Cleaned!$D$2:$D$125,12,Cleaned!$FD$2:$FD$125,1)+COUNTIFS(Cleaned!$D$2:$D$125,12,Cleaned!$FD$2:$FD$125,2)</f>
        <v>57</v>
      </c>
      <c r="D94" s="2" t="str">
        <f aca="false">IF(B94=C94,"OK","FAIL")</f>
        <v>OK</v>
      </c>
    </row>
    <row r="95" customFormat="false" ht="15" hidden="false" customHeight="false" outlineLevel="0" collapsed="false">
      <c r="A95" s="2" t="s">
        <v>1012</v>
      </c>
      <c r="B95" s="2" t="n">
        <f aca="false">COUNTIFS(Cleaned!$C$2:$C$125,1,Cleaned!$FJ$2:$FJ$125,1)+COUNTIFS(Cleaned!$C$2:$C$125,1,Cleaned!$FJ$2:$FJ$125,2)+COUNTIFS(Cleaned!$C$2:$C$125,1,Cleaned!$FJ$2:$FJ$125,3)+COUNTIFS(Cleaned!$C$2:$C$125,1,Cleaned!$FJ$2:$FJ$125,4)+COUNTIFS(Cleaned!$C$2:$C$125,1,Cleaned!$FJ$2:$FJ$125,5)+COUNTIFS(Cleaned!$C$2:$C$125,1,Cleaned!$FJ$2:$FJ$125,6)+COUNTIFS(Cleaned!$C$2:$C$125,1,Cleaned!$FJ$2:$FJ$125,7)+COUNTIFS(Cleaned!$C$2:$C$125,1,Cleaned!$FJ$2:$FJ$125,8)+COUNTIFS(Cleaned!$C$2:$C$125,1,Cleaned!$FJ$2:$FJ$125,9)+COUNTIFS(Cleaned!$C$2:$C$125,1,Cleaned!$FJ$2:$FJ$125,10)+COUNTIFS(Cleaned!$C$2:$C$125,1,Cleaned!$FJ$2:$FJ$125,11)+COUNTIFS(Cleaned!$C$2:$C$125,1,Cleaned!$FJ$2:$FJ$125,12)+COUNTIFS(Cleaned!$C$2:$C$125,2,Cleaned!$FJ$2:$FJ$125,1)+COUNTIFS(Cleaned!$C$2:$C$125,2,Cleaned!$FJ$2:$FJ$125,2)+COUNTIFS(Cleaned!$C$2:$C$125,2,Cleaned!$FJ$2:$FJ$125,3)+COUNTIFS(Cleaned!$C$2:$C$125,2,Cleaned!$FJ$2:$FJ$125,4)+COUNTIFS(Cleaned!$C$2:$C$125,2,Cleaned!$FJ$2:$FJ$125,5)+COUNTIFS(Cleaned!$C$2:$C$125,2,Cleaned!$FJ$2:$FJ$125,6)+COUNTIFS(Cleaned!$C$2:$C$125,2,Cleaned!$FJ$2:$FJ$125,7)+COUNTIFS(Cleaned!$C$2:$C$125,2,Cleaned!$FJ$2:$FJ$125,8)+COUNTIFS(Cleaned!$C$2:$C$125,2,Cleaned!$FJ$2:$FJ$125,9)+COUNTIFS(Cleaned!$C$2:$C$125,2,Cleaned!$FJ$2:$FJ$125,10)+COUNTIFS(Cleaned!$C$2:$C$125,2,Cleaned!$FJ$2:$FJ$125,11)+COUNTIFS(Cleaned!$C$2:$C$125,2,Cleaned!$FJ$2:$FJ$125,12)+COUNTIFS(Cleaned!$C$2:$C$125,3,Cleaned!$FJ$2:$FJ$125,1)+COUNTIFS(Cleaned!$C$2:$C$125,3,Cleaned!$FJ$2:$FJ$125,2)+COUNTIFS(Cleaned!$C$2:$C$125,3,Cleaned!$FJ$2:$FJ$125,3)+COUNTIFS(Cleaned!$C$2:$C$125,3,Cleaned!$FJ$2:$FJ$125,4)+COUNTIFS(Cleaned!$C$2:$C$125,3,Cleaned!$FJ$2:$FJ$125,5)+COUNTIFS(Cleaned!$C$2:$C$125,3,Cleaned!$FJ$2:$FJ$125,6)+COUNTIFS(Cleaned!$C$2:$C$125,3,Cleaned!$FJ$2:$FJ$125,7)+COUNTIFS(Cleaned!$C$2:$C$125,3,Cleaned!$FJ$2:$FJ$125,8)+COUNTIFS(Cleaned!$C$2:$C$125,3,Cleaned!$FJ$2:$FJ$125,9)+COUNTIFS(Cleaned!$C$2:$C$125,3,Cleaned!$FJ$2:$FJ$125,10)+COUNTIFS(Cleaned!$C$2:$C$125,3,Cleaned!$FJ$2:$FJ$125,11)+COUNTIFS(Cleaned!$C$2:$C$125,3,Cleaned!$FJ$2:$FJ$125,12)+COUNTIFS(Cleaned!$C$2:$C$125,4,Cleaned!$FJ$2:$FJ$125,1)+COUNTIFS(Cleaned!$C$2:$C$125,4,Cleaned!$FJ$2:$FJ$125,2)+COUNTIFS(Cleaned!$C$2:$C$125,4,Cleaned!$FJ$2:$FJ$125,3)+COUNTIFS(Cleaned!$C$2:$C$125,4,Cleaned!$FJ$2:$FJ$125,4)+COUNTIFS(Cleaned!$C$2:$C$125,4,Cleaned!$FJ$2:$FJ$125,5)+COUNTIFS(Cleaned!$C$2:$C$125,4,Cleaned!$FJ$2:$FJ$125,6)+COUNTIFS(Cleaned!$C$2:$C$125,4,Cleaned!$FJ$2:$FJ$125,7)+COUNTIFS(Cleaned!$C$2:$C$125,4,Cleaned!$FJ$2:$FJ$125,8)+COUNTIFS(Cleaned!$C$2:$C$125,4,Cleaned!$FJ$2:$FJ$125,9)+COUNTIFS(Cleaned!$C$2:$C$125,4,Cleaned!$FJ$2:$FJ$125,10)+COUNTIFS(Cleaned!$C$2:$C$125,4,Cleaned!$FJ$2:$FJ$125,11)+COUNTIFS(Cleaned!$C$2:$C$125,4,Cleaned!$FJ$2:$FJ$125,12)+COUNTIFS(Cleaned!$C$2:$C$125,5,Cleaned!$FJ$2:$FJ$125,1)+COUNTIFS(Cleaned!$C$2:$C$125,5,Cleaned!$FJ$2:$FJ$125,2)+COUNTIFS(Cleaned!$C$2:$C$125,5,Cleaned!$FJ$2:$FJ$125,3)+COUNTIFS(Cleaned!$C$2:$C$125,5,Cleaned!$FJ$2:$FJ$125,4)+COUNTIFS(Cleaned!$C$2:$C$125,5,Cleaned!$FJ$2:$FJ$125,5)+COUNTIFS(Cleaned!$C$2:$C$125,5,Cleaned!$FJ$2:$FJ$125,6)+COUNTIFS(Cleaned!$C$2:$C$125,5,Cleaned!$FJ$2:$FJ$125,7)+COUNTIFS(Cleaned!$C$2:$C$125,5,Cleaned!$FJ$2:$FJ$125,8)+COUNTIFS(Cleaned!$C$2:$C$125,5,Cleaned!$FJ$2:$FJ$125,9)+COUNTIFS(Cleaned!$C$2:$C$125,5,Cleaned!$FJ$2:$FJ$125,10)+COUNTIFS(Cleaned!$C$2:$C$125,5,Cleaned!$FJ$2:$FJ$125,11)+COUNTIFS(Cleaned!$C$2:$C$125,5,Cleaned!$FJ$2:$FJ$125,12)</f>
        <v>21</v>
      </c>
      <c r="C95" s="2" t="n">
        <f aca="false">COUNTIFS(Cleaned!$D$2:$D$125,1,Cleaned!$FJ$2:$FJ$125,1)+COUNTIFS(Cleaned!$D$2:$D$125,1,Cleaned!$FJ$2:$FJ$125,2)+COUNTIFS(Cleaned!$D$2:$D$125,1,Cleaned!$FJ$2:$FJ$125,3)+COUNTIFS(Cleaned!$D$2:$D$125,1,Cleaned!$FJ$2:$FJ$125,4)+COUNTIFS(Cleaned!$D$2:$D$125,1,Cleaned!$FJ$2:$FJ$125,5)+COUNTIFS(Cleaned!$D$2:$D$125,1,Cleaned!$FJ$2:$FJ$125,6)+COUNTIFS(Cleaned!$D$2:$D$125,1,Cleaned!$FJ$2:$FJ$125,7)+COUNTIFS(Cleaned!$D$2:$D$125,1,Cleaned!$FJ$2:$FJ$125,8)+COUNTIFS(Cleaned!$D$2:$D$125,1,Cleaned!$FJ$2:$FJ$125,9)+COUNTIFS(Cleaned!$D$2:$D$125,1,Cleaned!$FJ$2:$FJ$125,10)+COUNTIFS(Cleaned!$D$2:$D$125,1,Cleaned!$FJ$2:$FJ$125,11)+COUNTIFS(Cleaned!$D$2:$D$125,1,Cleaned!$FJ$2:$FJ$125,12)+COUNTIFS(Cleaned!$D$2:$D$125,2,Cleaned!$FJ$2:$FJ$125,1)+COUNTIFS(Cleaned!$D$2:$D$125,2,Cleaned!$FJ$2:$FJ$125,2)+COUNTIFS(Cleaned!$D$2:$D$125,2,Cleaned!$FJ$2:$FJ$125,3)+COUNTIFS(Cleaned!$D$2:$D$125,2,Cleaned!$FJ$2:$FJ$125,4)+COUNTIFS(Cleaned!$D$2:$D$125,2,Cleaned!$FJ$2:$FJ$125,5)+COUNTIFS(Cleaned!$D$2:$D$125,2,Cleaned!$FJ$2:$FJ$125,6)+COUNTIFS(Cleaned!$D$2:$D$125,2,Cleaned!$FJ$2:$FJ$125,7)+COUNTIFS(Cleaned!$D$2:$D$125,2,Cleaned!$FJ$2:$FJ$125,8)+COUNTIFS(Cleaned!$D$2:$D$125,2,Cleaned!$FJ$2:$FJ$125,9)+COUNTIFS(Cleaned!$D$2:$D$125,2,Cleaned!$FJ$2:$FJ$125,10)+COUNTIFS(Cleaned!$D$2:$D$125,2,Cleaned!$FJ$2:$FJ$125,11)+COUNTIFS(Cleaned!$D$2:$D$125,2,Cleaned!$FJ$2:$FJ$125,12)+COUNTIFS(Cleaned!$D$2:$D$125,3,Cleaned!$FJ$2:$FJ$125,1)+COUNTIFS(Cleaned!$D$2:$D$125,3,Cleaned!$FJ$2:$FJ$125,2)+COUNTIFS(Cleaned!$D$2:$D$125,3,Cleaned!$FJ$2:$FJ$125,3)+COUNTIFS(Cleaned!$D$2:$D$125,3,Cleaned!$FJ$2:$FJ$125,4)+COUNTIFS(Cleaned!$D$2:$D$125,3,Cleaned!$FJ$2:$FJ$125,5)+COUNTIFS(Cleaned!$D$2:$D$125,3,Cleaned!$FJ$2:$FJ$125,6)+COUNTIFS(Cleaned!$D$2:$D$125,3,Cleaned!$FJ$2:$FJ$125,7)+COUNTIFS(Cleaned!$D$2:$D$125,3,Cleaned!$FJ$2:$FJ$125,8)+COUNTIFS(Cleaned!$D$2:$D$125,3,Cleaned!$FJ$2:$FJ$125,9)+COUNTIFS(Cleaned!$D$2:$D$125,3,Cleaned!$FJ$2:$FJ$125,10)+COUNTIFS(Cleaned!$D$2:$D$125,3,Cleaned!$FJ$2:$FJ$125,11)+COUNTIFS(Cleaned!$D$2:$D$125,3,Cleaned!$FJ$2:$FJ$125,12)+COUNTIFS(Cleaned!$D$2:$D$125,4,Cleaned!$FJ$2:$FJ$125,1)+COUNTIFS(Cleaned!$D$2:$D$125,4,Cleaned!$FJ$2:$FJ$125,2)+COUNTIFS(Cleaned!$D$2:$D$125,4,Cleaned!$FJ$2:$FJ$125,3)+COUNTIFS(Cleaned!$D$2:$D$125,4,Cleaned!$FJ$2:$FJ$125,4)+COUNTIFS(Cleaned!$D$2:$D$125,4,Cleaned!$FJ$2:$FJ$125,5)+COUNTIFS(Cleaned!$D$2:$D$125,4,Cleaned!$FJ$2:$FJ$125,6)+COUNTIFS(Cleaned!$D$2:$D$125,4,Cleaned!$FJ$2:$FJ$125,7)+COUNTIFS(Cleaned!$D$2:$D$125,4,Cleaned!$FJ$2:$FJ$125,8)+COUNTIFS(Cleaned!$D$2:$D$125,4,Cleaned!$FJ$2:$FJ$125,9)+COUNTIFS(Cleaned!$D$2:$D$125,4,Cleaned!$FJ$2:$FJ$125,10)+COUNTIFS(Cleaned!$D$2:$D$125,4,Cleaned!$FJ$2:$FJ$125,11)+COUNTIFS(Cleaned!$D$2:$D$125,4,Cleaned!$FJ$2:$FJ$125,12)+COUNTIFS(Cleaned!$D$2:$D$125,5,Cleaned!$FJ$2:$FJ$125,1)+COUNTIFS(Cleaned!$D$2:$D$125,5,Cleaned!$FJ$2:$FJ$125,2)+COUNTIFS(Cleaned!$D$2:$D$125,5,Cleaned!$FJ$2:$FJ$125,3)+COUNTIFS(Cleaned!$D$2:$D$125,5,Cleaned!$FJ$2:$FJ$125,4)+COUNTIFS(Cleaned!$D$2:$D$125,5,Cleaned!$FJ$2:$FJ$125,5)+COUNTIFS(Cleaned!$D$2:$D$125,5,Cleaned!$FJ$2:$FJ$125,6)+COUNTIFS(Cleaned!$D$2:$D$125,5,Cleaned!$FJ$2:$FJ$125,7)+COUNTIFS(Cleaned!$D$2:$D$125,5,Cleaned!$FJ$2:$FJ$125,8)+COUNTIFS(Cleaned!$D$2:$D$125,5,Cleaned!$FJ$2:$FJ$125,9)+COUNTIFS(Cleaned!$D$2:$D$125,5,Cleaned!$FJ$2:$FJ$125,10)+COUNTIFS(Cleaned!$D$2:$D$125,5,Cleaned!$FJ$2:$FJ$125,11)+COUNTIFS(Cleaned!$D$2:$D$125,5,Cleaned!$FJ$2:$FJ$125,12)+COUNTIFS(Cleaned!$D$2:$D$125,6,Cleaned!$FJ$2:$FJ$125,1)+COUNTIFS(Cleaned!$D$2:$D$125,6,Cleaned!$FJ$2:$FJ$125,2)+COUNTIFS(Cleaned!$D$2:$D$125,6,Cleaned!$FJ$2:$FJ$125,3)+COUNTIFS(Cleaned!$D$2:$D$125,6,Cleaned!$FJ$2:$FJ$125,4)+COUNTIFS(Cleaned!$D$2:$D$125,6,Cleaned!$FJ$2:$FJ$125,5)+COUNTIFS(Cleaned!$D$2:$D$125,6,Cleaned!$FJ$2:$FJ$125,6)+COUNTIFS(Cleaned!$D$2:$D$125,6,Cleaned!$FJ$2:$FJ$125,7)+COUNTIFS(Cleaned!$D$2:$D$125,6,Cleaned!$FJ$2:$FJ$125,8)+COUNTIFS(Cleaned!$D$2:$D$125,6,Cleaned!$FJ$2:$FJ$125,9)+COUNTIFS(Cleaned!$D$2:$D$125,6,Cleaned!$FJ$2:$FJ$125,10)+COUNTIFS(Cleaned!$D$2:$D$125,6,Cleaned!$FJ$2:$FJ$125,11)+COUNTIFS(Cleaned!$D$2:$D$125,6,Cleaned!$FJ$2:$FJ$125,12)+COUNTIFS(Cleaned!$D$2:$D$125,7,Cleaned!$FJ$2:$FJ$125,1)+COUNTIFS(Cleaned!$D$2:$D$125,7,Cleaned!$FJ$2:$FJ$125,2)+COUNTIFS(Cleaned!$D$2:$D$125,7,Cleaned!$FJ$2:$FJ$125,3)+COUNTIFS(Cleaned!$D$2:$D$125,7,Cleaned!$FJ$2:$FJ$125,4)+COUNTIFS(Cleaned!$D$2:$D$125,7,Cleaned!$FJ$2:$FJ$125,5)+COUNTIFS(Cleaned!$D$2:$D$125,7,Cleaned!$FJ$2:$FJ$125,6)+COUNTIFS(Cleaned!$D$2:$D$125,7,Cleaned!$FJ$2:$FJ$125,7)+COUNTIFS(Cleaned!$D$2:$D$125,7,Cleaned!$FJ$2:$FJ$125,8)+COUNTIFS(Cleaned!$D$2:$D$125,7,Cleaned!$FJ$2:$FJ$125,9)+COUNTIFS(Cleaned!$D$2:$D$125,7,Cleaned!$FJ$2:$FJ$125,10)+COUNTIFS(Cleaned!$D$2:$D$125,7,Cleaned!$FJ$2:$FJ$125,11)+COUNTIFS(Cleaned!$D$2:$D$125,7,Cleaned!$FJ$2:$FJ$125,12)+COUNTIFS(Cleaned!$D$2:$D$125,8,Cleaned!$FJ$2:$FJ$125,1)+COUNTIFS(Cleaned!$D$2:$D$125,8,Cleaned!$FJ$2:$FJ$125,2)+COUNTIFS(Cleaned!$D$2:$D$125,8,Cleaned!$FJ$2:$FJ$125,3)+COUNTIFS(Cleaned!$D$2:$D$125,8,Cleaned!$FJ$2:$FJ$125,4)+COUNTIFS(Cleaned!$D$2:$D$125,8,Cleaned!$FJ$2:$FJ$125,5)+COUNTIFS(Cleaned!$D$2:$D$125,8,Cleaned!$FJ$2:$FJ$125,6)+COUNTIFS(Cleaned!$D$2:$D$125,8,Cleaned!$FJ$2:$FJ$125,7)+COUNTIFS(Cleaned!$D$2:$D$125,8,Cleaned!$FJ$2:$FJ$125,8)+COUNTIFS(Cleaned!$D$2:$D$125,8,Cleaned!$FJ$2:$FJ$125,9)+COUNTIFS(Cleaned!$D$2:$D$125,8,Cleaned!$FJ$2:$FJ$125,10)+COUNTIFS(Cleaned!$D$2:$D$125,8,Cleaned!$FJ$2:$FJ$125,11)+COUNTIFS(Cleaned!$D$2:$D$125,8,Cleaned!$FJ$2:$FJ$125,12)+COUNTIFS(Cleaned!$D$2:$D$125,9,Cleaned!$FJ$2:$FJ$125,1)+COUNTIFS(Cleaned!$D$2:$D$125,9,Cleaned!$FJ$2:$FJ$125,2)+COUNTIFS(Cleaned!$D$2:$D$125,9,Cleaned!$FJ$2:$FJ$125,3)+COUNTIFS(Cleaned!$D$2:$D$125,9,Cleaned!$FJ$2:$FJ$125,4)+COUNTIFS(Cleaned!$D$2:$D$125,9,Cleaned!$FJ$2:$FJ$125,5)+COUNTIFS(Cleaned!$D$2:$D$125,9,Cleaned!$FJ$2:$FJ$125,6)+COUNTIFS(Cleaned!$D$2:$D$125,9,Cleaned!$FJ$2:$FJ$125,7)+COUNTIFS(Cleaned!$D$2:$D$125,9,Cleaned!$FJ$2:$FJ$125,8)+COUNTIFS(Cleaned!$D$2:$D$125,9,Cleaned!$FJ$2:$FJ$125,9)+COUNTIFS(Cleaned!$D$2:$D$125,9,Cleaned!$FJ$2:$FJ$125,10)+COUNTIFS(Cleaned!$D$2:$D$125,9,Cleaned!$FJ$2:$FJ$125,11)+COUNTIFS(Cleaned!$D$2:$D$125,9,Cleaned!$FJ$2:$FJ$125,12)+COUNTIFS(Cleaned!$D$2:$D$125,10,Cleaned!$FJ$2:$FJ$125,1)+COUNTIFS(Cleaned!$D$2:$D$125,10,Cleaned!$FJ$2:$FJ$125,2)+COUNTIFS(Cleaned!$D$2:$D$125,10,Cleaned!$FJ$2:$FJ$125,3)+COUNTIFS(Cleaned!$D$2:$D$125,10,Cleaned!$FJ$2:$FJ$125,4)+COUNTIFS(Cleaned!$D$2:$D$125,10,Cleaned!$FJ$2:$FJ$125,5)+COUNTIFS(Cleaned!$D$2:$D$125,10,Cleaned!$FJ$2:$FJ$125,6)+COUNTIFS(Cleaned!$D$2:$D$125,10,Cleaned!$FJ$2:$FJ$125,7)+COUNTIFS(Cleaned!$D$2:$D$125,10,Cleaned!$FJ$2:$FJ$125,8)+COUNTIFS(Cleaned!$D$2:$D$125,10,Cleaned!$FJ$2:$FJ$125,9)+COUNTIFS(Cleaned!$D$2:$D$125,10,Cleaned!$FJ$2:$FJ$125,10)+COUNTIFS(Cleaned!$D$2:$D$125,10,Cleaned!$FJ$2:$FJ$125,11)+COUNTIFS(Cleaned!$D$2:$D$125,10,Cleaned!$FJ$2:$FJ$125,12)+COUNTIFS(Cleaned!$D$2:$D$125,11,Cleaned!$FJ$2:$FJ$125,1)+COUNTIFS(Cleaned!$D$2:$D$125,11,Cleaned!$FJ$2:$FJ$125,2)+COUNTIFS(Cleaned!$D$2:$D$125,11,Cleaned!$FJ$2:$FJ$125,3)+COUNTIFS(Cleaned!$D$2:$D$125,11,Cleaned!$FJ$2:$FJ$125,4)+COUNTIFS(Cleaned!$D$2:$D$125,11,Cleaned!$FJ$2:$FJ$125,5)+COUNTIFS(Cleaned!$D$2:$D$125,11,Cleaned!$FJ$2:$FJ$125,6)+COUNTIFS(Cleaned!$D$2:$D$125,11,Cleaned!$FJ$2:$FJ$125,7)+COUNTIFS(Cleaned!$D$2:$D$125,11,Cleaned!$FJ$2:$FJ$125,8)+COUNTIFS(Cleaned!$D$2:$D$125,11,Cleaned!$FJ$2:$FJ$125,9)+COUNTIFS(Cleaned!$D$2:$D$125,11,Cleaned!$FJ$2:$FJ$125,10)+COUNTIFS(Cleaned!$D$2:$D$125,11,Cleaned!$FJ$2:$FJ$125,11)+COUNTIFS(Cleaned!$D$2:$D$125,11,Cleaned!$FJ$2:$FJ$125,12)+COUNTIFS(Cleaned!$D$2:$D$125,12,Cleaned!$FJ$2:$FJ$125,1)+COUNTIFS(Cleaned!$D$2:$D$125,12,Cleaned!$FJ$2:$FJ$125,2)+COUNTIFS(Cleaned!$D$2:$D$125,12,Cleaned!$FJ$2:$FJ$125,3)+COUNTIFS(Cleaned!$D$2:$D$125,12,Cleaned!$FJ$2:$FJ$125,4)+COUNTIFS(Cleaned!$D$2:$D$125,12,Cleaned!$FJ$2:$FJ$125,5)+COUNTIFS(Cleaned!$D$2:$D$125,12,Cleaned!$FJ$2:$FJ$125,6)+COUNTIFS(Cleaned!$D$2:$D$125,12,Cleaned!$FJ$2:$FJ$125,7)+COUNTIFS(Cleaned!$D$2:$D$125,12,Cleaned!$FJ$2:$FJ$125,8)+COUNTIFS(Cleaned!$D$2:$D$125,12,Cleaned!$FJ$2:$FJ$125,9)+COUNTIFS(Cleaned!$D$2:$D$125,12,Cleaned!$FJ$2:$FJ$125,10)+COUNTIFS(Cleaned!$D$2:$D$125,12,Cleaned!$FJ$2:$FJ$125,11)+COUNTIFS(Cleaned!$D$2:$D$125,12,Cleaned!$FJ$2:$FJ$125,12)</f>
        <v>21</v>
      </c>
      <c r="D95" s="2" t="str">
        <f aca="false">IF(B95=C95,"OK","FAIL")</f>
        <v>OK</v>
      </c>
    </row>
    <row r="96" customFormat="false" ht="15" hidden="false" customHeight="false" outlineLevel="0" collapsed="false">
      <c r="A96" s="2" t="s">
        <v>1012</v>
      </c>
      <c r="B96" s="2" t="n">
        <f aca="false">COUNTIFS(Cleaned!$C$2:$C$125,1,Cleaned!$FL$2:$FL$125,1)+COUNTIFS(Cleaned!$C$2:$C$125,1,Cleaned!$FL$2:$FL$125,2)+COUNTIFS(Cleaned!$C$2:$C$125,1,Cleaned!$FL$2:$FL$125,3)+COUNTIFS(Cleaned!$C$2:$C$125,1,Cleaned!$FL$2:$FL$125,4)+COUNTIFS(Cleaned!$C$2:$C$125,1,Cleaned!$FL$2:$FL$125,5)+COUNTIFS(Cleaned!$C$2:$C$125,1,Cleaned!$FL$2:$FL$125,6)+COUNTIFS(Cleaned!$C$2:$C$125,1,Cleaned!$FL$2:$FL$125,7)+COUNTIFS(Cleaned!$C$2:$C$125,1,Cleaned!$FL$2:$FL$125,8)+COUNTIFS(Cleaned!$C$2:$C$125,1,Cleaned!$FL$2:$FL$125,9)+COUNTIFS(Cleaned!$C$2:$C$125,2,Cleaned!$FL$2:$FL$125,1)+COUNTIFS(Cleaned!$C$2:$C$125,2,Cleaned!$FL$2:$FL$125,2)+COUNTIFS(Cleaned!$C$2:$C$125,2,Cleaned!$FL$2:$FL$125,3)+COUNTIFS(Cleaned!$C$2:$C$125,2,Cleaned!$FL$2:$FL$125,4)+COUNTIFS(Cleaned!$C$2:$C$125,2,Cleaned!$FL$2:$FL$125,5)+COUNTIFS(Cleaned!$C$2:$C$125,2,Cleaned!$FL$2:$FL$125,6)+COUNTIFS(Cleaned!$C$2:$C$125,2,Cleaned!$FL$2:$FL$125,7)+COUNTIFS(Cleaned!$C$2:$C$125,2,Cleaned!$FL$2:$FL$125,8)+COUNTIFS(Cleaned!$C$2:$C$125,2,Cleaned!$FL$2:$FL$125,9)+COUNTIFS(Cleaned!$C$2:$C$125,3,Cleaned!$FL$2:$FL$125,1)+COUNTIFS(Cleaned!$C$2:$C$125,3,Cleaned!$FL$2:$FL$125,2)+COUNTIFS(Cleaned!$C$2:$C$125,3,Cleaned!$FL$2:$FL$125,3)+COUNTIFS(Cleaned!$C$2:$C$125,3,Cleaned!$FL$2:$FL$125,4)+COUNTIFS(Cleaned!$C$2:$C$125,3,Cleaned!$FL$2:$FL$125,5)+COUNTIFS(Cleaned!$C$2:$C$125,3,Cleaned!$FL$2:$FL$125,6)+COUNTIFS(Cleaned!$C$2:$C$125,3,Cleaned!$FL$2:$FL$125,7)+COUNTIFS(Cleaned!$C$2:$C$125,3,Cleaned!$FL$2:$FL$125,8)+COUNTIFS(Cleaned!$C$2:$C$125,3,Cleaned!$FL$2:$FL$125,9)+COUNTIFS(Cleaned!$C$2:$C$125,4,Cleaned!$FL$2:$FL$125,1)+COUNTIFS(Cleaned!$C$2:$C$125,4,Cleaned!$FL$2:$FL$125,2)+COUNTIFS(Cleaned!$C$2:$C$125,4,Cleaned!$FL$2:$FL$125,3)+COUNTIFS(Cleaned!$C$2:$C$125,4,Cleaned!$FL$2:$FL$125,4)+COUNTIFS(Cleaned!$C$2:$C$125,4,Cleaned!$FL$2:$FL$125,5)+COUNTIFS(Cleaned!$C$2:$C$125,4,Cleaned!$FL$2:$FL$125,6)+COUNTIFS(Cleaned!$C$2:$C$125,4,Cleaned!$FL$2:$FL$125,7)+COUNTIFS(Cleaned!$C$2:$C$125,4,Cleaned!$FL$2:$FL$125,8)+COUNTIFS(Cleaned!$C$2:$C$125,4,Cleaned!$FL$2:$FL$125,9)+COUNTIFS(Cleaned!$C$2:$C$125,5,Cleaned!$FL$2:$FL$125,1)+COUNTIFS(Cleaned!$C$2:$C$125,5,Cleaned!$FL$2:$FL$125,2)+COUNTIFS(Cleaned!$C$2:$C$125,5,Cleaned!$FL$2:$FL$125,3)+COUNTIFS(Cleaned!$C$2:$C$125,5,Cleaned!$FL$2:$FL$125,4)+COUNTIFS(Cleaned!$C$2:$C$125,5,Cleaned!$FL$2:$FL$125,5)+COUNTIFS(Cleaned!$C$2:$C$125,5,Cleaned!$FL$2:$FL$125,6)+COUNTIFS(Cleaned!$C$2:$C$125,5,Cleaned!$FL$2:$FL$125,7)+COUNTIFS(Cleaned!$C$2:$C$125,5,Cleaned!$FL$2:$FL$125,8)+COUNTIFS(Cleaned!$C$2:$C$125,5,Cleaned!$FL$2:$FL$125,9)</f>
        <v>21</v>
      </c>
      <c r="C96" s="2" t="n">
        <f aca="false">COUNTIFS(Cleaned!$D$2:$D$125,1,Cleaned!$FL$2:$FL$125,1)+COUNTIFS(Cleaned!$D$2:$D$125,1,Cleaned!$FL$2:$FL$125,2)+COUNTIFS(Cleaned!$D$2:$D$125,1,Cleaned!$FL$2:$FL$125,3)+COUNTIFS(Cleaned!$D$2:$D$125,1,Cleaned!$FL$2:$FL$125,4)+COUNTIFS(Cleaned!$D$2:$D$125,1,Cleaned!$FL$2:$FL$125,5)+COUNTIFS(Cleaned!$D$2:$D$125,1,Cleaned!$FL$2:$FL$125,6)+COUNTIFS(Cleaned!$D$2:$D$125,1,Cleaned!$FL$2:$FL$125,7)+COUNTIFS(Cleaned!$D$2:$D$125,1,Cleaned!$FL$2:$FL$125,8)+COUNTIFS(Cleaned!$D$2:$D$125,1,Cleaned!$FL$2:$FL$125,9)+COUNTIFS(Cleaned!$D$2:$D$125,2,Cleaned!$FL$2:$FL$125,1)+COUNTIFS(Cleaned!$D$2:$D$125,2,Cleaned!$FL$2:$FL$125,2)+COUNTIFS(Cleaned!$D$2:$D$125,2,Cleaned!$FL$2:$FL$125,3)+COUNTIFS(Cleaned!$D$2:$D$125,2,Cleaned!$FL$2:$FL$125,4)+COUNTIFS(Cleaned!$D$2:$D$125,2,Cleaned!$FL$2:$FL$125,5)+COUNTIFS(Cleaned!$D$2:$D$125,2,Cleaned!$FL$2:$FL$125,6)+COUNTIFS(Cleaned!$D$2:$D$125,2,Cleaned!$FL$2:$FL$125,7)+COUNTIFS(Cleaned!$D$2:$D$125,2,Cleaned!$FL$2:$FL$125,8)+COUNTIFS(Cleaned!$D$2:$D$125,2,Cleaned!$FL$2:$FL$125,9)+COUNTIFS(Cleaned!$D$2:$D$125,3,Cleaned!$FL$2:$FL$125,1)+COUNTIFS(Cleaned!$D$2:$D$125,3,Cleaned!$FL$2:$FL$125,2)+COUNTIFS(Cleaned!$D$2:$D$125,3,Cleaned!$FL$2:$FL$125,3)+COUNTIFS(Cleaned!$D$2:$D$125,3,Cleaned!$FL$2:$FL$125,4)+COUNTIFS(Cleaned!$D$2:$D$125,3,Cleaned!$FL$2:$FL$125,5)+COUNTIFS(Cleaned!$D$2:$D$125,3,Cleaned!$FL$2:$FL$125,6)+COUNTIFS(Cleaned!$D$2:$D$125,3,Cleaned!$FL$2:$FL$125,7)+COUNTIFS(Cleaned!$D$2:$D$125,3,Cleaned!$FL$2:$FL$125,8)+COUNTIFS(Cleaned!$D$2:$D$125,3,Cleaned!$FL$2:$FL$125,9)+COUNTIFS(Cleaned!$D$2:$D$125,4,Cleaned!$FL$2:$FL$125,1)+COUNTIFS(Cleaned!$D$2:$D$125,4,Cleaned!$FL$2:$FL$125,2)+COUNTIFS(Cleaned!$D$2:$D$125,4,Cleaned!$FL$2:$FL$125,3)+COUNTIFS(Cleaned!$D$2:$D$125,4,Cleaned!$FL$2:$FL$125,4)+COUNTIFS(Cleaned!$D$2:$D$125,4,Cleaned!$FL$2:$FL$125,5)+COUNTIFS(Cleaned!$D$2:$D$125,4,Cleaned!$FL$2:$FL$125,6)+COUNTIFS(Cleaned!$D$2:$D$125,4,Cleaned!$FL$2:$FL$125,7)+COUNTIFS(Cleaned!$D$2:$D$125,4,Cleaned!$FL$2:$FL$125,8)+COUNTIFS(Cleaned!$D$2:$D$125,4,Cleaned!$FL$2:$FL$125,9)+COUNTIFS(Cleaned!$D$2:$D$125,5,Cleaned!$FL$2:$FL$125,1)+COUNTIFS(Cleaned!$D$2:$D$125,5,Cleaned!$FL$2:$FL$125,2)+COUNTIFS(Cleaned!$D$2:$D$125,5,Cleaned!$FL$2:$FL$125,3)+COUNTIFS(Cleaned!$D$2:$D$125,5,Cleaned!$FL$2:$FL$125,4)+COUNTIFS(Cleaned!$D$2:$D$125,5,Cleaned!$FL$2:$FL$125,5)+COUNTIFS(Cleaned!$D$2:$D$125,5,Cleaned!$FL$2:$FL$125,6)+COUNTIFS(Cleaned!$D$2:$D$125,5,Cleaned!$FL$2:$FL$125,7)+COUNTIFS(Cleaned!$D$2:$D$125,5,Cleaned!$FL$2:$FL$125,8)+COUNTIFS(Cleaned!$D$2:$D$125,5,Cleaned!$FL$2:$FL$125,9)+COUNTIFS(Cleaned!$D$2:$D$125,6,Cleaned!$FL$2:$FL$125,1)+COUNTIFS(Cleaned!$D$2:$D$125,6,Cleaned!$FL$2:$FL$125,2)+COUNTIFS(Cleaned!$D$2:$D$125,6,Cleaned!$FL$2:$FL$125,3)+COUNTIFS(Cleaned!$D$2:$D$125,6,Cleaned!$FL$2:$FL$125,4)+COUNTIFS(Cleaned!$D$2:$D$125,6,Cleaned!$FL$2:$FL$125,5)+COUNTIFS(Cleaned!$D$2:$D$125,6,Cleaned!$FL$2:$FL$125,6)+COUNTIFS(Cleaned!$D$2:$D$125,6,Cleaned!$FL$2:$FL$125,7)+COUNTIFS(Cleaned!$D$2:$D$125,6,Cleaned!$FL$2:$FL$125,8)+COUNTIFS(Cleaned!$D$2:$D$125,6,Cleaned!$FL$2:$FL$125,9)+COUNTIFS(Cleaned!$D$2:$D$125,7,Cleaned!$FL$2:$FL$125,1)+COUNTIFS(Cleaned!$D$2:$D$125,7,Cleaned!$FL$2:$FL$125,2)+COUNTIFS(Cleaned!$D$2:$D$125,7,Cleaned!$FL$2:$FL$125,3)+COUNTIFS(Cleaned!$D$2:$D$125,7,Cleaned!$FL$2:$FL$125,4)+COUNTIFS(Cleaned!$D$2:$D$125,7,Cleaned!$FL$2:$FL$125,5)+COUNTIFS(Cleaned!$D$2:$D$125,7,Cleaned!$FL$2:$FL$125,6)+COUNTIFS(Cleaned!$D$2:$D$125,7,Cleaned!$FL$2:$FL$125,7)+COUNTIFS(Cleaned!$D$2:$D$125,7,Cleaned!$FL$2:$FL$125,8)+COUNTIFS(Cleaned!$D$2:$D$125,7,Cleaned!$FL$2:$FL$125,9)+COUNTIFS(Cleaned!$D$2:$D$125,8,Cleaned!$FL$2:$FL$125,1)+COUNTIFS(Cleaned!$D$2:$D$125,8,Cleaned!$FL$2:$FL$125,2)+COUNTIFS(Cleaned!$D$2:$D$125,8,Cleaned!$FL$2:$FL$125,3)+COUNTIFS(Cleaned!$D$2:$D$125,8,Cleaned!$FL$2:$FL$125,4)+COUNTIFS(Cleaned!$D$2:$D$125,8,Cleaned!$FL$2:$FL$125,5)+COUNTIFS(Cleaned!$D$2:$D$125,8,Cleaned!$FL$2:$FL$125,6)+COUNTIFS(Cleaned!$D$2:$D$125,8,Cleaned!$FL$2:$FL$125,7)+COUNTIFS(Cleaned!$D$2:$D$125,8,Cleaned!$FL$2:$FL$125,8)+COUNTIFS(Cleaned!$D$2:$D$125,8,Cleaned!$FL$2:$FL$125,9)+COUNTIFS(Cleaned!$D$2:$D$125,9,Cleaned!$FL$2:$FL$125,1)+COUNTIFS(Cleaned!$D$2:$D$125,9,Cleaned!$FL$2:$FL$125,2)+COUNTIFS(Cleaned!$D$2:$D$125,9,Cleaned!$FL$2:$FL$125,3)+COUNTIFS(Cleaned!$D$2:$D$125,9,Cleaned!$FL$2:$FL$125,4)+COUNTIFS(Cleaned!$D$2:$D$125,9,Cleaned!$FL$2:$FL$125,5)+COUNTIFS(Cleaned!$D$2:$D$125,9,Cleaned!$FL$2:$FL$125,6)+COUNTIFS(Cleaned!$D$2:$D$125,9,Cleaned!$FL$2:$FL$125,7)+COUNTIFS(Cleaned!$D$2:$D$125,9,Cleaned!$FL$2:$FL$125,8)+COUNTIFS(Cleaned!$D$2:$D$125,9,Cleaned!$FL$2:$FL$125,9)+COUNTIFS(Cleaned!$D$2:$D$125,10,Cleaned!$FL$2:$FL$125,1)+COUNTIFS(Cleaned!$D$2:$D$125,10,Cleaned!$FL$2:$FL$125,2)+COUNTIFS(Cleaned!$D$2:$D$125,10,Cleaned!$FL$2:$FL$125,3)+COUNTIFS(Cleaned!$D$2:$D$125,10,Cleaned!$FL$2:$FL$125,4)+COUNTIFS(Cleaned!$D$2:$D$125,10,Cleaned!$FL$2:$FL$125,5)+COUNTIFS(Cleaned!$D$2:$D$125,10,Cleaned!$FL$2:$FL$125,6)+COUNTIFS(Cleaned!$D$2:$D$125,10,Cleaned!$FL$2:$FL$125,7)+COUNTIFS(Cleaned!$D$2:$D$125,10,Cleaned!$FL$2:$FL$125,8)+COUNTIFS(Cleaned!$D$2:$D$125,10,Cleaned!$FL$2:$FL$125,9)+COUNTIFS(Cleaned!$D$2:$D$125,11,Cleaned!$FL$2:$FL$125,1)+COUNTIFS(Cleaned!$D$2:$D$125,11,Cleaned!$FL$2:$FL$125,2)+COUNTIFS(Cleaned!$D$2:$D$125,11,Cleaned!$FL$2:$FL$125,3)+COUNTIFS(Cleaned!$D$2:$D$125,11,Cleaned!$FL$2:$FL$125,4)+COUNTIFS(Cleaned!$D$2:$D$125,11,Cleaned!$FL$2:$FL$125,5)+COUNTIFS(Cleaned!$D$2:$D$125,11,Cleaned!$FL$2:$FL$125,6)+COUNTIFS(Cleaned!$D$2:$D$125,11,Cleaned!$FL$2:$FL$125,7)+COUNTIFS(Cleaned!$D$2:$D$125,11,Cleaned!$FL$2:$FL$125,8)+COUNTIFS(Cleaned!$D$2:$D$125,11,Cleaned!$FL$2:$FL$125,9)+COUNTIFS(Cleaned!$D$2:$D$125,12,Cleaned!$FL$2:$FL$125,1)+COUNTIFS(Cleaned!$D$2:$D$125,12,Cleaned!$FL$2:$FL$125,2)+COUNTIFS(Cleaned!$D$2:$D$125,12,Cleaned!$FL$2:$FL$125,3)+COUNTIFS(Cleaned!$D$2:$D$125,12,Cleaned!$FL$2:$FL$125,4)+COUNTIFS(Cleaned!$D$2:$D$125,12,Cleaned!$FL$2:$FL$125,5)+COUNTIFS(Cleaned!$D$2:$D$125,12,Cleaned!$FL$2:$FL$125,6)+COUNTIFS(Cleaned!$D$2:$D$125,12,Cleaned!$FL$2:$FL$125,7)+COUNTIFS(Cleaned!$D$2:$D$125,12,Cleaned!$FL$2:$FL$125,8)+COUNTIFS(Cleaned!$D$2:$D$125,12,Cleaned!$FL$2:$FL$125,9)</f>
        <v>21</v>
      </c>
      <c r="D96" s="2" t="str">
        <f aca="false">IF(B96=C96,"OK","FAIL")</f>
        <v>OK</v>
      </c>
    </row>
    <row r="97" customFormat="false" ht="15" hidden="false" customHeight="false" outlineLevel="0" collapsed="false">
      <c r="A97" s="2" t="s">
        <v>1012</v>
      </c>
      <c r="B97" s="2" t="n">
        <f aca="false">COUNTIFS(Cleaned!$C$2:$C$125,1,Cleaned!$FN$2:$FN$125,1)+COUNTIFS(Cleaned!$C$2:$C$125,1,Cleaned!$FN$2:$FN$125,2)+COUNTIFS(Cleaned!$C$2:$C$125,1,Cleaned!$FN$2:$FN$125,3)+COUNTIFS(Cleaned!$C$2:$C$125,1,Cleaned!$FN$2:$FN$125,4)+COUNTIFS(Cleaned!$C$2:$C$125,1,Cleaned!$FN$2:$FN$125,5)+COUNTIFS(Cleaned!$C$2:$C$125,2,Cleaned!$FN$2:$FN$125,1)+COUNTIFS(Cleaned!$C$2:$C$125,2,Cleaned!$FN$2:$FN$125,2)+COUNTIFS(Cleaned!$C$2:$C$125,2,Cleaned!$FN$2:$FN$125,3)+COUNTIFS(Cleaned!$C$2:$C$125,2,Cleaned!$FN$2:$FN$125,4)+COUNTIFS(Cleaned!$C$2:$C$125,2,Cleaned!$FN$2:$FN$125,5)+COUNTIFS(Cleaned!$C$2:$C$125,3,Cleaned!$FN$2:$FN$125,1)+COUNTIFS(Cleaned!$C$2:$C$125,3,Cleaned!$FN$2:$FN$125,2)+COUNTIFS(Cleaned!$C$2:$C$125,3,Cleaned!$FN$2:$FN$125,3)+COUNTIFS(Cleaned!$C$2:$C$125,3,Cleaned!$FN$2:$FN$125,4)+COUNTIFS(Cleaned!$C$2:$C$125,3,Cleaned!$FN$2:$FN$125,5)+COUNTIFS(Cleaned!$C$2:$C$125,4,Cleaned!$FN$2:$FN$125,1)+COUNTIFS(Cleaned!$C$2:$C$125,4,Cleaned!$FN$2:$FN$125,2)+COUNTIFS(Cleaned!$C$2:$C$125,4,Cleaned!$FN$2:$FN$125,3)+COUNTIFS(Cleaned!$C$2:$C$125,4,Cleaned!$FN$2:$FN$125,4)+COUNTIFS(Cleaned!$C$2:$C$125,4,Cleaned!$FN$2:$FN$125,5)+COUNTIFS(Cleaned!$C$2:$C$125,5,Cleaned!$FN$2:$FN$125,1)+COUNTIFS(Cleaned!$C$2:$C$125,5,Cleaned!$FN$2:$FN$125,2)+COUNTIFS(Cleaned!$C$2:$C$125,5,Cleaned!$FN$2:$FN$125,3)+COUNTIFS(Cleaned!$C$2:$C$125,5,Cleaned!$FN$2:$FN$125,4)+COUNTIFS(Cleaned!$C$2:$C$125,5,Cleaned!$FN$2:$FN$125,5)</f>
        <v>14</v>
      </c>
      <c r="C97" s="2" t="n">
        <f aca="false">COUNTIFS(Cleaned!$D$2:$D$125,1,Cleaned!$FN$2:$FN$125,1)+COUNTIFS(Cleaned!$D$2:$D$125,1,Cleaned!$FN$2:$FN$125,2)+COUNTIFS(Cleaned!$D$2:$D$125,1,Cleaned!$FN$2:$FN$125,3)+COUNTIFS(Cleaned!$D$2:$D$125,1,Cleaned!$FN$2:$FN$125,4)+COUNTIFS(Cleaned!$D$2:$D$125,1,Cleaned!$FN$2:$FN$125,5)+COUNTIFS(Cleaned!$D$2:$D$125,2,Cleaned!$FN$2:$FN$125,1)+COUNTIFS(Cleaned!$D$2:$D$125,2,Cleaned!$FN$2:$FN$125,2)+COUNTIFS(Cleaned!$D$2:$D$125,2,Cleaned!$FN$2:$FN$125,3)+COUNTIFS(Cleaned!$D$2:$D$125,2,Cleaned!$FN$2:$FN$125,4)+COUNTIFS(Cleaned!$D$2:$D$125,2,Cleaned!$FN$2:$FN$125,5)+COUNTIFS(Cleaned!$D$2:$D$125,3,Cleaned!$FN$2:$FN$125,1)+COUNTIFS(Cleaned!$D$2:$D$125,3,Cleaned!$FN$2:$FN$125,2)+COUNTIFS(Cleaned!$D$2:$D$125,3,Cleaned!$FN$2:$FN$125,3)+COUNTIFS(Cleaned!$D$2:$D$125,3,Cleaned!$FN$2:$FN$125,4)+COUNTIFS(Cleaned!$D$2:$D$125,3,Cleaned!$FN$2:$FN$125,5)+COUNTIFS(Cleaned!$D$2:$D$125,4,Cleaned!$FN$2:$FN$125,1)+COUNTIFS(Cleaned!$D$2:$D$125,4,Cleaned!$FN$2:$FN$125,2)+COUNTIFS(Cleaned!$D$2:$D$125,4,Cleaned!$FN$2:$FN$125,3)+COUNTIFS(Cleaned!$D$2:$D$125,4,Cleaned!$FN$2:$FN$125,4)+COUNTIFS(Cleaned!$D$2:$D$125,4,Cleaned!$FN$2:$FN$125,5)+COUNTIFS(Cleaned!$D$2:$D$125,5,Cleaned!$FN$2:$FN$125,1)+COUNTIFS(Cleaned!$D$2:$D$125,5,Cleaned!$FN$2:$FN$125,2)+COUNTIFS(Cleaned!$D$2:$D$125,5,Cleaned!$FN$2:$FN$125,3)+COUNTIFS(Cleaned!$D$2:$D$125,5,Cleaned!$FN$2:$FN$125,4)+COUNTIFS(Cleaned!$D$2:$D$125,5,Cleaned!$FN$2:$FN$125,5)+COUNTIFS(Cleaned!$D$2:$D$125,6,Cleaned!$FN$2:$FN$125,1)+COUNTIFS(Cleaned!$D$2:$D$125,6,Cleaned!$FN$2:$FN$125,2)+COUNTIFS(Cleaned!$D$2:$D$125,6,Cleaned!$FN$2:$FN$125,3)+COUNTIFS(Cleaned!$D$2:$D$125,6,Cleaned!$FN$2:$FN$125,4)+COUNTIFS(Cleaned!$D$2:$D$125,6,Cleaned!$FN$2:$FN$125,5)+COUNTIFS(Cleaned!$D$2:$D$125,7,Cleaned!$FN$2:$FN$125,1)+COUNTIFS(Cleaned!$D$2:$D$125,7,Cleaned!$FN$2:$FN$125,2)+COUNTIFS(Cleaned!$D$2:$D$125,7,Cleaned!$FN$2:$FN$125,3)+COUNTIFS(Cleaned!$D$2:$D$125,7,Cleaned!$FN$2:$FN$125,4)+COUNTIFS(Cleaned!$D$2:$D$125,7,Cleaned!$FN$2:$FN$125,5)+COUNTIFS(Cleaned!$D$2:$D$125,8,Cleaned!$FN$2:$FN$125,1)+COUNTIFS(Cleaned!$D$2:$D$125,8,Cleaned!$FN$2:$FN$125,2)+COUNTIFS(Cleaned!$D$2:$D$125,8,Cleaned!$FN$2:$FN$125,3)+COUNTIFS(Cleaned!$D$2:$D$125,8,Cleaned!$FN$2:$FN$125,4)+COUNTIFS(Cleaned!$D$2:$D$125,8,Cleaned!$FN$2:$FN$125,5)+COUNTIFS(Cleaned!$D$2:$D$125,9,Cleaned!$FN$2:$FN$125,1)+COUNTIFS(Cleaned!$D$2:$D$125,9,Cleaned!$FN$2:$FN$125,2)+COUNTIFS(Cleaned!$D$2:$D$125,9,Cleaned!$FN$2:$FN$125,3)+COUNTIFS(Cleaned!$D$2:$D$125,9,Cleaned!$FN$2:$FN$125,4)+COUNTIFS(Cleaned!$D$2:$D$125,9,Cleaned!$FN$2:$FN$125,5)+COUNTIFS(Cleaned!$D$2:$D$125,10,Cleaned!$FN$2:$FN$125,1)+COUNTIFS(Cleaned!$D$2:$D$125,10,Cleaned!$FN$2:$FN$125,2)+COUNTIFS(Cleaned!$D$2:$D$125,10,Cleaned!$FN$2:$FN$125,3)+COUNTIFS(Cleaned!$D$2:$D$125,10,Cleaned!$FN$2:$FN$125,4)+COUNTIFS(Cleaned!$D$2:$D$125,10,Cleaned!$FN$2:$FN$125,5)+COUNTIFS(Cleaned!$D$2:$D$125,11,Cleaned!$FN$2:$FN$125,1)+COUNTIFS(Cleaned!$D$2:$D$125,11,Cleaned!$FN$2:$FN$125,2)+COUNTIFS(Cleaned!$D$2:$D$125,11,Cleaned!$FN$2:$FN$125,3)+COUNTIFS(Cleaned!$D$2:$D$125,11,Cleaned!$FN$2:$FN$125,4)+COUNTIFS(Cleaned!$D$2:$D$125,11,Cleaned!$FN$2:$FN$125,5)+COUNTIFS(Cleaned!$D$2:$D$125,12,Cleaned!$FN$2:$FN$125,1)+COUNTIFS(Cleaned!$D$2:$D$125,12,Cleaned!$FN$2:$FN$125,2)+COUNTIFS(Cleaned!$D$2:$D$125,12,Cleaned!$FN$2:$FN$125,3)+COUNTIFS(Cleaned!$D$2:$D$125,12,Cleaned!$FN$2:$FN$125,4)+COUNTIFS(Cleaned!$D$2:$D$125,12,Cleaned!$FN$2:$FN$125,5)</f>
        <v>14</v>
      </c>
      <c r="D97" s="2" t="str">
        <f aca="false">IF(B97=C97,"OK","FAIL")</f>
        <v>OK</v>
      </c>
    </row>
    <row r="98" customFormat="false" ht="15" hidden="false" customHeight="false" outlineLevel="0" collapsed="false">
      <c r="A98" s="2" t="s">
        <v>1018</v>
      </c>
      <c r="B98" s="2" t="n">
        <f aca="false">COUNTIFS(Cleaned!$C$2:$C$125,1,Cleaned!$FR$2:$FR$125,1)+COUNTIFS(Cleaned!$C$2:$C$125,1,Cleaned!$FR$2:$FR$125,2)+COUNTIFS(Cleaned!$C$2:$C$125,1,Cleaned!$FR$2:$FR$125,3)+COUNTIFS(Cleaned!$C$2:$C$125,1,Cleaned!$FR$2:$FR$125,4)+COUNTIFS(Cleaned!$C$2:$C$125,1,Cleaned!$FR$2:$FR$125,5)+COUNTIFS(Cleaned!$C$2:$C$125,1,Cleaned!$FR$2:$FR$125,6)+COUNTIFS(Cleaned!$C$2:$C$125,1,Cleaned!$FR$2:$FR$125,7)+COUNTIFS(Cleaned!$C$2:$C$125,1,Cleaned!$FR$2:$FR$125,8)+COUNTIFS(Cleaned!$C$2:$C$125,2,Cleaned!$FR$2:$FR$125,1)+COUNTIFS(Cleaned!$C$2:$C$125,2,Cleaned!$FR$2:$FR$125,2)+COUNTIFS(Cleaned!$C$2:$C$125,2,Cleaned!$FR$2:$FR$125,3)+COUNTIFS(Cleaned!$C$2:$C$125,2,Cleaned!$FR$2:$FR$125,4)+COUNTIFS(Cleaned!$C$2:$C$125,2,Cleaned!$FR$2:$FR$125,5)+COUNTIFS(Cleaned!$C$2:$C$125,2,Cleaned!$FR$2:$FR$125,6)+COUNTIFS(Cleaned!$C$2:$C$125,2,Cleaned!$FR$2:$FR$125,7)+COUNTIFS(Cleaned!$C$2:$C$125,2,Cleaned!$FR$2:$FR$125,8)+COUNTIFS(Cleaned!$C$2:$C$125,3,Cleaned!$FR$2:$FR$125,1)+COUNTIFS(Cleaned!$C$2:$C$125,3,Cleaned!$FR$2:$FR$125,2)+COUNTIFS(Cleaned!$C$2:$C$125,3,Cleaned!$FR$2:$FR$125,3)+COUNTIFS(Cleaned!$C$2:$C$125,3,Cleaned!$FR$2:$FR$125,4)+COUNTIFS(Cleaned!$C$2:$C$125,3,Cleaned!$FR$2:$FR$125,5)+COUNTIFS(Cleaned!$C$2:$C$125,3,Cleaned!$FR$2:$FR$125,6)+COUNTIFS(Cleaned!$C$2:$C$125,3,Cleaned!$FR$2:$FR$125,7)+COUNTIFS(Cleaned!$C$2:$C$125,3,Cleaned!$FR$2:$FR$125,8)+COUNTIFS(Cleaned!$C$2:$C$125,4,Cleaned!$FR$2:$FR$125,1)+COUNTIFS(Cleaned!$C$2:$C$125,4,Cleaned!$FR$2:$FR$125,2)+COUNTIFS(Cleaned!$C$2:$C$125,4,Cleaned!$FR$2:$FR$125,3)+COUNTIFS(Cleaned!$C$2:$C$125,4,Cleaned!$FR$2:$FR$125,4)+COUNTIFS(Cleaned!$C$2:$C$125,4,Cleaned!$FR$2:$FR$125,5)+COUNTIFS(Cleaned!$C$2:$C$125,4,Cleaned!$FR$2:$FR$125,6)+COUNTIFS(Cleaned!$C$2:$C$125,4,Cleaned!$FR$2:$FR$125,7)+COUNTIFS(Cleaned!$C$2:$C$125,4,Cleaned!$FR$2:$FR$125,8)+COUNTIFS(Cleaned!$C$2:$C$125,5,Cleaned!$FR$2:$FR$125,1)+COUNTIFS(Cleaned!$C$2:$C$125,5,Cleaned!$FR$2:$FR$125,2)+COUNTIFS(Cleaned!$C$2:$C$125,5,Cleaned!$FR$2:$FR$125,3)+COUNTIFS(Cleaned!$C$2:$C$125,5,Cleaned!$FR$2:$FR$125,4)+COUNTIFS(Cleaned!$C$2:$C$125,5,Cleaned!$FR$2:$FR$125,5)+COUNTIFS(Cleaned!$C$2:$C$125,5,Cleaned!$FR$2:$FR$125,6)+COUNTIFS(Cleaned!$C$2:$C$125,5,Cleaned!$FR$2:$FR$125,7)+COUNTIFS(Cleaned!$C$2:$C$125,5,Cleaned!$FR$2:$FR$125,8)</f>
        <v>37</v>
      </c>
      <c r="C98" s="2" t="n">
        <f aca="false">COUNTIFS(Cleaned!$D$2:$D$125,1,Cleaned!$FR$2:$FR$125,1)+COUNTIFS(Cleaned!$D$2:$D$125,1,Cleaned!$FR$2:$FR$125,2)+COUNTIFS(Cleaned!$D$2:$D$125,1,Cleaned!$FR$2:$FR$125,3)+COUNTIFS(Cleaned!$D$2:$D$125,1,Cleaned!$FR$2:$FR$125,4)+COUNTIFS(Cleaned!$D$2:$D$125,1,Cleaned!$FR$2:$FR$125,5)+COUNTIFS(Cleaned!$D$2:$D$125,1,Cleaned!$FR$2:$FR$125,6)+COUNTIFS(Cleaned!$D$2:$D$125,1,Cleaned!$FR$2:$FR$125,7)+COUNTIFS(Cleaned!$D$2:$D$125,1,Cleaned!$FR$2:$FR$125,8)+COUNTIFS(Cleaned!$D$2:$D$125,2,Cleaned!$FR$2:$FR$125,1)+COUNTIFS(Cleaned!$D$2:$D$125,2,Cleaned!$FR$2:$FR$125,2)+COUNTIFS(Cleaned!$D$2:$D$125,2,Cleaned!$FR$2:$FR$125,3)+COUNTIFS(Cleaned!$D$2:$D$125,2,Cleaned!$FR$2:$FR$125,4)+COUNTIFS(Cleaned!$D$2:$D$125,2,Cleaned!$FR$2:$FR$125,5)+COUNTIFS(Cleaned!$D$2:$D$125,2,Cleaned!$FR$2:$FR$125,6)+COUNTIFS(Cleaned!$D$2:$D$125,2,Cleaned!$FR$2:$FR$125,7)+COUNTIFS(Cleaned!$D$2:$D$125,2,Cleaned!$FR$2:$FR$125,8)+COUNTIFS(Cleaned!$D$2:$D$125,3,Cleaned!$FR$2:$FR$125,1)+COUNTIFS(Cleaned!$D$2:$D$125,3,Cleaned!$FR$2:$FR$125,2)+COUNTIFS(Cleaned!$D$2:$D$125,3,Cleaned!$FR$2:$FR$125,3)+COUNTIFS(Cleaned!$D$2:$D$125,3,Cleaned!$FR$2:$FR$125,4)+COUNTIFS(Cleaned!$D$2:$D$125,3,Cleaned!$FR$2:$FR$125,5)+COUNTIFS(Cleaned!$D$2:$D$125,3,Cleaned!$FR$2:$FR$125,6)+COUNTIFS(Cleaned!$D$2:$D$125,3,Cleaned!$FR$2:$FR$125,7)+COUNTIFS(Cleaned!$D$2:$D$125,3,Cleaned!$FR$2:$FR$125,8)+COUNTIFS(Cleaned!$D$2:$D$125,4,Cleaned!$FR$2:$FR$125,1)+COUNTIFS(Cleaned!$D$2:$D$125,4,Cleaned!$FR$2:$FR$125,2)+COUNTIFS(Cleaned!$D$2:$D$125,4,Cleaned!$FR$2:$FR$125,3)+COUNTIFS(Cleaned!$D$2:$D$125,4,Cleaned!$FR$2:$FR$125,4)+COUNTIFS(Cleaned!$D$2:$D$125,4,Cleaned!$FR$2:$FR$125,5)+COUNTIFS(Cleaned!$D$2:$D$125,4,Cleaned!$FR$2:$FR$125,6)+COUNTIFS(Cleaned!$D$2:$D$125,4,Cleaned!$FR$2:$FR$125,7)+COUNTIFS(Cleaned!$D$2:$D$125,4,Cleaned!$FR$2:$FR$125,8)+COUNTIFS(Cleaned!$D$2:$D$125,5,Cleaned!$FR$2:$FR$125,1)+COUNTIFS(Cleaned!$D$2:$D$125,5,Cleaned!$FR$2:$FR$125,2)+COUNTIFS(Cleaned!$D$2:$D$125,5,Cleaned!$FR$2:$FR$125,3)+COUNTIFS(Cleaned!$D$2:$D$125,5,Cleaned!$FR$2:$FR$125,4)+COUNTIFS(Cleaned!$D$2:$D$125,5,Cleaned!$FR$2:$FR$125,5)+COUNTIFS(Cleaned!$D$2:$D$125,5,Cleaned!$FR$2:$FR$125,6)+COUNTIFS(Cleaned!$D$2:$D$125,5,Cleaned!$FR$2:$FR$125,7)+COUNTIFS(Cleaned!$D$2:$D$125,5,Cleaned!$FR$2:$FR$125,8)+COUNTIFS(Cleaned!$D$2:$D$125,6,Cleaned!$FR$2:$FR$125,1)+COUNTIFS(Cleaned!$D$2:$D$125,6,Cleaned!$FR$2:$FR$125,2)+COUNTIFS(Cleaned!$D$2:$D$125,6,Cleaned!$FR$2:$FR$125,3)+COUNTIFS(Cleaned!$D$2:$D$125,6,Cleaned!$FR$2:$FR$125,4)+COUNTIFS(Cleaned!$D$2:$D$125,6,Cleaned!$FR$2:$FR$125,5)+COUNTIFS(Cleaned!$D$2:$D$125,6,Cleaned!$FR$2:$FR$125,6)+COUNTIFS(Cleaned!$D$2:$D$125,6,Cleaned!$FR$2:$FR$125,7)+COUNTIFS(Cleaned!$D$2:$D$125,6,Cleaned!$FR$2:$FR$125,8)+COUNTIFS(Cleaned!$D$2:$D$125,7,Cleaned!$FR$2:$FR$125,1)+COUNTIFS(Cleaned!$D$2:$D$125,7,Cleaned!$FR$2:$FR$125,2)+COUNTIFS(Cleaned!$D$2:$D$125,7,Cleaned!$FR$2:$FR$125,3)+COUNTIFS(Cleaned!$D$2:$D$125,7,Cleaned!$FR$2:$FR$125,4)+COUNTIFS(Cleaned!$D$2:$D$125,7,Cleaned!$FR$2:$FR$125,5)+COUNTIFS(Cleaned!$D$2:$D$125,7,Cleaned!$FR$2:$FR$125,6)+COUNTIFS(Cleaned!$D$2:$D$125,7,Cleaned!$FR$2:$FR$125,7)+COUNTIFS(Cleaned!$D$2:$D$125,7,Cleaned!$FR$2:$FR$125,8)+COUNTIFS(Cleaned!$D$2:$D$125,8,Cleaned!$FR$2:$FR$125,1)+COUNTIFS(Cleaned!$D$2:$D$125,8,Cleaned!$FR$2:$FR$125,2)+COUNTIFS(Cleaned!$D$2:$D$125,8,Cleaned!$FR$2:$FR$125,3)+COUNTIFS(Cleaned!$D$2:$D$125,8,Cleaned!$FR$2:$FR$125,4)+COUNTIFS(Cleaned!$D$2:$D$125,8,Cleaned!$FR$2:$FR$125,5)+COUNTIFS(Cleaned!$D$2:$D$125,8,Cleaned!$FR$2:$FR$125,6)+COUNTIFS(Cleaned!$D$2:$D$125,8,Cleaned!$FR$2:$FR$125,7)+COUNTIFS(Cleaned!$D$2:$D$125,8,Cleaned!$FR$2:$FR$125,8)+COUNTIFS(Cleaned!$D$2:$D$125,9,Cleaned!$FR$2:$FR$125,1)+COUNTIFS(Cleaned!$D$2:$D$125,9,Cleaned!$FR$2:$FR$125,2)+COUNTIFS(Cleaned!$D$2:$D$125,9,Cleaned!$FR$2:$FR$125,3)+COUNTIFS(Cleaned!$D$2:$D$125,9,Cleaned!$FR$2:$FR$125,4)+COUNTIFS(Cleaned!$D$2:$D$125,9,Cleaned!$FR$2:$FR$125,5)+COUNTIFS(Cleaned!$D$2:$D$125,9,Cleaned!$FR$2:$FR$125,6)+COUNTIFS(Cleaned!$D$2:$D$125,9,Cleaned!$FR$2:$FR$125,7)+COUNTIFS(Cleaned!$D$2:$D$125,9,Cleaned!$FR$2:$FR$125,8)+COUNTIFS(Cleaned!$D$2:$D$125,10,Cleaned!$FR$2:$FR$125,1)+COUNTIFS(Cleaned!$D$2:$D$125,10,Cleaned!$FR$2:$FR$125,2)+COUNTIFS(Cleaned!$D$2:$D$125,10,Cleaned!$FR$2:$FR$125,3)+COUNTIFS(Cleaned!$D$2:$D$125,10,Cleaned!$FR$2:$FR$125,4)+COUNTIFS(Cleaned!$D$2:$D$125,10,Cleaned!$FR$2:$FR$125,5)+COUNTIFS(Cleaned!$D$2:$D$125,10,Cleaned!$FR$2:$FR$125,6)+COUNTIFS(Cleaned!$D$2:$D$125,10,Cleaned!$FR$2:$FR$125,7)+COUNTIFS(Cleaned!$D$2:$D$125,10,Cleaned!$FR$2:$FR$125,8)+COUNTIFS(Cleaned!$D$2:$D$125,11,Cleaned!$FR$2:$FR$125,1)+COUNTIFS(Cleaned!$D$2:$D$125,11,Cleaned!$FR$2:$FR$125,2)+COUNTIFS(Cleaned!$D$2:$D$125,11,Cleaned!$FR$2:$FR$125,3)+COUNTIFS(Cleaned!$D$2:$D$125,11,Cleaned!$FR$2:$FR$125,4)+COUNTIFS(Cleaned!$D$2:$D$125,11,Cleaned!$FR$2:$FR$125,5)+COUNTIFS(Cleaned!$D$2:$D$125,11,Cleaned!$FR$2:$FR$125,6)+COUNTIFS(Cleaned!$D$2:$D$125,11,Cleaned!$FR$2:$FR$125,7)+COUNTIFS(Cleaned!$D$2:$D$125,11,Cleaned!$FR$2:$FR$125,8)+COUNTIFS(Cleaned!$D$2:$D$125,12,Cleaned!$FR$2:$FR$125,1)+COUNTIFS(Cleaned!$D$2:$D$125,12,Cleaned!$FR$2:$FR$125,2)+COUNTIFS(Cleaned!$D$2:$D$125,12,Cleaned!$FR$2:$FR$125,3)+COUNTIFS(Cleaned!$D$2:$D$125,12,Cleaned!$FR$2:$FR$125,4)+COUNTIFS(Cleaned!$D$2:$D$125,12,Cleaned!$FR$2:$FR$125,5)+COUNTIFS(Cleaned!$D$2:$D$125,12,Cleaned!$FR$2:$FR$125,6)+COUNTIFS(Cleaned!$D$2:$D$125,12,Cleaned!$FR$2:$FR$125,7)+COUNTIFS(Cleaned!$D$2:$D$125,12,Cleaned!$FR$2:$FR$125,8)</f>
        <v>37</v>
      </c>
      <c r="D98" s="2" t="str">
        <f aca="false">IF(B98=C98,"OK","FAIL")</f>
        <v>OK</v>
      </c>
    </row>
    <row r="99" customFormat="false" ht="15" hidden="false" customHeight="false" outlineLevel="0" collapsed="false">
      <c r="A99" s="2" t="s">
        <v>1018</v>
      </c>
      <c r="B99" s="2" t="n">
        <f aca="false">COUNTIFS(Cleaned!$C$2:$C$125,1,Cleaned!$FS$2:$FS$125,1)+COUNTIFS(Cleaned!$C$2:$C$125,1,Cleaned!$FS$2:$FS$125,2)+COUNTIFS(Cleaned!$C$2:$C$125,1,Cleaned!$FS$2:$FS$125,3)+COUNTIFS(Cleaned!$C$2:$C$125,1,Cleaned!$FS$2:$FS$125,4)+COUNTIFS(Cleaned!$C$2:$C$125,1,Cleaned!$FS$2:$FS$125,5)+COUNTIFS(Cleaned!$C$2:$C$125,1,Cleaned!$FS$2:$FS$125,6)+COUNTIFS(Cleaned!$C$2:$C$125,1,Cleaned!$FS$2:$FS$125,7)+COUNTIFS(Cleaned!$C$2:$C$125,1,Cleaned!$FS$2:$FS$125,8)+COUNTIFS(Cleaned!$C$2:$C$125,1,Cleaned!$FS$2:$FS$125,9)+COUNTIFS(Cleaned!$C$2:$C$125,1,Cleaned!$FS$2:$FS$125,10)+COUNTIFS(Cleaned!$C$2:$C$125,1,Cleaned!$FS$2:$FS$125,11)+COUNTIFS(Cleaned!$C$2:$C$125,2,Cleaned!$FS$2:$FS$125,1)+COUNTIFS(Cleaned!$C$2:$C$125,2,Cleaned!$FS$2:$FS$125,2)+COUNTIFS(Cleaned!$C$2:$C$125,2,Cleaned!$FS$2:$FS$125,3)+COUNTIFS(Cleaned!$C$2:$C$125,2,Cleaned!$FS$2:$FS$125,4)+COUNTIFS(Cleaned!$C$2:$C$125,2,Cleaned!$FS$2:$FS$125,5)+COUNTIFS(Cleaned!$C$2:$C$125,2,Cleaned!$FS$2:$FS$125,6)+COUNTIFS(Cleaned!$C$2:$C$125,2,Cleaned!$FS$2:$FS$125,7)+COUNTIFS(Cleaned!$C$2:$C$125,2,Cleaned!$FS$2:$FS$125,8)+COUNTIFS(Cleaned!$C$2:$C$125,2,Cleaned!$FS$2:$FS$125,9)+COUNTIFS(Cleaned!$C$2:$C$125,2,Cleaned!$FS$2:$FS$125,10)+COUNTIFS(Cleaned!$C$2:$C$125,2,Cleaned!$FS$2:$FS$125,11)+COUNTIFS(Cleaned!$C$2:$C$125,3,Cleaned!$FS$2:$FS$125,1)+COUNTIFS(Cleaned!$C$2:$C$125,3,Cleaned!$FS$2:$FS$125,2)+COUNTIFS(Cleaned!$C$2:$C$125,3,Cleaned!$FS$2:$FS$125,3)+COUNTIFS(Cleaned!$C$2:$C$125,3,Cleaned!$FS$2:$FS$125,4)+COUNTIFS(Cleaned!$C$2:$C$125,3,Cleaned!$FS$2:$FS$125,5)+COUNTIFS(Cleaned!$C$2:$C$125,3,Cleaned!$FS$2:$FS$125,6)+COUNTIFS(Cleaned!$C$2:$C$125,3,Cleaned!$FS$2:$FS$125,7)+COUNTIFS(Cleaned!$C$2:$C$125,3,Cleaned!$FS$2:$FS$125,8)+COUNTIFS(Cleaned!$C$2:$C$125,3,Cleaned!$FS$2:$FS$125,9)+COUNTIFS(Cleaned!$C$2:$C$125,3,Cleaned!$FS$2:$FS$125,10)+COUNTIFS(Cleaned!$C$2:$C$125,3,Cleaned!$FS$2:$FS$125,11)+COUNTIFS(Cleaned!$C$2:$C$125,4,Cleaned!$FS$2:$FS$125,1)+COUNTIFS(Cleaned!$C$2:$C$125,4,Cleaned!$FS$2:$FS$125,2)+COUNTIFS(Cleaned!$C$2:$C$125,4,Cleaned!$FS$2:$FS$125,3)+COUNTIFS(Cleaned!$C$2:$C$125,4,Cleaned!$FS$2:$FS$125,4)+COUNTIFS(Cleaned!$C$2:$C$125,4,Cleaned!$FS$2:$FS$125,5)+COUNTIFS(Cleaned!$C$2:$C$125,4,Cleaned!$FS$2:$FS$125,6)+COUNTIFS(Cleaned!$C$2:$C$125,4,Cleaned!$FS$2:$FS$125,7)+COUNTIFS(Cleaned!$C$2:$C$125,4,Cleaned!$FS$2:$FS$125,8)+COUNTIFS(Cleaned!$C$2:$C$125,4,Cleaned!$FS$2:$FS$125,9)+COUNTIFS(Cleaned!$C$2:$C$125,4,Cleaned!$FS$2:$FS$125,10)+COUNTIFS(Cleaned!$C$2:$C$125,4,Cleaned!$FS$2:$FS$125,11)+COUNTIFS(Cleaned!$C$2:$C$125,5,Cleaned!$FS$2:$FS$125,1)+COUNTIFS(Cleaned!$C$2:$C$125,5,Cleaned!$FS$2:$FS$125,2)+COUNTIFS(Cleaned!$C$2:$C$125,5,Cleaned!$FS$2:$FS$125,3)+COUNTIFS(Cleaned!$C$2:$C$125,5,Cleaned!$FS$2:$FS$125,4)+COUNTIFS(Cleaned!$C$2:$C$125,5,Cleaned!$FS$2:$FS$125,5)+COUNTIFS(Cleaned!$C$2:$C$125,5,Cleaned!$FS$2:$FS$125,6)+COUNTIFS(Cleaned!$C$2:$C$125,5,Cleaned!$FS$2:$FS$125,7)+COUNTIFS(Cleaned!$C$2:$C$125,5,Cleaned!$FS$2:$FS$125,8)+COUNTIFS(Cleaned!$C$2:$C$125,5,Cleaned!$FS$2:$FS$125,9)+COUNTIFS(Cleaned!$C$2:$C$125,5,Cleaned!$FS$2:$FS$125,10)+COUNTIFS(Cleaned!$C$2:$C$125,5,Cleaned!$FS$2:$FS$125,11)</f>
        <v>36</v>
      </c>
      <c r="C99" s="2" t="n">
        <f aca="false">COUNTIFS(Cleaned!$D$2:$D$125,1,Cleaned!$FS$2:$FS$125,1)+COUNTIFS(Cleaned!$D$2:$D$125,1,Cleaned!$FS$2:$FS$125,2)+COUNTIFS(Cleaned!$D$2:$D$125,1,Cleaned!$FS$2:$FS$125,3)+COUNTIFS(Cleaned!$D$2:$D$125,1,Cleaned!$FS$2:$FS$125,4)+COUNTIFS(Cleaned!$D$2:$D$125,1,Cleaned!$FS$2:$FS$125,5)+COUNTIFS(Cleaned!$D$2:$D$125,1,Cleaned!$FS$2:$FS$125,6)+COUNTIFS(Cleaned!$D$2:$D$125,1,Cleaned!$FS$2:$FS$125,7)+COUNTIFS(Cleaned!$D$2:$D$125,1,Cleaned!$FS$2:$FS$125,8)+COUNTIFS(Cleaned!$D$2:$D$125,1,Cleaned!$FS$2:$FS$125,9)+COUNTIFS(Cleaned!$D$2:$D$125,1,Cleaned!$FS$2:$FS$125,10)+COUNTIFS(Cleaned!$D$2:$D$125,1,Cleaned!$FS$2:$FS$125,11)+COUNTIFS(Cleaned!$D$2:$D$125,2,Cleaned!$FS$2:$FS$125,1)+COUNTIFS(Cleaned!$D$2:$D$125,2,Cleaned!$FS$2:$FS$125,2)+COUNTIFS(Cleaned!$D$2:$D$125,2,Cleaned!$FS$2:$FS$125,3)+COUNTIFS(Cleaned!$D$2:$D$125,2,Cleaned!$FS$2:$FS$125,4)+COUNTIFS(Cleaned!$D$2:$D$125,2,Cleaned!$FS$2:$FS$125,5)+COUNTIFS(Cleaned!$D$2:$D$125,2,Cleaned!$FS$2:$FS$125,6)+COUNTIFS(Cleaned!$D$2:$D$125,2,Cleaned!$FS$2:$FS$125,7)+COUNTIFS(Cleaned!$D$2:$D$125,2,Cleaned!$FS$2:$FS$125,8)+COUNTIFS(Cleaned!$D$2:$D$125,2,Cleaned!$FS$2:$FS$125,9)+COUNTIFS(Cleaned!$D$2:$D$125,2,Cleaned!$FS$2:$FS$125,10)+COUNTIFS(Cleaned!$D$2:$D$125,2,Cleaned!$FS$2:$FS$125,11)+COUNTIFS(Cleaned!$D$2:$D$125,3,Cleaned!$FS$2:$FS$125,1)+COUNTIFS(Cleaned!$D$2:$D$125,3,Cleaned!$FS$2:$FS$125,2)+COUNTIFS(Cleaned!$D$2:$D$125,3,Cleaned!$FS$2:$FS$125,3)+COUNTIFS(Cleaned!$D$2:$D$125,3,Cleaned!$FS$2:$FS$125,4)+COUNTIFS(Cleaned!$D$2:$D$125,3,Cleaned!$FS$2:$FS$125,5)+COUNTIFS(Cleaned!$D$2:$D$125,3,Cleaned!$FS$2:$FS$125,6)+COUNTIFS(Cleaned!$D$2:$D$125,3,Cleaned!$FS$2:$FS$125,7)+COUNTIFS(Cleaned!$D$2:$D$125,3,Cleaned!$FS$2:$FS$125,8)+COUNTIFS(Cleaned!$D$2:$D$125,3,Cleaned!$FS$2:$FS$125,9)+COUNTIFS(Cleaned!$D$2:$D$125,3,Cleaned!$FS$2:$FS$125,10)+COUNTIFS(Cleaned!$D$2:$D$125,3,Cleaned!$FS$2:$FS$125,11)+COUNTIFS(Cleaned!$D$2:$D$125,4,Cleaned!$FS$2:$FS$125,1)+COUNTIFS(Cleaned!$D$2:$D$125,4,Cleaned!$FS$2:$FS$125,2)+COUNTIFS(Cleaned!$D$2:$D$125,4,Cleaned!$FS$2:$FS$125,3)+COUNTIFS(Cleaned!$D$2:$D$125,4,Cleaned!$FS$2:$FS$125,4)+COUNTIFS(Cleaned!$D$2:$D$125,4,Cleaned!$FS$2:$FS$125,5)+COUNTIFS(Cleaned!$D$2:$D$125,4,Cleaned!$FS$2:$FS$125,6)+COUNTIFS(Cleaned!$D$2:$D$125,4,Cleaned!$FS$2:$FS$125,7)+COUNTIFS(Cleaned!$D$2:$D$125,4,Cleaned!$FS$2:$FS$125,8)+COUNTIFS(Cleaned!$D$2:$D$125,4,Cleaned!$FS$2:$FS$125,9)+COUNTIFS(Cleaned!$D$2:$D$125,4,Cleaned!$FS$2:$FS$125,10)+COUNTIFS(Cleaned!$D$2:$D$125,4,Cleaned!$FS$2:$FS$125,11)+COUNTIFS(Cleaned!$D$2:$D$125,5,Cleaned!$FS$2:$FS$125,1)+COUNTIFS(Cleaned!$D$2:$D$125,5,Cleaned!$FS$2:$FS$125,2)+COUNTIFS(Cleaned!$D$2:$D$125,5,Cleaned!$FS$2:$FS$125,3)+COUNTIFS(Cleaned!$D$2:$D$125,5,Cleaned!$FS$2:$FS$125,4)+COUNTIFS(Cleaned!$D$2:$D$125,5,Cleaned!$FS$2:$FS$125,5)+COUNTIFS(Cleaned!$D$2:$D$125,5,Cleaned!$FS$2:$FS$125,6)+COUNTIFS(Cleaned!$D$2:$D$125,5,Cleaned!$FS$2:$FS$125,7)+COUNTIFS(Cleaned!$D$2:$D$125,5,Cleaned!$FS$2:$FS$125,8)+COUNTIFS(Cleaned!$D$2:$D$125,5,Cleaned!$FS$2:$FS$125,9)+COUNTIFS(Cleaned!$D$2:$D$125,5,Cleaned!$FS$2:$FS$125,10)+COUNTIFS(Cleaned!$D$2:$D$125,5,Cleaned!$FS$2:$FS$125,11)+COUNTIFS(Cleaned!$D$2:$D$125,6,Cleaned!$FS$2:$FS$125,1)+COUNTIFS(Cleaned!$D$2:$D$125,6,Cleaned!$FS$2:$FS$125,2)+COUNTIFS(Cleaned!$D$2:$D$125,6,Cleaned!$FS$2:$FS$125,3)+COUNTIFS(Cleaned!$D$2:$D$125,6,Cleaned!$FS$2:$FS$125,4)+COUNTIFS(Cleaned!$D$2:$D$125,6,Cleaned!$FS$2:$FS$125,5)+COUNTIFS(Cleaned!$D$2:$D$125,6,Cleaned!$FS$2:$FS$125,6)+COUNTIFS(Cleaned!$D$2:$D$125,6,Cleaned!$FS$2:$FS$125,7)+COUNTIFS(Cleaned!$D$2:$D$125,6,Cleaned!$FS$2:$FS$125,8)+COUNTIFS(Cleaned!$D$2:$D$125,6,Cleaned!$FS$2:$FS$125,9)+COUNTIFS(Cleaned!$D$2:$D$125,6,Cleaned!$FS$2:$FS$125,10)+COUNTIFS(Cleaned!$D$2:$D$125,6,Cleaned!$FS$2:$FS$125,11)+COUNTIFS(Cleaned!$D$2:$D$125,7,Cleaned!$FS$2:$FS$125,1)+COUNTIFS(Cleaned!$D$2:$D$125,7,Cleaned!$FS$2:$FS$125,2)+COUNTIFS(Cleaned!$D$2:$D$125,7,Cleaned!$FS$2:$FS$125,3)+COUNTIFS(Cleaned!$D$2:$D$125,7,Cleaned!$FS$2:$FS$125,4)+COUNTIFS(Cleaned!$D$2:$D$125,7,Cleaned!$FS$2:$FS$125,5)+COUNTIFS(Cleaned!$D$2:$D$125,7,Cleaned!$FS$2:$FS$125,6)+COUNTIFS(Cleaned!$D$2:$D$125,7,Cleaned!$FS$2:$FS$125,7)+COUNTIFS(Cleaned!$D$2:$D$125,7,Cleaned!$FS$2:$FS$125,8)+COUNTIFS(Cleaned!$D$2:$D$125,7,Cleaned!$FS$2:$FS$125,9)+COUNTIFS(Cleaned!$D$2:$D$125,7,Cleaned!$FS$2:$FS$125,10)+COUNTIFS(Cleaned!$D$2:$D$125,7,Cleaned!$FS$2:$FS$125,11)+COUNTIFS(Cleaned!$D$2:$D$125,8,Cleaned!$FS$2:$FS$125,1)+COUNTIFS(Cleaned!$D$2:$D$125,8,Cleaned!$FS$2:$FS$125,2)+COUNTIFS(Cleaned!$D$2:$D$125,8,Cleaned!$FS$2:$FS$125,3)+COUNTIFS(Cleaned!$D$2:$D$125,8,Cleaned!$FS$2:$FS$125,4)+COUNTIFS(Cleaned!$D$2:$D$125,8,Cleaned!$FS$2:$FS$125,5)+COUNTIFS(Cleaned!$D$2:$D$125,8,Cleaned!$FS$2:$FS$125,6)+COUNTIFS(Cleaned!$D$2:$D$125,8,Cleaned!$FS$2:$FS$125,7)+COUNTIFS(Cleaned!$D$2:$D$125,8,Cleaned!$FS$2:$FS$125,8)+COUNTIFS(Cleaned!$D$2:$D$125,8,Cleaned!$FS$2:$FS$125,9)+COUNTIFS(Cleaned!$D$2:$D$125,8,Cleaned!$FS$2:$FS$125,10)+COUNTIFS(Cleaned!$D$2:$D$125,8,Cleaned!$FS$2:$FS$125,11)+COUNTIFS(Cleaned!$D$2:$D$125,9,Cleaned!$FS$2:$FS$125,1)+COUNTIFS(Cleaned!$D$2:$D$125,9,Cleaned!$FS$2:$FS$125,2)+COUNTIFS(Cleaned!$D$2:$D$125,9,Cleaned!$FS$2:$FS$125,3)+COUNTIFS(Cleaned!$D$2:$D$125,9,Cleaned!$FS$2:$FS$125,4)+COUNTIFS(Cleaned!$D$2:$D$125,9,Cleaned!$FS$2:$FS$125,5)+COUNTIFS(Cleaned!$D$2:$D$125,9,Cleaned!$FS$2:$FS$125,6)+COUNTIFS(Cleaned!$D$2:$D$125,9,Cleaned!$FS$2:$FS$125,7)+COUNTIFS(Cleaned!$D$2:$D$125,9,Cleaned!$FS$2:$FS$125,8)+COUNTIFS(Cleaned!$D$2:$D$125,9,Cleaned!$FS$2:$FS$125,9)+COUNTIFS(Cleaned!$D$2:$D$125,9,Cleaned!$FS$2:$FS$125,10)+COUNTIFS(Cleaned!$D$2:$D$125,9,Cleaned!$FS$2:$FS$125,11)+COUNTIFS(Cleaned!$D$2:$D$125,10,Cleaned!$FS$2:$FS$125,1)+COUNTIFS(Cleaned!$D$2:$D$125,10,Cleaned!$FS$2:$FS$125,2)+COUNTIFS(Cleaned!$D$2:$D$125,10,Cleaned!$FS$2:$FS$125,3)+COUNTIFS(Cleaned!$D$2:$D$125,10,Cleaned!$FS$2:$FS$125,4)+COUNTIFS(Cleaned!$D$2:$D$125,10,Cleaned!$FS$2:$FS$125,5)+COUNTIFS(Cleaned!$D$2:$D$125,10,Cleaned!$FS$2:$FS$125,6)+COUNTIFS(Cleaned!$D$2:$D$125,10,Cleaned!$FS$2:$FS$125,7)+COUNTIFS(Cleaned!$D$2:$D$125,10,Cleaned!$FS$2:$FS$125,8)+COUNTIFS(Cleaned!$D$2:$D$125,10,Cleaned!$FS$2:$FS$125,9)+COUNTIFS(Cleaned!$D$2:$D$125,10,Cleaned!$FS$2:$FS$125,10)+COUNTIFS(Cleaned!$D$2:$D$125,10,Cleaned!$FS$2:$FS$125,11)+COUNTIFS(Cleaned!$D$2:$D$125,11,Cleaned!$FS$2:$FS$125,1)+COUNTIFS(Cleaned!$D$2:$D$125,11,Cleaned!$FS$2:$FS$125,2)+COUNTIFS(Cleaned!$D$2:$D$125,11,Cleaned!$FS$2:$FS$125,3)+COUNTIFS(Cleaned!$D$2:$D$125,11,Cleaned!$FS$2:$FS$125,4)+COUNTIFS(Cleaned!$D$2:$D$125,11,Cleaned!$FS$2:$FS$125,5)+COUNTIFS(Cleaned!$D$2:$D$125,11,Cleaned!$FS$2:$FS$125,6)+COUNTIFS(Cleaned!$D$2:$D$125,11,Cleaned!$FS$2:$FS$125,7)+COUNTIFS(Cleaned!$D$2:$D$125,11,Cleaned!$FS$2:$FS$125,8)+COUNTIFS(Cleaned!$D$2:$D$125,11,Cleaned!$FS$2:$FS$125,9)+COUNTIFS(Cleaned!$D$2:$D$125,11,Cleaned!$FS$2:$FS$125,10)+COUNTIFS(Cleaned!$D$2:$D$125,11,Cleaned!$FS$2:$FS$125,11)+COUNTIFS(Cleaned!$D$2:$D$125,12,Cleaned!$FS$2:$FS$125,1)+COUNTIFS(Cleaned!$D$2:$D$125,12,Cleaned!$FS$2:$FS$125,2)+COUNTIFS(Cleaned!$D$2:$D$125,12,Cleaned!$FS$2:$FS$125,3)+COUNTIFS(Cleaned!$D$2:$D$125,12,Cleaned!$FS$2:$FS$125,4)+COUNTIFS(Cleaned!$D$2:$D$125,12,Cleaned!$FS$2:$FS$125,5)+COUNTIFS(Cleaned!$D$2:$D$125,12,Cleaned!$FS$2:$FS$125,6)+COUNTIFS(Cleaned!$D$2:$D$125,12,Cleaned!$FS$2:$FS$125,7)+COUNTIFS(Cleaned!$D$2:$D$125,12,Cleaned!$FS$2:$FS$125,8)+COUNTIFS(Cleaned!$D$2:$D$125,12,Cleaned!$FS$2:$FS$125,9)+COUNTIFS(Cleaned!$D$2:$D$125,12,Cleaned!$FS$2:$FS$125,10)+COUNTIFS(Cleaned!$D$2:$D$125,12,Cleaned!$FS$2:$FS$125,11)</f>
        <v>36</v>
      </c>
      <c r="D99" s="2" t="str">
        <f aca="false">IF(B99=C99,"OK","FAIL")</f>
        <v>OK</v>
      </c>
    </row>
    <row r="100" customFormat="false" ht="15" hidden="false" customHeight="false" outlineLevel="0" collapsed="false">
      <c r="A100" s="2" t="s">
        <v>1019</v>
      </c>
      <c r="B100" s="2" t="n">
        <f aca="false">COUNTIFS(Cleaned!$C$2:$C$125,1,Cleaned!$FT$2:$FT$125,0)+COUNTIFS(Cleaned!$C$2:$C$125,1,Cleaned!$FT$2:$FT$125,1)+COUNTIFS(Cleaned!$C$2:$C$125,2,Cleaned!$FT$2:$FT$125,0)+COUNTIFS(Cleaned!$C$2:$C$125,2,Cleaned!$FT$2:$FT$125,1)+COUNTIFS(Cleaned!$C$2:$C$125,3,Cleaned!$FT$2:$FT$125,0)+COUNTIFS(Cleaned!$C$2:$C$125,3,Cleaned!$FT$2:$FT$125,1)+COUNTIFS(Cleaned!$C$2:$C$125,4,Cleaned!$FT$2:$FT$125,0)+COUNTIFS(Cleaned!$C$2:$C$125,4,Cleaned!$FT$2:$FT$125,1)+COUNTIFS(Cleaned!$C$2:$C$125,5,Cleaned!$FT$2:$FT$125,0)+COUNTIFS(Cleaned!$C$2:$C$125,5,Cleaned!$FT$2:$FT$125,1)</f>
        <v>37</v>
      </c>
      <c r="C100" s="2" t="n">
        <f aca="false">COUNTIFS(Cleaned!$D$2:$D$125,1,Cleaned!$FT$2:$FT$125,0)+COUNTIFS(Cleaned!$D$2:$D$125,1,Cleaned!$FT$2:$FT$125,1)+COUNTIFS(Cleaned!$D$2:$D$125,2,Cleaned!$FT$2:$FT$125,0)+COUNTIFS(Cleaned!$D$2:$D$125,2,Cleaned!$FT$2:$FT$125,1)+COUNTIFS(Cleaned!$D$2:$D$125,3,Cleaned!$FT$2:$FT$125,0)+COUNTIFS(Cleaned!$D$2:$D$125,3,Cleaned!$FT$2:$FT$125,1)+COUNTIFS(Cleaned!$D$2:$D$125,4,Cleaned!$FT$2:$FT$125,0)+COUNTIFS(Cleaned!$D$2:$D$125,4,Cleaned!$FT$2:$FT$125,1)+COUNTIFS(Cleaned!$D$2:$D$125,5,Cleaned!$FT$2:$FT$125,0)+COUNTIFS(Cleaned!$D$2:$D$125,5,Cleaned!$FT$2:$FT$125,1)+COUNTIFS(Cleaned!$D$2:$D$125,6,Cleaned!$FT$2:$FT$125,0)+COUNTIFS(Cleaned!$D$2:$D$125,6,Cleaned!$FT$2:$FT$125,1)+COUNTIFS(Cleaned!$D$2:$D$125,7,Cleaned!$FT$2:$FT$125,0)+COUNTIFS(Cleaned!$D$2:$D$125,7,Cleaned!$FT$2:$FT$125,1)+COUNTIFS(Cleaned!$D$2:$D$125,8,Cleaned!$FT$2:$FT$125,0)+COUNTIFS(Cleaned!$D$2:$D$125,8,Cleaned!$FT$2:$FT$125,1)+COUNTIFS(Cleaned!$D$2:$D$125,9,Cleaned!$FT$2:$FT$125,0)+COUNTIFS(Cleaned!$D$2:$D$125,9,Cleaned!$FT$2:$FT$125,1)+COUNTIFS(Cleaned!$D$2:$D$125,10,Cleaned!$FT$2:$FT$125,0)+COUNTIFS(Cleaned!$D$2:$D$125,10,Cleaned!$FT$2:$FT$125,1)+COUNTIFS(Cleaned!$D$2:$D$125,11,Cleaned!$FT$2:$FT$125,0)+COUNTIFS(Cleaned!$D$2:$D$125,11,Cleaned!$FT$2:$FT$125,1)+COUNTIFS(Cleaned!$D$2:$D$125,12,Cleaned!$FT$2:$FT$125,0)+COUNTIFS(Cleaned!$D$2:$D$125,12,Cleaned!$FT$2:$FT$125,1)</f>
        <v>37</v>
      </c>
      <c r="D100" s="2" t="str">
        <f aca="false">IF(B100=C100,"OK","FAIL")</f>
        <v>OK</v>
      </c>
    </row>
    <row r="101" customFormat="false" ht="15" hidden="false" customHeight="false" outlineLevel="0" collapsed="false">
      <c r="A101" s="2" t="s">
        <v>1019</v>
      </c>
      <c r="B101" s="2" t="n">
        <f aca="false">COUNTIFS(Cleaned!$C$2:$C$125,1,Cleaned!$FU$2:$FU$125,0)+COUNTIFS(Cleaned!$C$2:$C$125,1,Cleaned!$FU$2:$FU$125,1)+COUNTIFS(Cleaned!$C$2:$C$125,2,Cleaned!$FU$2:$FU$125,0)+COUNTIFS(Cleaned!$C$2:$C$125,2,Cleaned!$FU$2:$FU$125,1)+COUNTIFS(Cleaned!$C$2:$C$125,3,Cleaned!$FU$2:$FU$125,0)+COUNTIFS(Cleaned!$C$2:$C$125,3,Cleaned!$FU$2:$FU$125,1)+COUNTIFS(Cleaned!$C$2:$C$125,4,Cleaned!$FU$2:$FU$125,0)+COUNTIFS(Cleaned!$C$2:$C$125,4,Cleaned!$FU$2:$FU$125,1)+COUNTIFS(Cleaned!$C$2:$C$125,5,Cleaned!$FU$2:$FU$125,0)+COUNTIFS(Cleaned!$C$2:$C$125,5,Cleaned!$FU$2:$FU$125,1)</f>
        <v>37</v>
      </c>
      <c r="C101" s="2" t="n">
        <f aca="false">COUNTIFS(Cleaned!$D$2:$D$125,1,Cleaned!$FU$2:$FU$125,0)+COUNTIFS(Cleaned!$D$2:$D$125,1,Cleaned!$FU$2:$FU$125,1)+COUNTIFS(Cleaned!$D$2:$D$125,2,Cleaned!$FU$2:$FU$125,0)+COUNTIFS(Cleaned!$D$2:$D$125,2,Cleaned!$FU$2:$FU$125,1)+COUNTIFS(Cleaned!$D$2:$D$125,3,Cleaned!$FU$2:$FU$125,0)+COUNTIFS(Cleaned!$D$2:$D$125,3,Cleaned!$FU$2:$FU$125,1)+COUNTIFS(Cleaned!$D$2:$D$125,4,Cleaned!$FU$2:$FU$125,0)+COUNTIFS(Cleaned!$D$2:$D$125,4,Cleaned!$FU$2:$FU$125,1)+COUNTIFS(Cleaned!$D$2:$D$125,5,Cleaned!$FU$2:$FU$125,0)+COUNTIFS(Cleaned!$D$2:$D$125,5,Cleaned!$FU$2:$FU$125,1)+COUNTIFS(Cleaned!$D$2:$D$125,6,Cleaned!$FU$2:$FU$125,0)+COUNTIFS(Cleaned!$D$2:$D$125,6,Cleaned!$FU$2:$FU$125,1)+COUNTIFS(Cleaned!$D$2:$D$125,7,Cleaned!$FU$2:$FU$125,0)+COUNTIFS(Cleaned!$D$2:$D$125,7,Cleaned!$FU$2:$FU$125,1)+COUNTIFS(Cleaned!$D$2:$D$125,8,Cleaned!$FU$2:$FU$125,0)+COUNTIFS(Cleaned!$D$2:$D$125,8,Cleaned!$FU$2:$FU$125,1)+COUNTIFS(Cleaned!$D$2:$D$125,9,Cleaned!$FU$2:$FU$125,0)+COUNTIFS(Cleaned!$D$2:$D$125,9,Cleaned!$FU$2:$FU$125,1)+COUNTIFS(Cleaned!$D$2:$D$125,10,Cleaned!$FU$2:$FU$125,0)+COUNTIFS(Cleaned!$D$2:$D$125,10,Cleaned!$FU$2:$FU$125,1)+COUNTIFS(Cleaned!$D$2:$D$125,11,Cleaned!$FU$2:$FU$125,0)+COUNTIFS(Cleaned!$D$2:$D$125,11,Cleaned!$FU$2:$FU$125,1)+COUNTIFS(Cleaned!$D$2:$D$125,12,Cleaned!$FU$2:$FU$125,0)+COUNTIFS(Cleaned!$D$2:$D$125,12,Cleaned!$FU$2:$FU$125,1)</f>
        <v>37</v>
      </c>
      <c r="D101" s="2" t="str">
        <f aca="false">IF(B101=C101,"OK","FAIL")</f>
        <v>OK</v>
      </c>
    </row>
    <row r="102" customFormat="false" ht="15" hidden="false" customHeight="false" outlineLevel="0" collapsed="false">
      <c r="A102" s="2" t="s">
        <v>1019</v>
      </c>
      <c r="B102" s="2" t="n">
        <f aca="false">COUNTIFS(Cleaned!$C$2:$C$125,1,Cleaned!$FV$2:$FV$125,0)+COUNTIFS(Cleaned!$C$2:$C$125,1,Cleaned!$FV$2:$FV$125,1)+COUNTIFS(Cleaned!$C$2:$C$125,2,Cleaned!$FV$2:$FV$125,0)+COUNTIFS(Cleaned!$C$2:$C$125,2,Cleaned!$FV$2:$FV$125,1)+COUNTIFS(Cleaned!$C$2:$C$125,3,Cleaned!$FV$2:$FV$125,0)+COUNTIFS(Cleaned!$C$2:$C$125,3,Cleaned!$FV$2:$FV$125,1)+COUNTIFS(Cleaned!$C$2:$C$125,4,Cleaned!$FV$2:$FV$125,0)+COUNTIFS(Cleaned!$C$2:$C$125,4,Cleaned!$FV$2:$FV$125,1)+COUNTIFS(Cleaned!$C$2:$C$125,5,Cleaned!$FV$2:$FV$125,0)+COUNTIFS(Cleaned!$C$2:$C$125,5,Cleaned!$FV$2:$FV$125,1)</f>
        <v>37</v>
      </c>
      <c r="C102" s="2" t="n">
        <f aca="false">COUNTIFS(Cleaned!$D$2:$D$125,1,Cleaned!$FV$2:$FV$125,0)+COUNTIFS(Cleaned!$D$2:$D$125,1,Cleaned!$FV$2:$FV$125,1)+COUNTIFS(Cleaned!$D$2:$D$125,2,Cleaned!$FV$2:$FV$125,0)+COUNTIFS(Cleaned!$D$2:$D$125,2,Cleaned!$FV$2:$FV$125,1)+COUNTIFS(Cleaned!$D$2:$D$125,3,Cleaned!$FV$2:$FV$125,0)+COUNTIFS(Cleaned!$D$2:$D$125,3,Cleaned!$FV$2:$FV$125,1)+COUNTIFS(Cleaned!$D$2:$D$125,4,Cleaned!$FV$2:$FV$125,0)+COUNTIFS(Cleaned!$D$2:$D$125,4,Cleaned!$FV$2:$FV$125,1)+COUNTIFS(Cleaned!$D$2:$D$125,5,Cleaned!$FV$2:$FV$125,0)+COUNTIFS(Cleaned!$D$2:$D$125,5,Cleaned!$FV$2:$FV$125,1)+COUNTIFS(Cleaned!$D$2:$D$125,6,Cleaned!$FV$2:$FV$125,0)+COUNTIFS(Cleaned!$D$2:$D$125,6,Cleaned!$FV$2:$FV$125,1)+COUNTIFS(Cleaned!$D$2:$D$125,7,Cleaned!$FV$2:$FV$125,0)+COUNTIFS(Cleaned!$D$2:$D$125,7,Cleaned!$FV$2:$FV$125,1)+COUNTIFS(Cleaned!$D$2:$D$125,8,Cleaned!$FV$2:$FV$125,0)+COUNTIFS(Cleaned!$D$2:$D$125,8,Cleaned!$FV$2:$FV$125,1)+COUNTIFS(Cleaned!$D$2:$D$125,9,Cleaned!$FV$2:$FV$125,0)+COUNTIFS(Cleaned!$D$2:$D$125,9,Cleaned!$FV$2:$FV$125,1)+COUNTIFS(Cleaned!$D$2:$D$125,10,Cleaned!$FV$2:$FV$125,0)+COUNTIFS(Cleaned!$D$2:$D$125,10,Cleaned!$FV$2:$FV$125,1)+COUNTIFS(Cleaned!$D$2:$D$125,11,Cleaned!$FV$2:$FV$125,0)+COUNTIFS(Cleaned!$D$2:$D$125,11,Cleaned!$FV$2:$FV$125,1)+COUNTIFS(Cleaned!$D$2:$D$125,12,Cleaned!$FV$2:$FV$125,0)+COUNTIFS(Cleaned!$D$2:$D$125,12,Cleaned!$FV$2:$FV$125,1)</f>
        <v>37</v>
      </c>
      <c r="D102" s="2" t="str">
        <f aca="false">IF(B102=C102,"OK","FAIL")</f>
        <v>OK</v>
      </c>
    </row>
    <row r="103" customFormat="false" ht="15" hidden="false" customHeight="false" outlineLevel="0" collapsed="false">
      <c r="A103" s="2" t="s">
        <v>1019</v>
      </c>
      <c r="B103" s="2" t="n">
        <f aca="false">COUNTIFS(Cleaned!$C$2:$C$125,1,Cleaned!$FW$2:$FW$125,0)+COUNTIFS(Cleaned!$C$2:$C$125,1,Cleaned!$FW$2:$FW$125,1)+COUNTIFS(Cleaned!$C$2:$C$125,2,Cleaned!$FW$2:$FW$125,0)+COUNTIFS(Cleaned!$C$2:$C$125,2,Cleaned!$FW$2:$FW$125,1)+COUNTIFS(Cleaned!$C$2:$C$125,3,Cleaned!$FW$2:$FW$125,0)+COUNTIFS(Cleaned!$C$2:$C$125,3,Cleaned!$FW$2:$FW$125,1)+COUNTIFS(Cleaned!$C$2:$C$125,4,Cleaned!$FW$2:$FW$125,0)+COUNTIFS(Cleaned!$C$2:$C$125,4,Cleaned!$FW$2:$FW$125,1)+COUNTIFS(Cleaned!$C$2:$C$125,5,Cleaned!$FW$2:$FW$125,0)+COUNTIFS(Cleaned!$C$2:$C$125,5,Cleaned!$FW$2:$FW$125,1)</f>
        <v>37</v>
      </c>
      <c r="C103" s="2" t="n">
        <f aca="false">COUNTIFS(Cleaned!$D$2:$D$125,1,Cleaned!$FW$2:$FW$125,0)+COUNTIFS(Cleaned!$D$2:$D$125,1,Cleaned!$FW$2:$FW$125,1)+COUNTIFS(Cleaned!$D$2:$D$125,2,Cleaned!$FW$2:$FW$125,0)+COUNTIFS(Cleaned!$D$2:$D$125,2,Cleaned!$FW$2:$FW$125,1)+COUNTIFS(Cleaned!$D$2:$D$125,3,Cleaned!$FW$2:$FW$125,0)+COUNTIFS(Cleaned!$D$2:$D$125,3,Cleaned!$FW$2:$FW$125,1)+COUNTIFS(Cleaned!$D$2:$D$125,4,Cleaned!$FW$2:$FW$125,0)+COUNTIFS(Cleaned!$D$2:$D$125,4,Cleaned!$FW$2:$FW$125,1)+COUNTIFS(Cleaned!$D$2:$D$125,5,Cleaned!$FW$2:$FW$125,0)+COUNTIFS(Cleaned!$D$2:$D$125,5,Cleaned!$FW$2:$FW$125,1)+COUNTIFS(Cleaned!$D$2:$D$125,6,Cleaned!$FW$2:$FW$125,0)+COUNTIFS(Cleaned!$D$2:$D$125,6,Cleaned!$FW$2:$FW$125,1)+COUNTIFS(Cleaned!$D$2:$D$125,7,Cleaned!$FW$2:$FW$125,0)+COUNTIFS(Cleaned!$D$2:$D$125,7,Cleaned!$FW$2:$FW$125,1)+COUNTIFS(Cleaned!$D$2:$D$125,8,Cleaned!$FW$2:$FW$125,0)+COUNTIFS(Cleaned!$D$2:$D$125,8,Cleaned!$FW$2:$FW$125,1)+COUNTIFS(Cleaned!$D$2:$D$125,9,Cleaned!$FW$2:$FW$125,0)+COUNTIFS(Cleaned!$D$2:$D$125,9,Cleaned!$FW$2:$FW$125,1)+COUNTIFS(Cleaned!$D$2:$D$125,10,Cleaned!$FW$2:$FW$125,0)+COUNTIFS(Cleaned!$D$2:$D$125,10,Cleaned!$FW$2:$FW$125,1)+COUNTIFS(Cleaned!$D$2:$D$125,11,Cleaned!$FW$2:$FW$125,0)+COUNTIFS(Cleaned!$D$2:$D$125,11,Cleaned!$FW$2:$FW$125,1)+COUNTIFS(Cleaned!$D$2:$D$125,12,Cleaned!$FW$2:$FW$125,0)+COUNTIFS(Cleaned!$D$2:$D$125,12,Cleaned!$FW$2:$FW$125,1)</f>
        <v>37</v>
      </c>
      <c r="D103" s="2" t="str">
        <f aca="false">IF(B103=C103,"OK","FAIL")</f>
        <v>OK</v>
      </c>
    </row>
    <row r="104" customFormat="false" ht="15" hidden="false" customHeight="false" outlineLevel="0" collapsed="false">
      <c r="A104" s="2" t="s">
        <v>1019</v>
      </c>
      <c r="B104" s="2" t="n">
        <f aca="false">COUNTIFS(Cleaned!$C$2:$C$125,1,Cleaned!$FX$2:$FX$125,0)+COUNTIFS(Cleaned!$C$2:$C$125,1,Cleaned!$FX$2:$FX$125,1)+COUNTIFS(Cleaned!$C$2:$C$125,2,Cleaned!$FX$2:$FX$125,0)+COUNTIFS(Cleaned!$C$2:$C$125,2,Cleaned!$FX$2:$FX$125,1)+COUNTIFS(Cleaned!$C$2:$C$125,3,Cleaned!$FX$2:$FX$125,0)+COUNTIFS(Cleaned!$C$2:$C$125,3,Cleaned!$FX$2:$FX$125,1)+COUNTIFS(Cleaned!$C$2:$C$125,4,Cleaned!$FX$2:$FX$125,0)+COUNTIFS(Cleaned!$C$2:$C$125,4,Cleaned!$FX$2:$FX$125,1)+COUNTIFS(Cleaned!$C$2:$C$125,5,Cleaned!$FX$2:$FX$125,0)+COUNTIFS(Cleaned!$C$2:$C$125,5,Cleaned!$FX$2:$FX$125,1)</f>
        <v>37</v>
      </c>
      <c r="C104" s="2" t="n">
        <f aca="false">COUNTIFS(Cleaned!$D$2:$D$125,1,Cleaned!$FX$2:$FX$125,0)+COUNTIFS(Cleaned!$D$2:$D$125,1,Cleaned!$FX$2:$FX$125,1)+COUNTIFS(Cleaned!$D$2:$D$125,2,Cleaned!$FX$2:$FX$125,0)+COUNTIFS(Cleaned!$D$2:$D$125,2,Cleaned!$FX$2:$FX$125,1)+COUNTIFS(Cleaned!$D$2:$D$125,3,Cleaned!$FX$2:$FX$125,0)+COUNTIFS(Cleaned!$D$2:$D$125,3,Cleaned!$FX$2:$FX$125,1)+COUNTIFS(Cleaned!$D$2:$D$125,4,Cleaned!$FX$2:$FX$125,0)+COUNTIFS(Cleaned!$D$2:$D$125,4,Cleaned!$FX$2:$FX$125,1)+COUNTIFS(Cleaned!$D$2:$D$125,5,Cleaned!$FX$2:$FX$125,0)+COUNTIFS(Cleaned!$D$2:$D$125,5,Cleaned!$FX$2:$FX$125,1)+COUNTIFS(Cleaned!$D$2:$D$125,6,Cleaned!$FX$2:$FX$125,0)+COUNTIFS(Cleaned!$D$2:$D$125,6,Cleaned!$FX$2:$FX$125,1)+COUNTIFS(Cleaned!$D$2:$D$125,7,Cleaned!$FX$2:$FX$125,0)+COUNTIFS(Cleaned!$D$2:$D$125,7,Cleaned!$FX$2:$FX$125,1)+COUNTIFS(Cleaned!$D$2:$D$125,8,Cleaned!$FX$2:$FX$125,0)+COUNTIFS(Cleaned!$D$2:$D$125,8,Cleaned!$FX$2:$FX$125,1)+COUNTIFS(Cleaned!$D$2:$D$125,9,Cleaned!$FX$2:$FX$125,0)+COUNTIFS(Cleaned!$D$2:$D$125,9,Cleaned!$FX$2:$FX$125,1)+COUNTIFS(Cleaned!$D$2:$D$125,10,Cleaned!$FX$2:$FX$125,0)+COUNTIFS(Cleaned!$D$2:$D$125,10,Cleaned!$FX$2:$FX$125,1)+COUNTIFS(Cleaned!$D$2:$D$125,11,Cleaned!$FX$2:$FX$125,0)+COUNTIFS(Cleaned!$D$2:$D$125,11,Cleaned!$FX$2:$FX$125,1)+COUNTIFS(Cleaned!$D$2:$D$125,12,Cleaned!$FX$2:$FX$125,0)+COUNTIFS(Cleaned!$D$2:$D$125,12,Cleaned!$FX$2:$FX$125,1)</f>
        <v>37</v>
      </c>
      <c r="D104" s="2" t="str">
        <f aca="false">IF(B104=C104,"OK","FAIL")</f>
        <v>OK</v>
      </c>
    </row>
    <row r="105" customFormat="false" ht="15" hidden="false" customHeight="false" outlineLevel="0" collapsed="false">
      <c r="A105" s="2" t="s">
        <v>1019</v>
      </c>
      <c r="B105" s="2" t="n">
        <f aca="false">COUNTIFS(Cleaned!$C$2:$C$125,1,Cleaned!$FY$2:$FY$125,0)+COUNTIFS(Cleaned!$C$2:$C$125,1,Cleaned!$FY$2:$FY$125,1)+COUNTIFS(Cleaned!$C$2:$C$125,2,Cleaned!$FY$2:$FY$125,0)+COUNTIFS(Cleaned!$C$2:$C$125,2,Cleaned!$FY$2:$FY$125,1)+COUNTIFS(Cleaned!$C$2:$C$125,3,Cleaned!$FY$2:$FY$125,0)+COUNTIFS(Cleaned!$C$2:$C$125,3,Cleaned!$FY$2:$FY$125,1)+COUNTIFS(Cleaned!$C$2:$C$125,4,Cleaned!$FY$2:$FY$125,0)+COUNTIFS(Cleaned!$C$2:$C$125,4,Cleaned!$FY$2:$FY$125,1)+COUNTIFS(Cleaned!$C$2:$C$125,5,Cleaned!$FY$2:$FY$125,0)+COUNTIFS(Cleaned!$C$2:$C$125,5,Cleaned!$FY$2:$FY$125,1)</f>
        <v>37</v>
      </c>
      <c r="C105" s="2" t="n">
        <f aca="false">COUNTIFS(Cleaned!$D$2:$D$125,1,Cleaned!$FY$2:$FY$125,0)+COUNTIFS(Cleaned!$D$2:$D$125,1,Cleaned!$FY$2:$FY$125,1)+COUNTIFS(Cleaned!$D$2:$D$125,2,Cleaned!$FY$2:$FY$125,0)+COUNTIFS(Cleaned!$D$2:$D$125,2,Cleaned!$FY$2:$FY$125,1)+COUNTIFS(Cleaned!$D$2:$D$125,3,Cleaned!$FY$2:$FY$125,0)+COUNTIFS(Cleaned!$D$2:$D$125,3,Cleaned!$FY$2:$FY$125,1)+COUNTIFS(Cleaned!$D$2:$D$125,4,Cleaned!$FY$2:$FY$125,0)+COUNTIFS(Cleaned!$D$2:$D$125,4,Cleaned!$FY$2:$FY$125,1)+COUNTIFS(Cleaned!$D$2:$D$125,5,Cleaned!$FY$2:$FY$125,0)+COUNTIFS(Cleaned!$D$2:$D$125,5,Cleaned!$FY$2:$FY$125,1)+COUNTIFS(Cleaned!$D$2:$D$125,6,Cleaned!$FY$2:$FY$125,0)+COUNTIFS(Cleaned!$D$2:$D$125,6,Cleaned!$FY$2:$FY$125,1)+COUNTIFS(Cleaned!$D$2:$D$125,7,Cleaned!$FY$2:$FY$125,0)+COUNTIFS(Cleaned!$D$2:$D$125,7,Cleaned!$FY$2:$FY$125,1)+COUNTIFS(Cleaned!$D$2:$D$125,8,Cleaned!$FY$2:$FY$125,0)+COUNTIFS(Cleaned!$D$2:$D$125,8,Cleaned!$FY$2:$FY$125,1)+COUNTIFS(Cleaned!$D$2:$D$125,9,Cleaned!$FY$2:$FY$125,0)+COUNTIFS(Cleaned!$D$2:$D$125,9,Cleaned!$FY$2:$FY$125,1)+COUNTIFS(Cleaned!$D$2:$D$125,10,Cleaned!$FY$2:$FY$125,0)+COUNTIFS(Cleaned!$D$2:$D$125,10,Cleaned!$FY$2:$FY$125,1)+COUNTIFS(Cleaned!$D$2:$D$125,11,Cleaned!$FY$2:$FY$125,0)+COUNTIFS(Cleaned!$D$2:$D$125,11,Cleaned!$FY$2:$FY$125,1)+COUNTIFS(Cleaned!$D$2:$D$125,12,Cleaned!$FY$2:$FY$125,0)+COUNTIFS(Cleaned!$D$2:$D$125,12,Cleaned!$FY$2:$FY$125,1)</f>
        <v>37</v>
      </c>
      <c r="D105" s="2" t="str">
        <f aca="false">IF(B105=C105,"OK","FAIL")</f>
        <v>OK</v>
      </c>
    </row>
    <row r="106" customFormat="false" ht="15" hidden="false" customHeight="false" outlineLevel="0" collapsed="false">
      <c r="A106" s="2" t="s">
        <v>1020</v>
      </c>
      <c r="B106" s="2" t="n">
        <f aca="false">COUNTIFS(Cleaned!$C$2:$C$125,1,Cleaned!$GK$2:$GK$125,1)+COUNTIFS(Cleaned!$C$2:$C$125,1,Cleaned!$GK$2:$GK$125,2)+COUNTIFS(Cleaned!$C$2:$C$125,2,Cleaned!$GK$2:$GK$125,1)+COUNTIFS(Cleaned!$C$2:$C$125,2,Cleaned!$GK$2:$GK$125,2)+COUNTIFS(Cleaned!$C$2:$C$125,3,Cleaned!$GK$2:$GK$125,1)+COUNTIFS(Cleaned!$C$2:$C$125,3,Cleaned!$GK$2:$GK$125,2)+COUNTIFS(Cleaned!$C$2:$C$125,4,Cleaned!$GK$2:$GK$125,1)+COUNTIFS(Cleaned!$C$2:$C$125,4,Cleaned!$GK$2:$GK$125,2)+COUNTIFS(Cleaned!$C$2:$C$125,5,Cleaned!$GK$2:$GK$125,1)+COUNTIFS(Cleaned!$C$2:$C$125,5,Cleaned!$GK$2:$GK$125,2)</f>
        <v>36</v>
      </c>
      <c r="C106" s="2" t="n">
        <f aca="false">COUNTIFS(Cleaned!$D$2:$D$125,1,Cleaned!$GK$2:$GK$125,1)+COUNTIFS(Cleaned!$D$2:$D$125,1,Cleaned!$GK$2:$GK$125,2)+COUNTIFS(Cleaned!$D$2:$D$125,2,Cleaned!$GK$2:$GK$125,1)+COUNTIFS(Cleaned!$D$2:$D$125,2,Cleaned!$GK$2:$GK$125,2)+COUNTIFS(Cleaned!$D$2:$D$125,3,Cleaned!$GK$2:$GK$125,1)+COUNTIFS(Cleaned!$D$2:$D$125,3,Cleaned!$GK$2:$GK$125,2)+COUNTIFS(Cleaned!$D$2:$D$125,4,Cleaned!$GK$2:$GK$125,1)+COUNTIFS(Cleaned!$D$2:$D$125,4,Cleaned!$GK$2:$GK$125,2)+COUNTIFS(Cleaned!$D$2:$D$125,5,Cleaned!$GK$2:$GK$125,1)+COUNTIFS(Cleaned!$D$2:$D$125,5,Cleaned!$GK$2:$GK$125,2)+COUNTIFS(Cleaned!$D$2:$D$125,6,Cleaned!$GK$2:$GK$125,1)+COUNTIFS(Cleaned!$D$2:$D$125,6,Cleaned!$GK$2:$GK$125,2)+COUNTIFS(Cleaned!$D$2:$D$125,7,Cleaned!$GK$2:$GK$125,1)+COUNTIFS(Cleaned!$D$2:$D$125,7,Cleaned!$GK$2:$GK$125,2)+COUNTIFS(Cleaned!$D$2:$D$125,8,Cleaned!$GK$2:$GK$125,1)+COUNTIFS(Cleaned!$D$2:$D$125,8,Cleaned!$GK$2:$GK$125,2)+COUNTIFS(Cleaned!$D$2:$D$125,9,Cleaned!$GK$2:$GK$125,1)+COUNTIFS(Cleaned!$D$2:$D$125,9,Cleaned!$GK$2:$GK$125,2)+COUNTIFS(Cleaned!$D$2:$D$125,10,Cleaned!$GK$2:$GK$125,1)+COUNTIFS(Cleaned!$D$2:$D$125,10,Cleaned!$GK$2:$GK$125,2)+COUNTIFS(Cleaned!$D$2:$D$125,11,Cleaned!$GK$2:$GK$125,1)+COUNTIFS(Cleaned!$D$2:$D$125,11,Cleaned!$GK$2:$GK$125,2)+COUNTIFS(Cleaned!$D$2:$D$125,12,Cleaned!$GK$2:$GK$125,1)+COUNTIFS(Cleaned!$D$2:$D$125,12,Cleaned!$GK$2:$GK$125,2)</f>
        <v>36</v>
      </c>
      <c r="D106" s="2" t="str">
        <f aca="false">IF(B106=C106,"OK","FAIL")</f>
        <v>OK</v>
      </c>
    </row>
    <row r="107" customFormat="false" ht="15" hidden="false" customHeight="false" outlineLevel="0" collapsed="false">
      <c r="A107" s="2" t="s">
        <v>1021</v>
      </c>
      <c r="B107" s="2" t="n">
        <f aca="false">COUNTIFS(Cleaned!$C$2:$C$125,1,Cleaned!$GL$2:$GL$125,1)+COUNTIFS(Cleaned!$C$2:$C$125,1,Cleaned!$GL$2:$GL$125,2)+COUNTIFS(Cleaned!$C$2:$C$125,2,Cleaned!$GL$2:$GL$125,1)+COUNTIFS(Cleaned!$C$2:$C$125,2,Cleaned!$GL$2:$GL$125,2)+COUNTIFS(Cleaned!$C$2:$C$125,3,Cleaned!$GL$2:$GL$125,1)+COUNTIFS(Cleaned!$C$2:$C$125,3,Cleaned!$GL$2:$GL$125,2)+COUNTIFS(Cleaned!$C$2:$C$125,4,Cleaned!$GL$2:$GL$125,1)+COUNTIFS(Cleaned!$C$2:$C$125,4,Cleaned!$GL$2:$GL$125,2)+COUNTIFS(Cleaned!$C$2:$C$125,5,Cleaned!$GL$2:$GL$125,1)+COUNTIFS(Cleaned!$C$2:$C$125,5,Cleaned!$GL$2:$GL$125,2)</f>
        <v>37</v>
      </c>
      <c r="C107" s="2" t="n">
        <f aca="false">COUNTIFS(Cleaned!$D$2:$D$125,1,Cleaned!$GL$2:$GL$125,1)+COUNTIFS(Cleaned!$D$2:$D$125,1,Cleaned!$GL$2:$GL$125,2)+COUNTIFS(Cleaned!$D$2:$D$125,2,Cleaned!$GL$2:$GL$125,1)+COUNTIFS(Cleaned!$D$2:$D$125,2,Cleaned!$GL$2:$GL$125,2)+COUNTIFS(Cleaned!$D$2:$D$125,3,Cleaned!$GL$2:$GL$125,1)+COUNTIFS(Cleaned!$D$2:$D$125,3,Cleaned!$GL$2:$GL$125,2)+COUNTIFS(Cleaned!$D$2:$D$125,4,Cleaned!$GL$2:$GL$125,1)+COUNTIFS(Cleaned!$D$2:$D$125,4,Cleaned!$GL$2:$GL$125,2)+COUNTIFS(Cleaned!$D$2:$D$125,5,Cleaned!$GL$2:$GL$125,1)+COUNTIFS(Cleaned!$D$2:$D$125,5,Cleaned!$GL$2:$GL$125,2)+COUNTIFS(Cleaned!$D$2:$D$125,6,Cleaned!$GL$2:$GL$125,1)+COUNTIFS(Cleaned!$D$2:$D$125,6,Cleaned!$GL$2:$GL$125,2)+COUNTIFS(Cleaned!$D$2:$D$125,7,Cleaned!$GL$2:$GL$125,1)+COUNTIFS(Cleaned!$D$2:$D$125,7,Cleaned!$GL$2:$GL$125,2)+COUNTIFS(Cleaned!$D$2:$D$125,8,Cleaned!$GL$2:$GL$125,1)+COUNTIFS(Cleaned!$D$2:$D$125,8,Cleaned!$GL$2:$GL$125,2)+COUNTIFS(Cleaned!$D$2:$D$125,9,Cleaned!$GL$2:$GL$125,1)+COUNTIFS(Cleaned!$D$2:$D$125,9,Cleaned!$GL$2:$GL$125,2)+COUNTIFS(Cleaned!$D$2:$D$125,10,Cleaned!$GL$2:$GL$125,1)+COUNTIFS(Cleaned!$D$2:$D$125,10,Cleaned!$GL$2:$GL$125,2)+COUNTIFS(Cleaned!$D$2:$D$125,11,Cleaned!$GL$2:$GL$125,1)+COUNTIFS(Cleaned!$D$2:$D$125,11,Cleaned!$GL$2:$GL$125,2)+COUNTIFS(Cleaned!$D$2:$D$125,12,Cleaned!$GL$2:$GL$125,1)+COUNTIFS(Cleaned!$D$2:$D$125,12,Cleaned!$GL$2:$GL$125,2)</f>
        <v>37</v>
      </c>
      <c r="D107" s="2" t="str">
        <f aca="false">IF(B107=C107,"OK","FAIL")</f>
        <v>OK</v>
      </c>
    </row>
    <row r="108" customFormat="false" ht="15" hidden="false" customHeight="false" outlineLevel="0" collapsed="false">
      <c r="A108" s="2" t="s">
        <v>1022</v>
      </c>
      <c r="B108" s="2" t="n">
        <f aca="false">COUNTIFS(Cleaned!$C$2:$C$125,1,Cleaned!$GO$2:$GO$125,1)+COUNTIFS(Cleaned!$C$2:$C$125,1,Cleaned!$GO$2:$GO$125,2)+COUNTIFS(Cleaned!$C$2:$C$125,2,Cleaned!$GO$2:$GO$125,1)+COUNTIFS(Cleaned!$C$2:$C$125,2,Cleaned!$GO$2:$GO$125,2)+COUNTIFS(Cleaned!$C$2:$C$125,3,Cleaned!$GO$2:$GO$125,1)+COUNTIFS(Cleaned!$C$2:$C$125,3,Cleaned!$GO$2:$GO$125,2)+COUNTIFS(Cleaned!$C$2:$C$125,4,Cleaned!$GO$2:$GO$125,1)+COUNTIFS(Cleaned!$C$2:$C$125,4,Cleaned!$GO$2:$GO$125,2)+COUNTIFS(Cleaned!$C$2:$C$125,5,Cleaned!$GO$2:$GO$125,1)+COUNTIFS(Cleaned!$C$2:$C$125,5,Cleaned!$GO$2:$GO$125,2)</f>
        <v>46</v>
      </c>
      <c r="C108" s="2" t="n">
        <f aca="false">COUNTIFS(Cleaned!$D$2:$D$125,1,Cleaned!$GO$2:$GO$125,1)+COUNTIFS(Cleaned!$D$2:$D$125,1,Cleaned!$GO$2:$GO$125,2)+COUNTIFS(Cleaned!$D$2:$D$125,2,Cleaned!$GO$2:$GO$125,1)+COUNTIFS(Cleaned!$D$2:$D$125,2,Cleaned!$GO$2:$GO$125,2)+COUNTIFS(Cleaned!$D$2:$D$125,3,Cleaned!$GO$2:$GO$125,1)+COUNTIFS(Cleaned!$D$2:$D$125,3,Cleaned!$GO$2:$GO$125,2)+COUNTIFS(Cleaned!$D$2:$D$125,4,Cleaned!$GO$2:$GO$125,1)+COUNTIFS(Cleaned!$D$2:$D$125,4,Cleaned!$GO$2:$GO$125,2)+COUNTIFS(Cleaned!$D$2:$D$125,5,Cleaned!$GO$2:$GO$125,1)+COUNTIFS(Cleaned!$D$2:$D$125,5,Cleaned!$GO$2:$GO$125,2)+COUNTIFS(Cleaned!$D$2:$D$125,6,Cleaned!$GO$2:$GO$125,1)+COUNTIFS(Cleaned!$D$2:$D$125,6,Cleaned!$GO$2:$GO$125,2)+COUNTIFS(Cleaned!$D$2:$D$125,7,Cleaned!$GO$2:$GO$125,1)+COUNTIFS(Cleaned!$D$2:$D$125,7,Cleaned!$GO$2:$GO$125,2)+COUNTIFS(Cleaned!$D$2:$D$125,8,Cleaned!$GO$2:$GO$125,1)+COUNTIFS(Cleaned!$D$2:$D$125,8,Cleaned!$GO$2:$GO$125,2)+COUNTIFS(Cleaned!$D$2:$D$125,9,Cleaned!$GO$2:$GO$125,1)+COUNTIFS(Cleaned!$D$2:$D$125,9,Cleaned!$GO$2:$GO$125,2)+COUNTIFS(Cleaned!$D$2:$D$125,10,Cleaned!$GO$2:$GO$125,1)+COUNTIFS(Cleaned!$D$2:$D$125,10,Cleaned!$GO$2:$GO$125,2)+COUNTIFS(Cleaned!$D$2:$D$125,11,Cleaned!$GO$2:$GO$125,1)+COUNTIFS(Cleaned!$D$2:$D$125,11,Cleaned!$GO$2:$GO$125,2)+COUNTIFS(Cleaned!$D$2:$D$125,12,Cleaned!$GO$2:$GO$125,1)+COUNTIFS(Cleaned!$D$2:$D$125,12,Cleaned!$GO$2:$GO$125,2)</f>
        <v>46</v>
      </c>
      <c r="D108" s="2" t="str">
        <f aca="false">IF(B108=C108,"OK","FAIL")</f>
        <v>OK</v>
      </c>
    </row>
    <row r="109" customFormat="false" ht="15" hidden="false" customHeight="false" outlineLevel="0" collapsed="false">
      <c r="A109" s="2" t="s">
        <v>1023</v>
      </c>
      <c r="B109" s="2" t="n">
        <f aca="false">COUNTIFS(Cleaned!$C$2:$C$125,1,Cleaned!$GQ$2:$GQ$125,1)+COUNTIFS(Cleaned!$C$2:$C$125,1,Cleaned!$GQ$2:$GQ$125,2)+COUNTIFS(Cleaned!$C$2:$C$125,2,Cleaned!$GQ$2:$GQ$125,1)+COUNTIFS(Cleaned!$C$2:$C$125,2,Cleaned!$GQ$2:$GQ$125,2)+COUNTIFS(Cleaned!$C$2:$C$125,3,Cleaned!$GQ$2:$GQ$125,1)+COUNTIFS(Cleaned!$C$2:$C$125,3,Cleaned!$GQ$2:$GQ$125,2)+COUNTIFS(Cleaned!$C$2:$C$125,4,Cleaned!$GQ$2:$GQ$125,1)+COUNTIFS(Cleaned!$C$2:$C$125,4,Cleaned!$GQ$2:$GQ$125,2)+COUNTIFS(Cleaned!$C$2:$C$125,5,Cleaned!$GQ$2:$GQ$125,1)+COUNTIFS(Cleaned!$C$2:$C$125,5,Cleaned!$GQ$2:$GQ$125,2)</f>
        <v>42</v>
      </c>
      <c r="C109" s="2" t="n">
        <f aca="false">COUNTIFS(Cleaned!$D$2:$D$125,1,Cleaned!$GQ$2:$GQ$125,1)+COUNTIFS(Cleaned!$D$2:$D$125,1,Cleaned!$GQ$2:$GQ$125,2)+COUNTIFS(Cleaned!$D$2:$D$125,2,Cleaned!$GQ$2:$GQ$125,1)+COUNTIFS(Cleaned!$D$2:$D$125,2,Cleaned!$GQ$2:$GQ$125,2)+COUNTIFS(Cleaned!$D$2:$D$125,3,Cleaned!$GQ$2:$GQ$125,1)+COUNTIFS(Cleaned!$D$2:$D$125,3,Cleaned!$GQ$2:$GQ$125,2)+COUNTIFS(Cleaned!$D$2:$D$125,4,Cleaned!$GQ$2:$GQ$125,1)+COUNTIFS(Cleaned!$D$2:$D$125,4,Cleaned!$GQ$2:$GQ$125,2)+COUNTIFS(Cleaned!$D$2:$D$125,5,Cleaned!$GQ$2:$GQ$125,1)+COUNTIFS(Cleaned!$D$2:$D$125,5,Cleaned!$GQ$2:$GQ$125,2)+COUNTIFS(Cleaned!$D$2:$D$125,6,Cleaned!$GQ$2:$GQ$125,1)+COUNTIFS(Cleaned!$D$2:$D$125,6,Cleaned!$GQ$2:$GQ$125,2)+COUNTIFS(Cleaned!$D$2:$D$125,7,Cleaned!$GQ$2:$GQ$125,1)+COUNTIFS(Cleaned!$D$2:$D$125,7,Cleaned!$GQ$2:$GQ$125,2)+COUNTIFS(Cleaned!$D$2:$D$125,8,Cleaned!$GQ$2:$GQ$125,1)+COUNTIFS(Cleaned!$D$2:$D$125,8,Cleaned!$GQ$2:$GQ$125,2)+COUNTIFS(Cleaned!$D$2:$D$125,9,Cleaned!$GQ$2:$GQ$125,1)+COUNTIFS(Cleaned!$D$2:$D$125,9,Cleaned!$GQ$2:$GQ$125,2)+COUNTIFS(Cleaned!$D$2:$D$125,10,Cleaned!$GQ$2:$GQ$125,1)+COUNTIFS(Cleaned!$D$2:$D$125,10,Cleaned!$GQ$2:$GQ$125,2)+COUNTIFS(Cleaned!$D$2:$D$125,11,Cleaned!$GQ$2:$GQ$125,1)+COUNTIFS(Cleaned!$D$2:$D$125,11,Cleaned!$GQ$2:$GQ$125,2)+COUNTIFS(Cleaned!$D$2:$D$125,12,Cleaned!$GQ$2:$GQ$125,1)+COUNTIFS(Cleaned!$D$2:$D$125,12,Cleaned!$GQ$2:$GQ$125,2)</f>
        <v>42</v>
      </c>
      <c r="D109" s="2" t="str">
        <f aca="false">IF(B109=C109,"OK","FAIL")</f>
        <v>OK</v>
      </c>
    </row>
    <row r="110" customFormat="false" ht="15" hidden="false" customHeight="false" outlineLevel="0" collapsed="false">
      <c r="A110" s="2" t="s">
        <v>1024</v>
      </c>
      <c r="B110" s="2" t="n">
        <f aca="false">COUNTIFS(Cleaned!$C$2:$C$125,1,Cleaned!$GR$2:$GR$125,1)+COUNTIFS(Cleaned!$C$2:$C$125,1,Cleaned!$GR$2:$GR$125,2)+COUNTIFS(Cleaned!$C$2:$C$125,1,Cleaned!$GR$2:$GR$125,3)+COUNTIFS(Cleaned!$C$2:$C$125,1,Cleaned!$GR$2:$GR$125,4)+COUNTIFS(Cleaned!$C$2:$C$125,1,Cleaned!$GR$2:$GR$125,5)+COUNTIFS(Cleaned!$C$2:$C$125,1,Cleaned!$GR$2:$GR$125,6)+COUNTIFS(Cleaned!$C$2:$C$125,2,Cleaned!$GR$2:$GR$125,1)+COUNTIFS(Cleaned!$C$2:$C$125,2,Cleaned!$GR$2:$GR$125,2)+COUNTIFS(Cleaned!$C$2:$C$125,2,Cleaned!$GR$2:$GR$125,3)+COUNTIFS(Cleaned!$C$2:$C$125,2,Cleaned!$GR$2:$GR$125,4)+COUNTIFS(Cleaned!$C$2:$C$125,2,Cleaned!$GR$2:$GR$125,5)+COUNTIFS(Cleaned!$C$2:$C$125,2,Cleaned!$GR$2:$GR$125,6)+COUNTIFS(Cleaned!$C$2:$C$125,3,Cleaned!$GR$2:$GR$125,1)+COUNTIFS(Cleaned!$C$2:$C$125,3,Cleaned!$GR$2:$GR$125,2)+COUNTIFS(Cleaned!$C$2:$C$125,3,Cleaned!$GR$2:$GR$125,3)+COUNTIFS(Cleaned!$C$2:$C$125,3,Cleaned!$GR$2:$GR$125,4)+COUNTIFS(Cleaned!$C$2:$C$125,3,Cleaned!$GR$2:$GR$125,5)+COUNTIFS(Cleaned!$C$2:$C$125,3,Cleaned!$GR$2:$GR$125,6)+COUNTIFS(Cleaned!$C$2:$C$125,4,Cleaned!$GR$2:$GR$125,1)+COUNTIFS(Cleaned!$C$2:$C$125,4,Cleaned!$GR$2:$GR$125,2)+COUNTIFS(Cleaned!$C$2:$C$125,4,Cleaned!$GR$2:$GR$125,3)+COUNTIFS(Cleaned!$C$2:$C$125,4,Cleaned!$GR$2:$GR$125,4)+COUNTIFS(Cleaned!$C$2:$C$125,4,Cleaned!$GR$2:$GR$125,5)+COUNTIFS(Cleaned!$C$2:$C$125,4,Cleaned!$GR$2:$GR$125,6)+COUNTIFS(Cleaned!$C$2:$C$125,5,Cleaned!$GR$2:$GR$125,1)+COUNTIFS(Cleaned!$C$2:$C$125,5,Cleaned!$GR$2:$GR$125,2)+COUNTIFS(Cleaned!$C$2:$C$125,5,Cleaned!$GR$2:$GR$125,3)+COUNTIFS(Cleaned!$C$2:$C$125,5,Cleaned!$GR$2:$GR$125,4)+COUNTIFS(Cleaned!$C$2:$C$125,5,Cleaned!$GR$2:$GR$125,5)+COUNTIFS(Cleaned!$C$2:$C$125,5,Cleaned!$GR$2:$GR$125,6)</f>
        <v>12</v>
      </c>
      <c r="C110" s="2" t="n">
        <f aca="false">COUNTIFS(Cleaned!$D$2:$D$125,1,Cleaned!$GR$2:$GR$125,1)+COUNTIFS(Cleaned!$D$2:$D$125,1,Cleaned!$GR$2:$GR$125,2)+COUNTIFS(Cleaned!$D$2:$D$125,1,Cleaned!$GR$2:$GR$125,3)+COUNTIFS(Cleaned!$D$2:$D$125,1,Cleaned!$GR$2:$GR$125,4)+COUNTIFS(Cleaned!$D$2:$D$125,1,Cleaned!$GR$2:$GR$125,5)+COUNTIFS(Cleaned!$D$2:$D$125,1,Cleaned!$GR$2:$GR$125,6)+COUNTIFS(Cleaned!$D$2:$D$125,2,Cleaned!$GR$2:$GR$125,1)+COUNTIFS(Cleaned!$D$2:$D$125,2,Cleaned!$GR$2:$GR$125,2)+COUNTIFS(Cleaned!$D$2:$D$125,2,Cleaned!$GR$2:$GR$125,3)+COUNTIFS(Cleaned!$D$2:$D$125,2,Cleaned!$GR$2:$GR$125,4)+COUNTIFS(Cleaned!$D$2:$D$125,2,Cleaned!$GR$2:$GR$125,5)+COUNTIFS(Cleaned!$D$2:$D$125,2,Cleaned!$GR$2:$GR$125,6)+COUNTIFS(Cleaned!$D$2:$D$125,3,Cleaned!$GR$2:$GR$125,1)+COUNTIFS(Cleaned!$D$2:$D$125,3,Cleaned!$GR$2:$GR$125,2)+COUNTIFS(Cleaned!$D$2:$D$125,3,Cleaned!$GR$2:$GR$125,3)+COUNTIFS(Cleaned!$D$2:$D$125,3,Cleaned!$GR$2:$GR$125,4)+COUNTIFS(Cleaned!$D$2:$D$125,3,Cleaned!$GR$2:$GR$125,5)+COUNTIFS(Cleaned!$D$2:$D$125,3,Cleaned!$GR$2:$GR$125,6)+COUNTIFS(Cleaned!$D$2:$D$125,4,Cleaned!$GR$2:$GR$125,1)+COUNTIFS(Cleaned!$D$2:$D$125,4,Cleaned!$GR$2:$GR$125,2)+COUNTIFS(Cleaned!$D$2:$D$125,4,Cleaned!$GR$2:$GR$125,3)+COUNTIFS(Cleaned!$D$2:$D$125,4,Cleaned!$GR$2:$GR$125,4)+COUNTIFS(Cleaned!$D$2:$D$125,4,Cleaned!$GR$2:$GR$125,5)+COUNTIFS(Cleaned!$D$2:$D$125,4,Cleaned!$GR$2:$GR$125,6)+COUNTIFS(Cleaned!$D$2:$D$125,5,Cleaned!$GR$2:$GR$125,1)+COUNTIFS(Cleaned!$D$2:$D$125,5,Cleaned!$GR$2:$GR$125,2)+COUNTIFS(Cleaned!$D$2:$D$125,5,Cleaned!$GR$2:$GR$125,3)+COUNTIFS(Cleaned!$D$2:$D$125,5,Cleaned!$GR$2:$GR$125,4)+COUNTIFS(Cleaned!$D$2:$D$125,5,Cleaned!$GR$2:$GR$125,5)+COUNTIFS(Cleaned!$D$2:$D$125,5,Cleaned!$GR$2:$GR$125,6)+COUNTIFS(Cleaned!$D$2:$D$125,6,Cleaned!$GR$2:$GR$125,1)+COUNTIFS(Cleaned!$D$2:$D$125,6,Cleaned!$GR$2:$GR$125,2)+COUNTIFS(Cleaned!$D$2:$D$125,6,Cleaned!$GR$2:$GR$125,3)+COUNTIFS(Cleaned!$D$2:$D$125,6,Cleaned!$GR$2:$GR$125,4)+COUNTIFS(Cleaned!$D$2:$D$125,6,Cleaned!$GR$2:$GR$125,5)+COUNTIFS(Cleaned!$D$2:$D$125,6,Cleaned!$GR$2:$GR$125,6)+COUNTIFS(Cleaned!$D$2:$D$125,7,Cleaned!$GR$2:$GR$125,1)+COUNTIFS(Cleaned!$D$2:$D$125,7,Cleaned!$GR$2:$GR$125,2)+COUNTIFS(Cleaned!$D$2:$D$125,7,Cleaned!$GR$2:$GR$125,3)+COUNTIFS(Cleaned!$D$2:$D$125,7,Cleaned!$GR$2:$GR$125,4)+COUNTIFS(Cleaned!$D$2:$D$125,7,Cleaned!$GR$2:$GR$125,5)+COUNTIFS(Cleaned!$D$2:$D$125,7,Cleaned!$GR$2:$GR$125,6)+COUNTIFS(Cleaned!$D$2:$D$125,8,Cleaned!$GR$2:$GR$125,1)+COUNTIFS(Cleaned!$D$2:$D$125,8,Cleaned!$GR$2:$GR$125,2)+COUNTIFS(Cleaned!$D$2:$D$125,8,Cleaned!$GR$2:$GR$125,3)+COUNTIFS(Cleaned!$D$2:$D$125,8,Cleaned!$GR$2:$GR$125,4)+COUNTIFS(Cleaned!$D$2:$D$125,8,Cleaned!$GR$2:$GR$125,5)+COUNTIFS(Cleaned!$D$2:$D$125,8,Cleaned!$GR$2:$GR$125,6)+COUNTIFS(Cleaned!$D$2:$D$125,9,Cleaned!$GR$2:$GR$125,1)+COUNTIFS(Cleaned!$D$2:$D$125,9,Cleaned!$GR$2:$GR$125,2)+COUNTIFS(Cleaned!$D$2:$D$125,9,Cleaned!$GR$2:$GR$125,3)+COUNTIFS(Cleaned!$D$2:$D$125,9,Cleaned!$GR$2:$GR$125,4)+COUNTIFS(Cleaned!$D$2:$D$125,9,Cleaned!$GR$2:$GR$125,5)+COUNTIFS(Cleaned!$D$2:$D$125,9,Cleaned!$GR$2:$GR$125,6)+COUNTIFS(Cleaned!$D$2:$D$125,10,Cleaned!$GR$2:$GR$125,1)+COUNTIFS(Cleaned!$D$2:$D$125,10,Cleaned!$GR$2:$GR$125,2)+COUNTIFS(Cleaned!$D$2:$D$125,10,Cleaned!$GR$2:$GR$125,3)+COUNTIFS(Cleaned!$D$2:$D$125,10,Cleaned!$GR$2:$GR$125,4)+COUNTIFS(Cleaned!$D$2:$D$125,10,Cleaned!$GR$2:$GR$125,5)+COUNTIFS(Cleaned!$D$2:$D$125,10,Cleaned!$GR$2:$GR$125,6)+COUNTIFS(Cleaned!$D$2:$D$125,11,Cleaned!$GR$2:$GR$125,1)+COUNTIFS(Cleaned!$D$2:$D$125,11,Cleaned!$GR$2:$GR$125,2)+COUNTIFS(Cleaned!$D$2:$D$125,11,Cleaned!$GR$2:$GR$125,3)+COUNTIFS(Cleaned!$D$2:$D$125,11,Cleaned!$GR$2:$GR$125,4)+COUNTIFS(Cleaned!$D$2:$D$125,11,Cleaned!$GR$2:$GR$125,5)+COUNTIFS(Cleaned!$D$2:$D$125,11,Cleaned!$GR$2:$GR$125,6)+COUNTIFS(Cleaned!$D$2:$D$125,12,Cleaned!$GR$2:$GR$125,1)+COUNTIFS(Cleaned!$D$2:$D$125,12,Cleaned!$GR$2:$GR$125,2)+COUNTIFS(Cleaned!$D$2:$D$125,12,Cleaned!$GR$2:$GR$125,3)+COUNTIFS(Cleaned!$D$2:$D$125,12,Cleaned!$GR$2:$GR$125,4)+COUNTIFS(Cleaned!$D$2:$D$125,12,Cleaned!$GR$2:$GR$125,5)+COUNTIFS(Cleaned!$D$2:$D$125,12,Cleaned!$GR$2:$GR$125,6)</f>
        <v>12</v>
      </c>
      <c r="D110" s="2" t="str">
        <f aca="false">IF(B110=C110,"OK","FAIL")</f>
        <v>OK</v>
      </c>
    </row>
    <row r="111" customFormat="false" ht="15" hidden="false" customHeight="false" outlineLevel="0" collapsed="false">
      <c r="A111" s="2" t="s">
        <v>1025</v>
      </c>
      <c r="B111" s="2" t="n">
        <f aca="false">COUNTIFS(Cleaned!$C$2:$C$125,1,Cleaned!$GT$2:$GT$125,1)+COUNTIFS(Cleaned!$C$2:$C$125,1,Cleaned!$GT$2:$GT$125,2)+COUNTIFS(Cleaned!$C$2:$C$125,2,Cleaned!$GT$2:$GT$125,1)+COUNTIFS(Cleaned!$C$2:$C$125,2,Cleaned!$GT$2:$GT$125,2)+COUNTIFS(Cleaned!$C$2:$C$125,3,Cleaned!$GT$2:$GT$125,1)+COUNTIFS(Cleaned!$C$2:$C$125,3,Cleaned!$GT$2:$GT$125,2)+COUNTIFS(Cleaned!$C$2:$C$125,4,Cleaned!$GT$2:$GT$125,1)+COUNTIFS(Cleaned!$C$2:$C$125,4,Cleaned!$GT$2:$GT$125,2)+COUNTIFS(Cleaned!$C$2:$C$125,5,Cleaned!$GT$2:$GT$125,1)+COUNTIFS(Cleaned!$C$2:$C$125,5,Cleaned!$GT$2:$GT$125,2)</f>
        <v>55</v>
      </c>
      <c r="C111" s="2" t="n">
        <f aca="false">COUNTIFS(Cleaned!$D$2:$D$125,1,Cleaned!$GT$2:$GT$125,1)+COUNTIFS(Cleaned!$D$2:$D$125,1,Cleaned!$GT$2:$GT$125,2)+COUNTIFS(Cleaned!$D$2:$D$125,2,Cleaned!$GT$2:$GT$125,1)+COUNTIFS(Cleaned!$D$2:$D$125,2,Cleaned!$GT$2:$GT$125,2)+COUNTIFS(Cleaned!$D$2:$D$125,3,Cleaned!$GT$2:$GT$125,1)+COUNTIFS(Cleaned!$D$2:$D$125,3,Cleaned!$GT$2:$GT$125,2)+COUNTIFS(Cleaned!$D$2:$D$125,4,Cleaned!$GT$2:$GT$125,1)+COUNTIFS(Cleaned!$D$2:$D$125,4,Cleaned!$GT$2:$GT$125,2)+COUNTIFS(Cleaned!$D$2:$D$125,5,Cleaned!$GT$2:$GT$125,1)+COUNTIFS(Cleaned!$D$2:$D$125,5,Cleaned!$GT$2:$GT$125,2)+COUNTIFS(Cleaned!$D$2:$D$125,6,Cleaned!$GT$2:$GT$125,1)+COUNTIFS(Cleaned!$D$2:$D$125,6,Cleaned!$GT$2:$GT$125,2)+COUNTIFS(Cleaned!$D$2:$D$125,7,Cleaned!$GT$2:$GT$125,1)+COUNTIFS(Cleaned!$D$2:$D$125,7,Cleaned!$GT$2:$GT$125,2)+COUNTIFS(Cleaned!$D$2:$D$125,8,Cleaned!$GT$2:$GT$125,1)+COUNTIFS(Cleaned!$D$2:$D$125,8,Cleaned!$GT$2:$GT$125,2)+COUNTIFS(Cleaned!$D$2:$D$125,9,Cleaned!$GT$2:$GT$125,1)+COUNTIFS(Cleaned!$D$2:$D$125,9,Cleaned!$GT$2:$GT$125,2)+COUNTIFS(Cleaned!$D$2:$D$125,10,Cleaned!$GT$2:$GT$125,1)+COUNTIFS(Cleaned!$D$2:$D$125,10,Cleaned!$GT$2:$GT$125,2)+COUNTIFS(Cleaned!$D$2:$D$125,11,Cleaned!$GT$2:$GT$125,1)+COUNTIFS(Cleaned!$D$2:$D$125,11,Cleaned!$GT$2:$GT$125,2)+COUNTIFS(Cleaned!$D$2:$D$125,12,Cleaned!$GT$2:$GT$125,1)+COUNTIFS(Cleaned!$D$2:$D$125,12,Cleaned!$GT$2:$GT$125,2)</f>
        <v>55</v>
      </c>
      <c r="D111" s="2" t="str">
        <f aca="false">IF(B111=C111,"OK","FAIL")</f>
        <v>OK</v>
      </c>
    </row>
    <row r="112" customFormat="false" ht="15" hidden="false" customHeight="false" outlineLevel="0" collapsed="false">
      <c r="A112" s="2" t="s">
        <v>1026</v>
      </c>
      <c r="B112" s="2" t="n">
        <f aca="false">COUNTIFS(Cleaned!$C$2:$C$125,1,Cleaned!$GV$2:$GV$125,1)+COUNTIFS(Cleaned!$C$2:$C$125,1,Cleaned!$GV$2:$GV$125,2)+COUNTIFS(Cleaned!$C$2:$C$125,1,Cleaned!$GV$2:$GV$125,3)+COUNTIFS(Cleaned!$C$2:$C$125,1,Cleaned!$GV$2:$GV$125,4)+COUNTIFS(Cleaned!$C$2:$C$125,1,Cleaned!$GV$2:$GV$125,5)+COUNTIFS(Cleaned!$C$2:$C$125,1,Cleaned!$GV$2:$GV$125,6)+COUNTIFS(Cleaned!$C$2:$C$125,2,Cleaned!$GV$2:$GV$125,1)+COUNTIFS(Cleaned!$C$2:$C$125,2,Cleaned!$GV$2:$GV$125,2)+COUNTIFS(Cleaned!$C$2:$C$125,2,Cleaned!$GV$2:$GV$125,3)+COUNTIFS(Cleaned!$C$2:$C$125,2,Cleaned!$GV$2:$GV$125,4)+COUNTIFS(Cleaned!$C$2:$C$125,2,Cleaned!$GV$2:$GV$125,5)+COUNTIFS(Cleaned!$C$2:$C$125,2,Cleaned!$GV$2:$GV$125,6)+COUNTIFS(Cleaned!$C$2:$C$125,3,Cleaned!$GV$2:$GV$125,1)+COUNTIFS(Cleaned!$C$2:$C$125,3,Cleaned!$GV$2:$GV$125,2)+COUNTIFS(Cleaned!$C$2:$C$125,3,Cleaned!$GV$2:$GV$125,3)+COUNTIFS(Cleaned!$C$2:$C$125,3,Cleaned!$GV$2:$GV$125,4)+COUNTIFS(Cleaned!$C$2:$C$125,3,Cleaned!$GV$2:$GV$125,5)+COUNTIFS(Cleaned!$C$2:$C$125,3,Cleaned!$GV$2:$GV$125,6)+COUNTIFS(Cleaned!$C$2:$C$125,4,Cleaned!$GV$2:$GV$125,1)+COUNTIFS(Cleaned!$C$2:$C$125,4,Cleaned!$GV$2:$GV$125,2)+COUNTIFS(Cleaned!$C$2:$C$125,4,Cleaned!$GV$2:$GV$125,3)+COUNTIFS(Cleaned!$C$2:$C$125,4,Cleaned!$GV$2:$GV$125,4)+COUNTIFS(Cleaned!$C$2:$C$125,4,Cleaned!$GV$2:$GV$125,5)+COUNTIFS(Cleaned!$C$2:$C$125,4,Cleaned!$GV$2:$GV$125,6)+COUNTIFS(Cleaned!$C$2:$C$125,5,Cleaned!$GV$2:$GV$125,1)+COUNTIFS(Cleaned!$C$2:$C$125,5,Cleaned!$GV$2:$GV$125,2)+COUNTIFS(Cleaned!$C$2:$C$125,5,Cleaned!$GV$2:$GV$125,3)+COUNTIFS(Cleaned!$C$2:$C$125,5,Cleaned!$GV$2:$GV$125,4)+COUNTIFS(Cleaned!$C$2:$C$125,5,Cleaned!$GV$2:$GV$125,5)+COUNTIFS(Cleaned!$C$2:$C$125,5,Cleaned!$GV$2:$GV$125,6)</f>
        <v>13</v>
      </c>
      <c r="C112" s="2" t="n">
        <f aca="false">COUNTIFS(Cleaned!$D$2:$D$125,1,Cleaned!$GV$2:$GV$125,1)+COUNTIFS(Cleaned!$D$2:$D$125,1,Cleaned!$GV$2:$GV$125,2)+COUNTIFS(Cleaned!$D$2:$D$125,1,Cleaned!$GV$2:$GV$125,3)+COUNTIFS(Cleaned!$D$2:$D$125,1,Cleaned!$GV$2:$GV$125,4)+COUNTIFS(Cleaned!$D$2:$D$125,1,Cleaned!$GV$2:$GV$125,5)+COUNTIFS(Cleaned!$D$2:$D$125,1,Cleaned!$GV$2:$GV$125,6)+COUNTIFS(Cleaned!$D$2:$D$125,2,Cleaned!$GV$2:$GV$125,1)+COUNTIFS(Cleaned!$D$2:$D$125,2,Cleaned!$GV$2:$GV$125,2)+COUNTIFS(Cleaned!$D$2:$D$125,2,Cleaned!$GV$2:$GV$125,3)+COUNTIFS(Cleaned!$D$2:$D$125,2,Cleaned!$GV$2:$GV$125,4)+COUNTIFS(Cleaned!$D$2:$D$125,2,Cleaned!$GV$2:$GV$125,5)+COUNTIFS(Cleaned!$D$2:$D$125,2,Cleaned!$GV$2:$GV$125,6)+COUNTIFS(Cleaned!$D$2:$D$125,3,Cleaned!$GV$2:$GV$125,1)+COUNTIFS(Cleaned!$D$2:$D$125,3,Cleaned!$GV$2:$GV$125,2)+COUNTIFS(Cleaned!$D$2:$D$125,3,Cleaned!$GV$2:$GV$125,3)+COUNTIFS(Cleaned!$D$2:$D$125,3,Cleaned!$GV$2:$GV$125,4)+COUNTIFS(Cleaned!$D$2:$D$125,3,Cleaned!$GV$2:$GV$125,5)+COUNTIFS(Cleaned!$D$2:$D$125,3,Cleaned!$GV$2:$GV$125,6)+COUNTIFS(Cleaned!$D$2:$D$125,4,Cleaned!$GV$2:$GV$125,1)+COUNTIFS(Cleaned!$D$2:$D$125,4,Cleaned!$GV$2:$GV$125,2)+COUNTIFS(Cleaned!$D$2:$D$125,4,Cleaned!$GV$2:$GV$125,3)+COUNTIFS(Cleaned!$D$2:$D$125,4,Cleaned!$GV$2:$GV$125,4)+COUNTIFS(Cleaned!$D$2:$D$125,4,Cleaned!$GV$2:$GV$125,5)+COUNTIFS(Cleaned!$D$2:$D$125,4,Cleaned!$GV$2:$GV$125,6)+COUNTIFS(Cleaned!$D$2:$D$125,5,Cleaned!$GV$2:$GV$125,1)+COUNTIFS(Cleaned!$D$2:$D$125,5,Cleaned!$GV$2:$GV$125,2)+COUNTIFS(Cleaned!$D$2:$D$125,5,Cleaned!$GV$2:$GV$125,3)+COUNTIFS(Cleaned!$D$2:$D$125,5,Cleaned!$GV$2:$GV$125,4)+COUNTIFS(Cleaned!$D$2:$D$125,5,Cleaned!$GV$2:$GV$125,5)+COUNTIFS(Cleaned!$D$2:$D$125,5,Cleaned!$GV$2:$GV$125,6)+COUNTIFS(Cleaned!$D$2:$D$125,6,Cleaned!$GV$2:$GV$125,1)+COUNTIFS(Cleaned!$D$2:$D$125,6,Cleaned!$GV$2:$GV$125,2)+COUNTIFS(Cleaned!$D$2:$D$125,6,Cleaned!$GV$2:$GV$125,3)+COUNTIFS(Cleaned!$D$2:$D$125,6,Cleaned!$GV$2:$GV$125,4)+COUNTIFS(Cleaned!$D$2:$D$125,6,Cleaned!$GV$2:$GV$125,5)+COUNTIFS(Cleaned!$D$2:$D$125,6,Cleaned!$GV$2:$GV$125,6)+COUNTIFS(Cleaned!$D$2:$D$125,7,Cleaned!$GV$2:$GV$125,1)+COUNTIFS(Cleaned!$D$2:$D$125,7,Cleaned!$GV$2:$GV$125,2)+COUNTIFS(Cleaned!$D$2:$D$125,7,Cleaned!$GV$2:$GV$125,3)+COUNTIFS(Cleaned!$D$2:$D$125,7,Cleaned!$GV$2:$GV$125,4)+COUNTIFS(Cleaned!$D$2:$D$125,7,Cleaned!$GV$2:$GV$125,5)+COUNTIFS(Cleaned!$D$2:$D$125,7,Cleaned!$GV$2:$GV$125,6)+COUNTIFS(Cleaned!$D$2:$D$125,8,Cleaned!$GV$2:$GV$125,1)+COUNTIFS(Cleaned!$D$2:$D$125,8,Cleaned!$GV$2:$GV$125,2)+COUNTIFS(Cleaned!$D$2:$D$125,8,Cleaned!$GV$2:$GV$125,3)+COUNTIFS(Cleaned!$D$2:$D$125,8,Cleaned!$GV$2:$GV$125,4)+COUNTIFS(Cleaned!$D$2:$D$125,8,Cleaned!$GV$2:$GV$125,5)+COUNTIFS(Cleaned!$D$2:$D$125,8,Cleaned!$GV$2:$GV$125,6)+COUNTIFS(Cleaned!$D$2:$D$125,9,Cleaned!$GV$2:$GV$125,1)+COUNTIFS(Cleaned!$D$2:$D$125,9,Cleaned!$GV$2:$GV$125,2)+COUNTIFS(Cleaned!$D$2:$D$125,9,Cleaned!$GV$2:$GV$125,3)+COUNTIFS(Cleaned!$D$2:$D$125,9,Cleaned!$GV$2:$GV$125,4)+COUNTIFS(Cleaned!$D$2:$D$125,9,Cleaned!$GV$2:$GV$125,5)+COUNTIFS(Cleaned!$D$2:$D$125,9,Cleaned!$GV$2:$GV$125,6)+COUNTIFS(Cleaned!$D$2:$D$125,10,Cleaned!$GV$2:$GV$125,1)+COUNTIFS(Cleaned!$D$2:$D$125,10,Cleaned!$GV$2:$GV$125,2)+COUNTIFS(Cleaned!$D$2:$D$125,10,Cleaned!$GV$2:$GV$125,3)+COUNTIFS(Cleaned!$D$2:$D$125,10,Cleaned!$GV$2:$GV$125,4)+COUNTIFS(Cleaned!$D$2:$D$125,10,Cleaned!$GV$2:$GV$125,5)+COUNTIFS(Cleaned!$D$2:$D$125,10,Cleaned!$GV$2:$GV$125,6)+COUNTIFS(Cleaned!$D$2:$D$125,11,Cleaned!$GV$2:$GV$125,1)+COUNTIFS(Cleaned!$D$2:$D$125,11,Cleaned!$GV$2:$GV$125,2)+COUNTIFS(Cleaned!$D$2:$D$125,11,Cleaned!$GV$2:$GV$125,3)+COUNTIFS(Cleaned!$D$2:$D$125,11,Cleaned!$GV$2:$GV$125,4)+COUNTIFS(Cleaned!$D$2:$D$125,11,Cleaned!$GV$2:$GV$125,5)+COUNTIFS(Cleaned!$D$2:$D$125,11,Cleaned!$GV$2:$GV$125,6)+COUNTIFS(Cleaned!$D$2:$D$125,12,Cleaned!$GV$2:$GV$125,1)+COUNTIFS(Cleaned!$D$2:$D$125,12,Cleaned!$GV$2:$GV$125,2)+COUNTIFS(Cleaned!$D$2:$D$125,12,Cleaned!$GV$2:$GV$125,3)+COUNTIFS(Cleaned!$D$2:$D$125,12,Cleaned!$GV$2:$GV$125,4)+COUNTIFS(Cleaned!$D$2:$D$125,12,Cleaned!$GV$2:$GV$125,5)+COUNTIFS(Cleaned!$D$2:$D$125,12,Cleaned!$GV$2:$GV$125,6)</f>
        <v>13</v>
      </c>
      <c r="D112" s="2" t="str">
        <f aca="false">IF(B112=C112,"OK","FAIL")</f>
        <v>OK</v>
      </c>
    </row>
    <row r="113" customFormat="false" ht="15" hidden="false" customHeight="false" outlineLevel="0" collapsed="false">
      <c r="A113" s="2" t="s">
        <v>1026</v>
      </c>
      <c r="B113" s="2" t="n">
        <f aca="false">COUNTIFS(Cleaned!$C$2:$C$125,1,Cleaned!$GX$2:$GX$125,1)+COUNTIFS(Cleaned!$C$2:$C$125,1,Cleaned!$GX$2:$GX$125,2)+COUNTIFS(Cleaned!$C$2:$C$125,1,Cleaned!$GX$2:$GX$125,3)+COUNTIFS(Cleaned!$C$2:$C$125,1,Cleaned!$GX$2:$GX$125,4)+COUNTIFS(Cleaned!$C$2:$C$125,2,Cleaned!$GX$2:$GX$125,1)+COUNTIFS(Cleaned!$C$2:$C$125,2,Cleaned!$GX$2:$GX$125,2)+COUNTIFS(Cleaned!$C$2:$C$125,2,Cleaned!$GX$2:$GX$125,3)+COUNTIFS(Cleaned!$C$2:$C$125,2,Cleaned!$GX$2:$GX$125,4)+COUNTIFS(Cleaned!$C$2:$C$125,3,Cleaned!$GX$2:$GX$125,1)+COUNTIFS(Cleaned!$C$2:$C$125,3,Cleaned!$GX$2:$GX$125,2)+COUNTIFS(Cleaned!$C$2:$C$125,3,Cleaned!$GX$2:$GX$125,3)+COUNTIFS(Cleaned!$C$2:$C$125,3,Cleaned!$GX$2:$GX$125,4)+COUNTIFS(Cleaned!$C$2:$C$125,4,Cleaned!$GX$2:$GX$125,1)+COUNTIFS(Cleaned!$C$2:$C$125,4,Cleaned!$GX$2:$GX$125,2)+COUNTIFS(Cleaned!$C$2:$C$125,4,Cleaned!$GX$2:$GX$125,3)+COUNTIFS(Cleaned!$C$2:$C$125,4,Cleaned!$GX$2:$GX$125,4)+COUNTIFS(Cleaned!$C$2:$C$125,5,Cleaned!$GX$2:$GX$125,1)+COUNTIFS(Cleaned!$C$2:$C$125,5,Cleaned!$GX$2:$GX$125,2)+COUNTIFS(Cleaned!$C$2:$C$125,5,Cleaned!$GX$2:$GX$125,3)+COUNTIFS(Cleaned!$C$2:$C$125,5,Cleaned!$GX$2:$GX$125,4)</f>
        <v>12</v>
      </c>
      <c r="C113" s="2" t="n">
        <f aca="false">COUNTIFS(Cleaned!$D$2:$D$125,1,Cleaned!$GX$2:$GX$125,1)+COUNTIFS(Cleaned!$D$2:$D$125,1,Cleaned!$GX$2:$GX$125,2)+COUNTIFS(Cleaned!$D$2:$D$125,1,Cleaned!$GX$2:$GX$125,3)+COUNTIFS(Cleaned!$D$2:$D$125,1,Cleaned!$GX$2:$GX$125,4)+COUNTIFS(Cleaned!$D$2:$D$125,2,Cleaned!$GX$2:$GX$125,1)+COUNTIFS(Cleaned!$D$2:$D$125,2,Cleaned!$GX$2:$GX$125,2)+COUNTIFS(Cleaned!$D$2:$D$125,2,Cleaned!$GX$2:$GX$125,3)+COUNTIFS(Cleaned!$D$2:$D$125,2,Cleaned!$GX$2:$GX$125,4)+COUNTIFS(Cleaned!$D$2:$D$125,3,Cleaned!$GX$2:$GX$125,1)+COUNTIFS(Cleaned!$D$2:$D$125,3,Cleaned!$GX$2:$GX$125,2)+COUNTIFS(Cleaned!$D$2:$D$125,3,Cleaned!$GX$2:$GX$125,3)+COUNTIFS(Cleaned!$D$2:$D$125,3,Cleaned!$GX$2:$GX$125,4)+COUNTIFS(Cleaned!$D$2:$D$125,4,Cleaned!$GX$2:$GX$125,1)+COUNTIFS(Cleaned!$D$2:$D$125,4,Cleaned!$GX$2:$GX$125,2)+COUNTIFS(Cleaned!$D$2:$D$125,4,Cleaned!$GX$2:$GX$125,3)+COUNTIFS(Cleaned!$D$2:$D$125,4,Cleaned!$GX$2:$GX$125,4)+COUNTIFS(Cleaned!$D$2:$D$125,5,Cleaned!$GX$2:$GX$125,1)+COUNTIFS(Cleaned!$D$2:$D$125,5,Cleaned!$GX$2:$GX$125,2)+COUNTIFS(Cleaned!$D$2:$D$125,5,Cleaned!$GX$2:$GX$125,3)+COUNTIFS(Cleaned!$D$2:$D$125,5,Cleaned!$GX$2:$GX$125,4)+COUNTIFS(Cleaned!$D$2:$D$125,6,Cleaned!$GX$2:$GX$125,1)+COUNTIFS(Cleaned!$D$2:$D$125,6,Cleaned!$GX$2:$GX$125,2)+COUNTIFS(Cleaned!$D$2:$D$125,6,Cleaned!$GX$2:$GX$125,3)+COUNTIFS(Cleaned!$D$2:$D$125,6,Cleaned!$GX$2:$GX$125,4)+COUNTIFS(Cleaned!$D$2:$D$125,7,Cleaned!$GX$2:$GX$125,1)+COUNTIFS(Cleaned!$D$2:$D$125,7,Cleaned!$GX$2:$GX$125,2)+COUNTIFS(Cleaned!$D$2:$D$125,7,Cleaned!$GX$2:$GX$125,3)+COUNTIFS(Cleaned!$D$2:$D$125,7,Cleaned!$GX$2:$GX$125,4)+COUNTIFS(Cleaned!$D$2:$D$125,8,Cleaned!$GX$2:$GX$125,1)+COUNTIFS(Cleaned!$D$2:$D$125,8,Cleaned!$GX$2:$GX$125,2)+COUNTIFS(Cleaned!$D$2:$D$125,8,Cleaned!$GX$2:$GX$125,3)+COUNTIFS(Cleaned!$D$2:$D$125,8,Cleaned!$GX$2:$GX$125,4)+COUNTIFS(Cleaned!$D$2:$D$125,9,Cleaned!$GX$2:$GX$125,1)+COUNTIFS(Cleaned!$D$2:$D$125,9,Cleaned!$GX$2:$GX$125,2)+COUNTIFS(Cleaned!$D$2:$D$125,9,Cleaned!$GX$2:$GX$125,3)+COUNTIFS(Cleaned!$D$2:$D$125,9,Cleaned!$GX$2:$GX$125,4)+COUNTIFS(Cleaned!$D$2:$D$125,10,Cleaned!$GX$2:$GX$125,1)+COUNTIFS(Cleaned!$D$2:$D$125,10,Cleaned!$GX$2:$GX$125,2)+COUNTIFS(Cleaned!$D$2:$D$125,10,Cleaned!$GX$2:$GX$125,3)+COUNTIFS(Cleaned!$D$2:$D$125,10,Cleaned!$GX$2:$GX$125,4)+COUNTIFS(Cleaned!$D$2:$D$125,11,Cleaned!$GX$2:$GX$125,1)+COUNTIFS(Cleaned!$D$2:$D$125,11,Cleaned!$GX$2:$GX$125,2)+COUNTIFS(Cleaned!$D$2:$D$125,11,Cleaned!$GX$2:$GX$125,3)+COUNTIFS(Cleaned!$D$2:$D$125,11,Cleaned!$GX$2:$GX$125,4)+COUNTIFS(Cleaned!$D$2:$D$125,12,Cleaned!$GX$2:$GX$125,1)+COUNTIFS(Cleaned!$D$2:$D$125,12,Cleaned!$GX$2:$GX$125,2)+COUNTIFS(Cleaned!$D$2:$D$125,12,Cleaned!$GX$2:$GX$125,3)+COUNTIFS(Cleaned!$D$2:$D$125,12,Cleaned!$GX$2:$GX$125,4)</f>
        <v>12</v>
      </c>
      <c r="D113" s="2" t="str">
        <f aca="false">IF(B113=C113,"OK","FAIL")</f>
        <v>OK</v>
      </c>
    </row>
    <row r="114" customFormat="false" ht="15" hidden="false" customHeight="false" outlineLevel="0" collapsed="false">
      <c r="A114" s="2" t="s">
        <v>1026</v>
      </c>
      <c r="B114" s="2" t="n">
        <f aca="false">COUNTIFS(Cleaned!$C$2:$C$125,1,Cleaned!$GZ$2:$GZ$125,1)+COUNTIFS(Cleaned!$C$2:$C$125,1,Cleaned!$GZ$2:$GZ$125,2)+COUNTIFS(Cleaned!$C$2:$C$125,1,Cleaned!$GZ$2:$GZ$125,3)+COUNTIFS(Cleaned!$C$2:$C$125,2,Cleaned!$GZ$2:$GZ$125,1)+COUNTIFS(Cleaned!$C$2:$C$125,2,Cleaned!$GZ$2:$GZ$125,2)+COUNTIFS(Cleaned!$C$2:$C$125,2,Cleaned!$GZ$2:$GZ$125,3)+COUNTIFS(Cleaned!$C$2:$C$125,3,Cleaned!$GZ$2:$GZ$125,1)+COUNTIFS(Cleaned!$C$2:$C$125,3,Cleaned!$GZ$2:$GZ$125,2)+COUNTIFS(Cleaned!$C$2:$C$125,3,Cleaned!$GZ$2:$GZ$125,3)+COUNTIFS(Cleaned!$C$2:$C$125,4,Cleaned!$GZ$2:$GZ$125,1)+COUNTIFS(Cleaned!$C$2:$C$125,4,Cleaned!$GZ$2:$GZ$125,2)+COUNTIFS(Cleaned!$C$2:$C$125,4,Cleaned!$GZ$2:$GZ$125,3)+COUNTIFS(Cleaned!$C$2:$C$125,5,Cleaned!$GZ$2:$GZ$125,1)+COUNTIFS(Cleaned!$C$2:$C$125,5,Cleaned!$GZ$2:$GZ$125,2)+COUNTIFS(Cleaned!$C$2:$C$125,5,Cleaned!$GZ$2:$GZ$125,3)</f>
        <v>9</v>
      </c>
      <c r="C114" s="2" t="n">
        <f aca="false">COUNTIFS(Cleaned!$D$2:$D$125,1,Cleaned!$GZ$2:$GZ$125,1)+COUNTIFS(Cleaned!$D$2:$D$125,1,Cleaned!$GZ$2:$GZ$125,2)+COUNTIFS(Cleaned!$D$2:$D$125,1,Cleaned!$GZ$2:$GZ$125,3)+COUNTIFS(Cleaned!$D$2:$D$125,2,Cleaned!$GZ$2:$GZ$125,1)+COUNTIFS(Cleaned!$D$2:$D$125,2,Cleaned!$GZ$2:$GZ$125,2)+COUNTIFS(Cleaned!$D$2:$D$125,2,Cleaned!$GZ$2:$GZ$125,3)+COUNTIFS(Cleaned!$D$2:$D$125,3,Cleaned!$GZ$2:$GZ$125,1)+COUNTIFS(Cleaned!$D$2:$D$125,3,Cleaned!$GZ$2:$GZ$125,2)+COUNTIFS(Cleaned!$D$2:$D$125,3,Cleaned!$GZ$2:$GZ$125,3)+COUNTIFS(Cleaned!$D$2:$D$125,4,Cleaned!$GZ$2:$GZ$125,1)+COUNTIFS(Cleaned!$D$2:$D$125,4,Cleaned!$GZ$2:$GZ$125,2)+COUNTIFS(Cleaned!$D$2:$D$125,4,Cleaned!$GZ$2:$GZ$125,3)+COUNTIFS(Cleaned!$D$2:$D$125,5,Cleaned!$GZ$2:$GZ$125,1)+COUNTIFS(Cleaned!$D$2:$D$125,5,Cleaned!$GZ$2:$GZ$125,2)+COUNTIFS(Cleaned!$D$2:$D$125,5,Cleaned!$GZ$2:$GZ$125,3)+COUNTIFS(Cleaned!$D$2:$D$125,6,Cleaned!$GZ$2:$GZ$125,1)+COUNTIFS(Cleaned!$D$2:$D$125,6,Cleaned!$GZ$2:$GZ$125,2)+COUNTIFS(Cleaned!$D$2:$D$125,6,Cleaned!$GZ$2:$GZ$125,3)+COUNTIFS(Cleaned!$D$2:$D$125,7,Cleaned!$GZ$2:$GZ$125,1)+COUNTIFS(Cleaned!$D$2:$D$125,7,Cleaned!$GZ$2:$GZ$125,2)+COUNTIFS(Cleaned!$D$2:$D$125,7,Cleaned!$GZ$2:$GZ$125,3)+COUNTIFS(Cleaned!$D$2:$D$125,8,Cleaned!$GZ$2:$GZ$125,1)+COUNTIFS(Cleaned!$D$2:$D$125,8,Cleaned!$GZ$2:$GZ$125,2)+COUNTIFS(Cleaned!$D$2:$D$125,8,Cleaned!$GZ$2:$GZ$125,3)+COUNTIFS(Cleaned!$D$2:$D$125,9,Cleaned!$GZ$2:$GZ$125,1)+COUNTIFS(Cleaned!$D$2:$D$125,9,Cleaned!$GZ$2:$GZ$125,2)+COUNTIFS(Cleaned!$D$2:$D$125,9,Cleaned!$GZ$2:$GZ$125,3)+COUNTIFS(Cleaned!$D$2:$D$125,10,Cleaned!$GZ$2:$GZ$125,1)+COUNTIFS(Cleaned!$D$2:$D$125,10,Cleaned!$GZ$2:$GZ$125,2)+COUNTIFS(Cleaned!$D$2:$D$125,10,Cleaned!$GZ$2:$GZ$125,3)+COUNTIFS(Cleaned!$D$2:$D$125,11,Cleaned!$GZ$2:$GZ$125,1)+COUNTIFS(Cleaned!$D$2:$D$125,11,Cleaned!$GZ$2:$GZ$125,2)+COUNTIFS(Cleaned!$D$2:$D$125,11,Cleaned!$GZ$2:$GZ$125,3)+COUNTIFS(Cleaned!$D$2:$D$125,12,Cleaned!$GZ$2:$GZ$125,1)+COUNTIFS(Cleaned!$D$2:$D$125,12,Cleaned!$GZ$2:$GZ$125,2)+COUNTIFS(Cleaned!$D$2:$D$125,12,Cleaned!$GZ$2:$GZ$125,3)</f>
        <v>9</v>
      </c>
      <c r="D114" s="2" t="str">
        <f aca="false">IF(B114=C114,"OK","FAIL")</f>
        <v>OK</v>
      </c>
    </row>
    <row r="116" customFormat="false" ht="15" hidden="false" customHeight="false" outlineLevel="0" collapsed="false">
      <c r="A116" s="17" t="s">
        <v>734</v>
      </c>
      <c r="D116" s="17" t="str">
        <f aca="false">IF(COUNTIF(D6:D114,"FAIL")=0,"ALL OK","FAILURES PRESENT")</f>
        <v>ALL OK</v>
      </c>
    </row>
  </sheetData>
  <conditionalFormatting sqref="D6:D114">
    <cfRule type="cellIs" priority="2" operator="equal" aboveAverage="0" equalAverage="0" bottom="0" percent="0" rank="0" text="" dxfId="0">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4" t="s">
        <v>1027</v>
      </c>
    </row>
    <row r="2" customFormat="false" ht="15" hidden="false" customHeight="false" outlineLevel="0" collapsed="false">
      <c r="A2" s="5" t="s">
        <v>1028</v>
      </c>
    </row>
    <row r="4" customFormat="false" ht="15" hidden="false" customHeight="false" outlineLevel="0" collapsed="false">
      <c r="A4" s="16" t="s">
        <v>1029</v>
      </c>
    </row>
    <row r="5" customFormat="false" ht="15" hidden="false" customHeight="false" outlineLevel="0" collapsed="false">
      <c r="A5" s="2" t="s">
        <v>1030</v>
      </c>
      <c r="B5" s="2" t="s">
        <v>1031</v>
      </c>
    </row>
    <row r="6" customFormat="false" ht="15" hidden="false" customHeight="false" outlineLevel="0" collapsed="false">
      <c r="A6" s="2" t="s">
        <v>1032</v>
      </c>
      <c r="B6" s="2" t="s">
        <v>1033</v>
      </c>
    </row>
    <row r="8" customFormat="false" ht="15" hidden="false" customHeight="false" outlineLevel="0" collapsed="false">
      <c r="A8" s="16" t="s">
        <v>1034</v>
      </c>
    </row>
    <row r="9" customFormat="false" ht="15" hidden="false" customHeight="false" outlineLevel="0" collapsed="false">
      <c r="B9" s="2" t="s">
        <v>1035</v>
      </c>
    </row>
    <row r="10" customFormat="false" ht="15" hidden="false" customHeight="false" outlineLevel="0" collapsed="false">
      <c r="B10" s="2" t="s">
        <v>1036</v>
      </c>
    </row>
    <row r="11" customFormat="false" ht="15" hidden="false" customHeight="false" outlineLevel="0" collapsed="false">
      <c r="B11" s="2" t="s">
        <v>1037</v>
      </c>
    </row>
    <row r="12" customFormat="false" ht="15" hidden="false" customHeight="false" outlineLevel="0" collapsed="false">
      <c r="B12" s="2" t="s">
        <v>1038</v>
      </c>
    </row>
    <row r="13" customFormat="false" ht="15" hidden="false" customHeight="false" outlineLevel="0" collapsed="false">
      <c r="B13" s="2" t="s">
        <v>1039</v>
      </c>
    </row>
    <row r="14" customFormat="false" ht="15" hidden="false" customHeight="false" outlineLevel="0" collapsed="false">
      <c r="B14" s="2" t="s">
        <v>1040</v>
      </c>
    </row>
    <row r="15" customFormat="false" ht="15" hidden="false" customHeight="false" outlineLevel="0" collapsed="false">
      <c r="B15" s="2" t="s">
        <v>1041</v>
      </c>
    </row>
    <row r="16" customFormat="false" ht="15" hidden="false" customHeight="false" outlineLevel="0" collapsed="false">
      <c r="B16" s="2" t="s">
        <v>1042</v>
      </c>
    </row>
    <row r="17" customFormat="false" ht="15" hidden="false" customHeight="false" outlineLevel="0" collapsed="false">
      <c r="B17" s="2" t="s">
        <v>1043</v>
      </c>
    </row>
    <row r="18" customFormat="false" ht="15" hidden="false" customHeight="false" outlineLevel="0" collapsed="false">
      <c r="B18" s="2" t="s">
        <v>1044</v>
      </c>
    </row>
    <row r="19" customFormat="false" ht="15" hidden="false" customHeight="false" outlineLevel="0" collapsed="false">
      <c r="B19" s="2" t="s">
        <v>1045</v>
      </c>
    </row>
    <row r="20" customFormat="false" ht="15" hidden="false" customHeight="false" outlineLevel="0" collapsed="false">
      <c r="B20" s="2" t="s">
        <v>1046</v>
      </c>
    </row>
    <row r="21" customFormat="false" ht="15" hidden="false" customHeight="false" outlineLevel="0" collapsed="false">
      <c r="B21" s="2" t="s">
        <v>1047</v>
      </c>
    </row>
    <row r="22" customFormat="false" ht="15" hidden="false" customHeight="false" outlineLevel="0" collapsed="false">
      <c r="B22" s="2" t="s">
        <v>1048</v>
      </c>
    </row>
    <row r="23" customFormat="false" ht="15" hidden="false" customHeight="false" outlineLevel="0" collapsed="false">
      <c r="B23" s="2" t="s">
        <v>1049</v>
      </c>
    </row>
    <row r="24" customFormat="false" ht="15" hidden="false" customHeight="false" outlineLevel="0" collapsed="false">
      <c r="B24" s="2" t="s">
        <v>1050</v>
      </c>
    </row>
    <row r="25" customFormat="false" ht="15" hidden="false" customHeight="false" outlineLevel="0" collapsed="false">
      <c r="B25" s="2" t="s">
        <v>1051</v>
      </c>
    </row>
    <row r="26" customFormat="false" ht="15" hidden="false" customHeight="false" outlineLevel="0" collapsed="false">
      <c r="B26" s="2" t="s">
        <v>1052</v>
      </c>
    </row>
    <row r="27" customFormat="false" ht="15" hidden="false" customHeight="false" outlineLevel="0" collapsed="false">
      <c r="B27" s="2" t="s">
        <v>1053</v>
      </c>
    </row>
    <row r="28" customFormat="false" ht="15" hidden="false" customHeight="false" outlineLevel="0" collapsed="false">
      <c r="B28" s="2" t="s">
        <v>1054</v>
      </c>
    </row>
    <row r="29" customFormat="false" ht="15" hidden="false" customHeight="false" outlineLevel="0" collapsed="false">
      <c r="B29" s="2" t="s">
        <v>1055</v>
      </c>
    </row>
    <row r="30" customFormat="false" ht="15" hidden="false" customHeight="false" outlineLevel="0" collapsed="false">
      <c r="B30" s="2" t="s">
        <v>1056</v>
      </c>
    </row>
    <row r="31" customFormat="false" ht="15" hidden="false" customHeight="false" outlineLevel="0" collapsed="false">
      <c r="B31" s="2" t="s">
        <v>1057</v>
      </c>
    </row>
    <row r="32" customFormat="false" ht="15" hidden="false" customHeight="false" outlineLevel="0" collapsed="false">
      <c r="B32" s="2" t="s">
        <v>1058</v>
      </c>
    </row>
    <row r="33" customFormat="false" ht="15" hidden="false" customHeight="false" outlineLevel="0" collapsed="false">
      <c r="B33" s="2" t="s">
        <v>1059</v>
      </c>
    </row>
    <row r="34" customFormat="false" ht="15" hidden="false" customHeight="false" outlineLevel="0" collapsed="false">
      <c r="B34" s="2" t="s">
        <v>1060</v>
      </c>
    </row>
    <row r="35" customFormat="false" ht="15" hidden="false" customHeight="false" outlineLevel="0" collapsed="false">
      <c r="B35" s="2" t="s">
        <v>1061</v>
      </c>
    </row>
    <row r="36" customFormat="false" ht="15" hidden="false" customHeight="false" outlineLevel="0" collapsed="false">
      <c r="B36" s="2" t="s">
        <v>1062</v>
      </c>
    </row>
    <row r="37" customFormat="false" ht="15" hidden="false" customHeight="false" outlineLevel="0" collapsed="false">
      <c r="B37" s="2" t="s">
        <v>1063</v>
      </c>
    </row>
    <row r="38" customFormat="false" ht="15" hidden="false" customHeight="false" outlineLevel="0" collapsed="false">
      <c r="B38" s="2" t="s">
        <v>1064</v>
      </c>
    </row>
    <row r="39" customFormat="false" ht="15" hidden="false" customHeight="false" outlineLevel="0" collapsed="false">
      <c r="B39" s="2" t="s">
        <v>1065</v>
      </c>
    </row>
    <row r="40" customFormat="false" ht="15" hidden="false" customHeight="false" outlineLevel="0" collapsed="false">
      <c r="B40" s="2" t="s">
        <v>1066</v>
      </c>
    </row>
    <row r="41" customFormat="false" ht="15" hidden="false" customHeight="false" outlineLevel="0" collapsed="false">
      <c r="B41" s="2" t="s">
        <v>1067</v>
      </c>
    </row>
    <row r="42" customFormat="false" ht="15" hidden="false" customHeight="false" outlineLevel="0" collapsed="false">
      <c r="B42" s="2" t="s">
        <v>1068</v>
      </c>
    </row>
    <row r="43" customFormat="false" ht="15" hidden="false" customHeight="false" outlineLevel="0" collapsed="false">
      <c r="B43" s="2" t="s">
        <v>1069</v>
      </c>
    </row>
    <row r="44" customFormat="false" ht="15" hidden="false" customHeight="false" outlineLevel="0" collapsed="false">
      <c r="B44" s="2" t="s">
        <v>1070</v>
      </c>
    </row>
    <row r="45" customFormat="false" ht="15" hidden="false" customHeight="false" outlineLevel="0" collapsed="false">
      <c r="B45" s="2" t="s">
        <v>1071</v>
      </c>
    </row>
    <row r="46" customFormat="false" ht="15" hidden="false" customHeight="false" outlineLevel="0" collapsed="false">
      <c r="B46" s="2" t="s">
        <v>1072</v>
      </c>
    </row>
    <row r="47" customFormat="false" ht="15" hidden="false" customHeight="false" outlineLevel="0" collapsed="false">
      <c r="B47" s="2" t="s">
        <v>1073</v>
      </c>
    </row>
    <row r="48" customFormat="false" ht="15" hidden="false" customHeight="false" outlineLevel="0" collapsed="false">
      <c r="B48" s="2" t="s">
        <v>1074</v>
      </c>
    </row>
    <row r="49" customFormat="false" ht="15" hidden="false" customHeight="false" outlineLevel="0" collapsed="false">
      <c r="B49" s="2" t="s">
        <v>1075</v>
      </c>
    </row>
    <row r="50" customFormat="false" ht="15" hidden="false" customHeight="false" outlineLevel="0" collapsed="false">
      <c r="B50" s="2" t="s">
        <v>1076</v>
      </c>
    </row>
    <row r="51" customFormat="false" ht="15" hidden="false" customHeight="false" outlineLevel="0" collapsed="false">
      <c r="B51" s="2" t="s">
        <v>1077</v>
      </c>
    </row>
    <row r="52" customFormat="false" ht="15" hidden="false" customHeight="false" outlineLevel="0" collapsed="false">
      <c r="B52" s="2" t="s">
        <v>1078</v>
      </c>
    </row>
    <row r="53" customFormat="false" ht="15" hidden="false" customHeight="false" outlineLevel="0" collapsed="false">
      <c r="B53" s="2" t="s">
        <v>1079</v>
      </c>
    </row>
    <row r="54" customFormat="false" ht="15" hidden="false" customHeight="false" outlineLevel="0" collapsed="false">
      <c r="B54" s="2" t="s">
        <v>1080</v>
      </c>
    </row>
    <row r="55" customFormat="false" ht="15" hidden="false" customHeight="false" outlineLevel="0" collapsed="false">
      <c r="B55" s="2" t="s">
        <v>1081</v>
      </c>
    </row>
    <row r="56" customFormat="false" ht="15" hidden="false" customHeight="false" outlineLevel="0" collapsed="false">
      <c r="B56" s="2" t="s">
        <v>1082</v>
      </c>
    </row>
    <row r="57" customFormat="false" ht="15" hidden="false" customHeight="false" outlineLevel="0" collapsed="false">
      <c r="B57" s="2" t="s">
        <v>1083</v>
      </c>
    </row>
    <row r="58" customFormat="false" ht="15" hidden="false" customHeight="false" outlineLevel="0" collapsed="false">
      <c r="B58" s="2" t="s">
        <v>1084</v>
      </c>
    </row>
    <row r="59" customFormat="false" ht="15" hidden="false" customHeight="false" outlineLevel="0" collapsed="false">
      <c r="B59" s="2" t="s">
        <v>1085</v>
      </c>
    </row>
    <row r="60" customFormat="false" ht="15" hidden="false" customHeight="false" outlineLevel="0" collapsed="false">
      <c r="B60" s="2" t="s">
        <v>1086</v>
      </c>
    </row>
    <row r="61" customFormat="false" ht="15" hidden="false" customHeight="false" outlineLevel="0" collapsed="false">
      <c r="B61" s="2" t="s">
        <v>1087</v>
      </c>
    </row>
    <row r="62" customFormat="false" ht="15" hidden="false" customHeight="false" outlineLevel="0" collapsed="false">
      <c r="B62" s="2" t="s">
        <v>1088</v>
      </c>
    </row>
    <row r="63" customFormat="false" ht="15" hidden="false" customHeight="false" outlineLevel="0" collapsed="false">
      <c r="B63" s="2" t="s">
        <v>1089</v>
      </c>
    </row>
    <row r="64" customFormat="false" ht="15" hidden="false" customHeight="false" outlineLevel="0" collapsed="false">
      <c r="B64" s="2" t="s">
        <v>1090</v>
      </c>
    </row>
    <row r="65" customFormat="false" ht="15" hidden="false" customHeight="false" outlineLevel="0" collapsed="false">
      <c r="B65" s="2" t="s">
        <v>1091</v>
      </c>
    </row>
    <row r="66" customFormat="false" ht="15" hidden="false" customHeight="false" outlineLevel="0" collapsed="false">
      <c r="B66" s="2" t="s">
        <v>1092</v>
      </c>
    </row>
    <row r="67" customFormat="false" ht="15" hidden="false" customHeight="false" outlineLevel="0" collapsed="false">
      <c r="B67" s="2" t="s">
        <v>1093</v>
      </c>
    </row>
    <row r="68" customFormat="false" ht="15" hidden="false" customHeight="false" outlineLevel="0" collapsed="false">
      <c r="B68" s="2" t="s">
        <v>1094</v>
      </c>
    </row>
    <row r="69" customFormat="false" ht="15" hidden="false" customHeight="false" outlineLevel="0" collapsed="false">
      <c r="B69" s="2" t="s">
        <v>1095</v>
      </c>
    </row>
    <row r="70" customFormat="false" ht="15" hidden="false" customHeight="false" outlineLevel="0" collapsed="false">
      <c r="B70" s="2" t="s">
        <v>1096</v>
      </c>
    </row>
    <row r="71" customFormat="false" ht="15" hidden="false" customHeight="false" outlineLevel="0" collapsed="false">
      <c r="B71" s="2" t="s">
        <v>1097</v>
      </c>
    </row>
    <row r="72" customFormat="false" ht="15" hidden="false" customHeight="false" outlineLevel="0" collapsed="false">
      <c r="B72" s="2" t="s">
        <v>1098</v>
      </c>
    </row>
    <row r="73" customFormat="false" ht="15" hidden="false" customHeight="false" outlineLevel="0" collapsed="false">
      <c r="B73" s="2" t="s">
        <v>1099</v>
      </c>
    </row>
    <row r="74" customFormat="false" ht="15" hidden="false" customHeight="false" outlineLevel="0" collapsed="false">
      <c r="B74" s="2" t="s">
        <v>1100</v>
      </c>
    </row>
    <row r="75" customFormat="false" ht="15" hidden="false" customHeight="false" outlineLevel="0" collapsed="false">
      <c r="B75" s="2" t="s">
        <v>1101</v>
      </c>
    </row>
    <row r="76" customFormat="false" ht="15" hidden="false" customHeight="false" outlineLevel="0" collapsed="false">
      <c r="B76" s="2" t="s">
        <v>1102</v>
      </c>
    </row>
    <row r="77" customFormat="false" ht="15" hidden="false" customHeight="false" outlineLevel="0" collapsed="false">
      <c r="B77" s="2" t="s">
        <v>1103</v>
      </c>
    </row>
    <row r="78" customFormat="false" ht="15" hidden="false" customHeight="false" outlineLevel="0" collapsed="false">
      <c r="B78" s="2" t="s">
        <v>1104</v>
      </c>
    </row>
    <row r="79" customFormat="false" ht="15" hidden="false" customHeight="false" outlineLevel="0" collapsed="false">
      <c r="B79" s="2" t="s">
        <v>1105</v>
      </c>
    </row>
    <row r="80" customFormat="false" ht="15" hidden="false" customHeight="false" outlineLevel="0" collapsed="false">
      <c r="B80" s="2" t="s">
        <v>1106</v>
      </c>
    </row>
    <row r="81" customFormat="false" ht="15" hidden="false" customHeight="false" outlineLevel="0" collapsed="false">
      <c r="B81" s="2" t="s">
        <v>1107</v>
      </c>
    </row>
    <row r="82" customFormat="false" ht="15" hidden="false" customHeight="false" outlineLevel="0" collapsed="false">
      <c r="B82" s="2" t="s">
        <v>1108</v>
      </c>
    </row>
    <row r="83" customFormat="false" ht="15" hidden="false" customHeight="false" outlineLevel="0" collapsed="false">
      <c r="B83" s="2" t="s">
        <v>1109</v>
      </c>
    </row>
    <row r="84" customFormat="false" ht="15" hidden="false" customHeight="false" outlineLevel="0" collapsed="false">
      <c r="B84" s="2" t="s">
        <v>1110</v>
      </c>
    </row>
    <row r="85" customFormat="false" ht="15" hidden="false" customHeight="false" outlineLevel="0" collapsed="false">
      <c r="B85" s="2" t="s">
        <v>1111</v>
      </c>
    </row>
    <row r="86" customFormat="false" ht="15" hidden="false" customHeight="false" outlineLevel="0" collapsed="false">
      <c r="B86" s="2" t="s">
        <v>1112</v>
      </c>
    </row>
    <row r="87" customFormat="false" ht="15" hidden="false" customHeight="false" outlineLevel="0" collapsed="false">
      <c r="B87" s="2" t="s">
        <v>1113</v>
      </c>
    </row>
    <row r="88" customFormat="false" ht="15" hidden="false" customHeight="false" outlineLevel="0" collapsed="false">
      <c r="B88" s="2" t="s">
        <v>1114</v>
      </c>
    </row>
    <row r="89" customFormat="false" ht="15" hidden="false" customHeight="false" outlineLevel="0" collapsed="false">
      <c r="B89" s="2" t="s">
        <v>1115</v>
      </c>
    </row>
    <row r="90" customFormat="false" ht="15" hidden="false" customHeight="false" outlineLevel="0" collapsed="false">
      <c r="B90" s="2" t="s">
        <v>1116</v>
      </c>
    </row>
    <row r="91" customFormat="false" ht="15" hidden="false" customHeight="false" outlineLevel="0" collapsed="false">
      <c r="B91" s="2" t="s">
        <v>1117</v>
      </c>
    </row>
    <row r="92" customFormat="false" ht="15" hidden="false" customHeight="false" outlineLevel="0" collapsed="false">
      <c r="B92" s="2" t="s">
        <v>1118</v>
      </c>
    </row>
    <row r="93" customFormat="false" ht="15" hidden="false" customHeight="false" outlineLevel="0" collapsed="false">
      <c r="B93" s="2" t="s">
        <v>1119</v>
      </c>
    </row>
    <row r="94" customFormat="false" ht="15" hidden="false" customHeight="false" outlineLevel="0" collapsed="false">
      <c r="B94" s="2" t="s">
        <v>1120</v>
      </c>
    </row>
    <row r="95" customFormat="false" ht="15" hidden="false" customHeight="false" outlineLevel="0" collapsed="false">
      <c r="B95" s="2" t="s">
        <v>1121</v>
      </c>
    </row>
    <row r="96" customFormat="false" ht="15" hidden="false" customHeight="false" outlineLevel="0" collapsed="false">
      <c r="B96" s="2" t="s">
        <v>1122</v>
      </c>
    </row>
    <row r="97" customFormat="false" ht="15" hidden="false" customHeight="false" outlineLevel="0" collapsed="false">
      <c r="B97" s="2" t="s">
        <v>1123</v>
      </c>
    </row>
    <row r="98" customFormat="false" ht="15" hidden="false" customHeight="false" outlineLevel="0" collapsed="false">
      <c r="B98" s="2" t="s">
        <v>1124</v>
      </c>
    </row>
    <row r="99" customFormat="false" ht="15" hidden="false" customHeight="false" outlineLevel="0" collapsed="false">
      <c r="B99" s="2" t="s">
        <v>1125</v>
      </c>
    </row>
    <row r="100" customFormat="false" ht="15" hidden="false" customHeight="false" outlineLevel="0" collapsed="false">
      <c r="B100" s="2" t="s">
        <v>1126</v>
      </c>
    </row>
    <row r="101" customFormat="false" ht="15" hidden="false" customHeight="false" outlineLevel="0" collapsed="false">
      <c r="B101" s="2" t="s">
        <v>1127</v>
      </c>
    </row>
    <row r="102" customFormat="false" ht="15" hidden="false" customHeight="false" outlineLevel="0" collapsed="false">
      <c r="B102" s="2" t="s">
        <v>1128</v>
      </c>
    </row>
    <row r="103" customFormat="false" ht="15" hidden="false" customHeight="false" outlineLevel="0" collapsed="false">
      <c r="B103" s="2" t="s">
        <v>1129</v>
      </c>
    </row>
    <row r="104" customFormat="false" ht="15" hidden="false" customHeight="false" outlineLevel="0" collapsed="false">
      <c r="B104" s="2" t="s">
        <v>1130</v>
      </c>
    </row>
    <row r="105" customFormat="false" ht="15" hidden="false" customHeight="false" outlineLevel="0" collapsed="false">
      <c r="B105" s="2" t="s">
        <v>1131</v>
      </c>
    </row>
    <row r="106" customFormat="false" ht="15" hidden="false" customHeight="false" outlineLevel="0" collapsed="false">
      <c r="B106" s="2" t="s">
        <v>1132</v>
      </c>
    </row>
    <row r="107" customFormat="false" ht="15" hidden="false" customHeight="false" outlineLevel="0" collapsed="false">
      <c r="B107" s="2" t="s">
        <v>1133</v>
      </c>
    </row>
    <row r="108" customFormat="false" ht="15" hidden="false" customHeight="false" outlineLevel="0" collapsed="false">
      <c r="B108" s="2" t="s">
        <v>1134</v>
      </c>
    </row>
    <row r="109" customFormat="false" ht="15" hidden="false" customHeight="false" outlineLevel="0" collapsed="false">
      <c r="B109" s="2" t="s">
        <v>1135</v>
      </c>
    </row>
    <row r="110" customFormat="false" ht="15" hidden="false" customHeight="false" outlineLevel="0" collapsed="false">
      <c r="B110" s="2" t="s">
        <v>1136</v>
      </c>
    </row>
    <row r="111" customFormat="false" ht="15" hidden="false" customHeight="false" outlineLevel="0" collapsed="false">
      <c r="B111" s="2" t="s">
        <v>1137</v>
      </c>
    </row>
    <row r="112" customFormat="false" ht="15" hidden="false" customHeight="false" outlineLevel="0" collapsed="false">
      <c r="B112" s="2" t="s">
        <v>1138</v>
      </c>
    </row>
    <row r="113" customFormat="false" ht="15" hidden="false" customHeight="false" outlineLevel="0" collapsed="false">
      <c r="B113" s="2" t="s">
        <v>1139</v>
      </c>
    </row>
    <row r="114" customFormat="false" ht="15" hidden="false" customHeight="false" outlineLevel="0" collapsed="false">
      <c r="B114" s="2" t="s">
        <v>1140</v>
      </c>
    </row>
    <row r="115" customFormat="false" ht="15" hidden="false" customHeight="false" outlineLevel="0" collapsed="false">
      <c r="B115" s="2" t="s">
        <v>1141</v>
      </c>
    </row>
    <row r="116" customFormat="false" ht="15" hidden="false" customHeight="false" outlineLevel="0" collapsed="false">
      <c r="B116" s="2" t="s">
        <v>1142</v>
      </c>
    </row>
    <row r="117" customFormat="false" ht="15" hidden="false" customHeight="false" outlineLevel="0" collapsed="false">
      <c r="B117" s="2" t="s">
        <v>1143</v>
      </c>
    </row>
    <row r="118" customFormat="false" ht="15" hidden="false" customHeight="false" outlineLevel="0" collapsed="false">
      <c r="B118" s="2" t="s">
        <v>1144</v>
      </c>
    </row>
    <row r="119" customFormat="false" ht="15" hidden="false" customHeight="false" outlineLevel="0" collapsed="false">
      <c r="B119" s="2" t="s">
        <v>1145</v>
      </c>
    </row>
    <row r="120" customFormat="false" ht="15" hidden="false" customHeight="false" outlineLevel="0" collapsed="false">
      <c r="B120" s="2" t="s">
        <v>1146</v>
      </c>
    </row>
    <row r="121" customFormat="false" ht="15" hidden="false" customHeight="false" outlineLevel="0" collapsed="false">
      <c r="B121" s="2" t="s">
        <v>1147</v>
      </c>
    </row>
    <row r="122" customFormat="false" ht="15" hidden="false" customHeight="false" outlineLevel="0" collapsed="false">
      <c r="B122" s="2" t="s">
        <v>1148</v>
      </c>
    </row>
    <row r="123" customFormat="false" ht="15" hidden="false" customHeight="false" outlineLevel="0" collapsed="false">
      <c r="B123" s="2" t="s">
        <v>1149</v>
      </c>
    </row>
    <row r="124" customFormat="false" ht="15" hidden="false" customHeight="false" outlineLevel="0" collapsed="false">
      <c r="B124" s="2" t="s">
        <v>1150</v>
      </c>
    </row>
    <row r="125" customFormat="false" ht="15" hidden="false" customHeight="false" outlineLevel="0" collapsed="false">
      <c r="B125" s="2" t="s">
        <v>1151</v>
      </c>
    </row>
    <row r="126" customFormat="false" ht="15" hidden="false" customHeight="false" outlineLevel="0" collapsed="false">
      <c r="B126" s="2" t="s">
        <v>1152</v>
      </c>
    </row>
    <row r="127" customFormat="false" ht="15" hidden="false" customHeight="false" outlineLevel="0" collapsed="false">
      <c r="B127" s="2" t="s">
        <v>1153</v>
      </c>
    </row>
    <row r="128" customFormat="false" ht="15" hidden="false" customHeight="false" outlineLevel="0" collapsed="false">
      <c r="B128" s="2" t="s">
        <v>1154</v>
      </c>
    </row>
    <row r="129" customFormat="false" ht="15" hidden="false" customHeight="false" outlineLevel="0" collapsed="false">
      <c r="B129" s="2" t="s">
        <v>1155</v>
      </c>
    </row>
    <row r="130" customFormat="false" ht="15" hidden="false" customHeight="false" outlineLevel="0" collapsed="false">
      <c r="B130" s="2" t="s">
        <v>1156</v>
      </c>
    </row>
    <row r="131" customFormat="false" ht="15" hidden="false" customHeight="false" outlineLevel="0" collapsed="false">
      <c r="B131" s="2" t="s">
        <v>1157</v>
      </c>
    </row>
    <row r="132" customFormat="false" ht="15" hidden="false" customHeight="false" outlineLevel="0" collapsed="false">
      <c r="B132" s="2" t="s">
        <v>1158</v>
      </c>
    </row>
    <row r="133" customFormat="false" ht="15" hidden="false" customHeight="false" outlineLevel="0" collapsed="false">
      <c r="B133" s="2" t="s">
        <v>1159</v>
      </c>
    </row>
    <row r="134" customFormat="false" ht="15" hidden="false" customHeight="false" outlineLevel="0" collapsed="false">
      <c r="B134" s="2" t="s">
        <v>1160</v>
      </c>
    </row>
    <row r="135" customFormat="false" ht="15" hidden="false" customHeight="false" outlineLevel="0" collapsed="false">
      <c r="B135" s="2" t="s">
        <v>1161</v>
      </c>
    </row>
    <row r="136" customFormat="false" ht="15" hidden="false" customHeight="false" outlineLevel="0" collapsed="false">
      <c r="B136" s="2" t="s">
        <v>1162</v>
      </c>
    </row>
    <row r="137" customFormat="false" ht="15" hidden="false" customHeight="false" outlineLevel="0" collapsed="false">
      <c r="B137" s="2" t="s">
        <v>1163</v>
      </c>
    </row>
    <row r="138" customFormat="false" ht="15" hidden="false" customHeight="false" outlineLevel="0" collapsed="false">
      <c r="B138" s="2" t="s">
        <v>1164</v>
      </c>
    </row>
    <row r="139" customFormat="false" ht="15" hidden="false" customHeight="false" outlineLevel="0" collapsed="false">
      <c r="B139" s="2" t="s">
        <v>1165</v>
      </c>
    </row>
    <row r="140" customFormat="false" ht="15" hidden="false" customHeight="false" outlineLevel="0" collapsed="false">
      <c r="B140" s="2" t="s">
        <v>1166</v>
      </c>
    </row>
    <row r="141" customFormat="false" ht="15" hidden="false" customHeight="false" outlineLevel="0" collapsed="false">
      <c r="B141" s="2" t="s">
        <v>1167</v>
      </c>
    </row>
    <row r="142" customFormat="false" ht="15" hidden="false" customHeight="false" outlineLevel="0" collapsed="false">
      <c r="B142" s="2" t="s">
        <v>1168</v>
      </c>
    </row>
    <row r="143" customFormat="false" ht="15" hidden="false" customHeight="false" outlineLevel="0" collapsed="false">
      <c r="B143" s="2" t="s">
        <v>1169</v>
      </c>
    </row>
    <row r="144" customFormat="false" ht="15" hidden="false" customHeight="false" outlineLevel="0" collapsed="false">
      <c r="B144" s="2" t="s">
        <v>1170</v>
      </c>
    </row>
    <row r="145" customFormat="false" ht="15" hidden="false" customHeight="false" outlineLevel="0" collapsed="false">
      <c r="B145" s="2" t="s">
        <v>1171</v>
      </c>
    </row>
    <row r="146" customFormat="false" ht="15" hidden="false" customHeight="false" outlineLevel="0" collapsed="false">
      <c r="B146" s="2" t="s">
        <v>1172</v>
      </c>
    </row>
    <row r="147" customFormat="false" ht="15" hidden="false" customHeight="false" outlineLevel="0" collapsed="false">
      <c r="B147" s="2" t="s">
        <v>1173</v>
      </c>
    </row>
    <row r="148" customFormat="false" ht="15" hidden="false" customHeight="false" outlineLevel="0" collapsed="false">
      <c r="B148" s="2" t="s">
        <v>1174</v>
      </c>
    </row>
    <row r="149" customFormat="false" ht="15" hidden="false" customHeight="false" outlineLevel="0" collapsed="false">
      <c r="B149" s="2" t="s">
        <v>1175</v>
      </c>
    </row>
    <row r="150" customFormat="false" ht="15" hidden="false" customHeight="false" outlineLevel="0" collapsed="false">
      <c r="B150" s="2" t="s">
        <v>1176</v>
      </c>
    </row>
    <row r="151" customFormat="false" ht="15" hidden="false" customHeight="false" outlineLevel="0" collapsed="false">
      <c r="B151" s="2" t="s">
        <v>1177</v>
      </c>
    </row>
    <row r="152" customFormat="false" ht="15" hidden="false" customHeight="false" outlineLevel="0" collapsed="false">
      <c r="B152" s="2" t="s">
        <v>1178</v>
      </c>
    </row>
    <row r="153" customFormat="false" ht="15" hidden="false" customHeight="false" outlineLevel="0" collapsed="false">
      <c r="B153" s="2" t="s">
        <v>1179</v>
      </c>
    </row>
    <row r="154" customFormat="false" ht="15" hidden="false" customHeight="false" outlineLevel="0" collapsed="false">
      <c r="B154" s="2" t="s">
        <v>1180</v>
      </c>
    </row>
    <row r="155" customFormat="false" ht="15" hidden="false" customHeight="false" outlineLevel="0" collapsed="false">
      <c r="B155" s="2" t="s">
        <v>1181</v>
      </c>
    </row>
    <row r="156" customFormat="false" ht="15" hidden="false" customHeight="false" outlineLevel="0" collapsed="false">
      <c r="B156" s="2" t="s">
        <v>1182</v>
      </c>
    </row>
    <row r="157" customFormat="false" ht="15" hidden="false" customHeight="false" outlineLevel="0" collapsed="false">
      <c r="B157" s="2" t="s">
        <v>1183</v>
      </c>
    </row>
    <row r="158" customFormat="false" ht="15" hidden="false" customHeight="false" outlineLevel="0" collapsed="false">
      <c r="B158" s="2" t="s">
        <v>1184</v>
      </c>
    </row>
    <row r="159" customFormat="false" ht="15" hidden="false" customHeight="false" outlineLevel="0" collapsed="false">
      <c r="B159" s="2" t="s">
        <v>1185</v>
      </c>
    </row>
    <row r="160" customFormat="false" ht="15" hidden="false" customHeight="false" outlineLevel="0" collapsed="false">
      <c r="B160" s="2" t="s">
        <v>1186</v>
      </c>
    </row>
    <row r="161" customFormat="false" ht="15" hidden="false" customHeight="false" outlineLevel="0" collapsed="false">
      <c r="B161" s="2" t="s">
        <v>1187</v>
      </c>
    </row>
    <row r="162" customFormat="false" ht="15" hidden="false" customHeight="false" outlineLevel="0" collapsed="false">
      <c r="B162" s="2" t="s">
        <v>1188</v>
      </c>
    </row>
    <row r="163" customFormat="false" ht="15" hidden="false" customHeight="false" outlineLevel="0" collapsed="false">
      <c r="B163" s="2" t="s">
        <v>1189</v>
      </c>
    </row>
    <row r="164" customFormat="false" ht="15" hidden="false" customHeight="false" outlineLevel="0" collapsed="false">
      <c r="B164" s="2" t="s">
        <v>1190</v>
      </c>
    </row>
    <row r="165" customFormat="false" ht="15" hidden="false" customHeight="false" outlineLevel="0" collapsed="false">
      <c r="B165" s="2" t="s">
        <v>1191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2026-09-03T03:21:56Z</dcterms:created>
  <dc:creator>openpyxl</dc:creator>
  <dc:description/>
  <dc:language>en-US</dc:language>
  <cp:lastModifiedBy/>
  <dcterms:modified xsi:type="dcterms:W3CDTF">2026-09-03T03:21:57Z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